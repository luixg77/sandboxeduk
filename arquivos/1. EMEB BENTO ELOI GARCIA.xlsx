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61.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69.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68.xml"/>
  <Override ContentType="application/vnd.openxmlformats-officedocument.drawingml.chart+xml" PartName="/xl/charts/chart51.xml"/>
  <Override ContentType="application/vnd.openxmlformats-officedocument.drawingml.chart+xml" PartName="/xl/charts/chart60.xml"/>
  <Override ContentType="application/vnd.openxmlformats-officedocument.drawingml.chart+xml" PartName="/xl/charts/chart16.xml"/>
  <Override ContentType="application/vnd.openxmlformats-officedocument.drawingml.chart+xml" PartName="/xl/charts/chart59.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63.xml"/>
  <Override ContentType="application/vnd.openxmlformats-officedocument.drawingml.chart+xml" PartName="/xl/charts/chart28.xml"/>
  <Override ContentType="application/vnd.openxmlformats-officedocument.drawingml.chart+xml" PartName="/xl/charts/chart5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62.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65.xml"/>
  <Override ContentType="application/vnd.openxmlformats-officedocument.drawingml.chart+xml" PartName="/xl/charts/chart5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72.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64.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71.xml"/>
  <Override ContentType="application/vnd.openxmlformats-officedocument.drawingml.chart+xml" PartName="/xl/charts/chart54.xml"/>
  <Override ContentType="application/vnd.openxmlformats-officedocument.drawingml.chart+xml" PartName="/xl/charts/chart37.xml"/>
  <Override ContentType="application/vnd.openxmlformats-officedocument.drawingml.chart+xml" PartName="/xl/charts/chart67.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66.xml"/>
  <Override ContentType="application/vnd.openxmlformats-officedocument.drawingml.chart+xml" PartName="/xl/charts/chart7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º Ano - CONSOLIDADO" sheetId="1" r:id="rId5"/>
    <sheet state="visible" name="9º Ano - CONSOLIDADO" sheetId="2" r:id="rId6"/>
    <sheet state="visible" name="5º Ano - 501" sheetId="3" r:id="rId7"/>
    <sheet state="visible" name="5º Ano - 502" sheetId="4" r:id="rId8"/>
    <sheet state="visible" name="5º Ano - 503" sheetId="5" r:id="rId9"/>
    <sheet state="visible" name="5º Ano - 504" sheetId="6" r:id="rId10"/>
    <sheet state="visible" name="5º Ano - 505" sheetId="7" r:id="rId11"/>
    <sheet state="visible" name="5º Ano - 506" sheetId="8" r:id="rId12"/>
    <sheet state="visible" name="9º Ano - 901" sheetId="9" r:id="rId13"/>
    <sheet state="visible" name="9º Ano - 902" sheetId="10" r:id="rId14"/>
    <sheet state="visible" name="9º Ano - 903" sheetId="11" r:id="rId15"/>
    <sheet state="visible" name="9º Ano - 904" sheetId="12" r:id="rId16"/>
  </sheets>
  <definedNames/>
  <calcPr/>
</workbook>
</file>

<file path=xl/sharedStrings.xml><?xml version="1.0" encoding="utf-8"?>
<sst xmlns="http://schemas.openxmlformats.org/spreadsheetml/2006/main" count="16658" uniqueCount="563">
  <si>
    <t>COLEÇÃO PREPARA BRASIL</t>
  </si>
  <si>
    <t>ANÁLISE DE DESEMPENHO - SIMULADO 4</t>
  </si>
  <si>
    <t>Unidade de Ensino: 1. EMEB BENTO ELOI GARCIA</t>
  </si>
  <si>
    <t>5º ANO - CONSOLIDADO</t>
  </si>
  <si>
    <t>NÚMERO DE ALUNOS MATRICULADOS:</t>
  </si>
  <si>
    <t>NÚMERO DE PRESENTES</t>
  </si>
  <si>
    <t>NÚMERO DE ALUNOS AUSENTES</t>
  </si>
  <si>
    <t>NÚMERO DE ACD</t>
  </si>
  <si>
    <t>GUIA DE CORREÇÃO - PRODUÇÃO TEXTUAL</t>
  </si>
  <si>
    <t>DESEMPENHO POR ITEM</t>
  </si>
  <si>
    <t>Nº</t>
  </si>
  <si>
    <t>TURMA</t>
  </si>
  <si>
    <t>Nº DE ALUNOS MATRICULADOS</t>
  </si>
  <si>
    <t>Nº DE ALUNOS PRESENTES</t>
  </si>
  <si>
    <t>Nº DE ALUNOS AUSENTES</t>
  </si>
  <si>
    <t>Nº DE ACD</t>
  </si>
  <si>
    <t>LINGUAGENS</t>
  </si>
  <si>
    <t>MATEMÁTICA</t>
  </si>
  <si>
    <t xml:space="preserve">Questão 01 </t>
  </si>
  <si>
    <t>Questão 02</t>
  </si>
  <si>
    <t>Questão 03</t>
  </si>
  <si>
    <t>Questão 04</t>
  </si>
  <si>
    <t>Questão 05</t>
  </si>
  <si>
    <t>Questão 06</t>
  </si>
  <si>
    <t>Questão 07</t>
  </si>
  <si>
    <t>Questão 08</t>
  </si>
  <si>
    <t>Questão 09</t>
  </si>
  <si>
    <t>Questão 10</t>
  </si>
  <si>
    <t>Questão 11</t>
  </si>
  <si>
    <t>Questão 12</t>
  </si>
  <si>
    <t>Questão 13</t>
  </si>
  <si>
    <t>Questão 14</t>
  </si>
  <si>
    <t>Questão 15</t>
  </si>
  <si>
    <t>Questão 16</t>
  </si>
  <si>
    <t>Questão 17</t>
  </si>
  <si>
    <t>Questão 18</t>
  </si>
  <si>
    <t>Questão 19</t>
  </si>
  <si>
    <t>Questão 20</t>
  </si>
  <si>
    <t>Questão 21</t>
  </si>
  <si>
    <r>
      <rPr>
        <rFont val="Arial"/>
        <b/>
        <color rgb="FF351C75"/>
        <sz val="9.0"/>
      </rPr>
      <t>Questão 01</t>
    </r>
    <r>
      <rPr>
        <rFont val="Arial"/>
        <b/>
        <color rgb="FF351C75"/>
        <sz val="9.0"/>
      </rPr>
      <t xml:space="preserve">        </t>
    </r>
  </si>
  <si>
    <t>Questão 22</t>
  </si>
  <si>
    <t>C</t>
  </si>
  <si>
    <t>B</t>
  </si>
  <si>
    <t>D</t>
  </si>
  <si>
    <t>A</t>
  </si>
  <si>
    <t>5º ANO - 501</t>
  </si>
  <si>
    <t>5º ANO - 502</t>
  </si>
  <si>
    <t>5º ANO - 503</t>
  </si>
  <si>
    <t>5º ANO - 504</t>
  </si>
  <si>
    <t>5º ANO - 505</t>
  </si>
  <si>
    <t>5º ANO - 506</t>
  </si>
  <si>
    <t>DESEMPENHO POR HABILIDADE</t>
  </si>
  <si>
    <t>QUESTÃO</t>
  </si>
  <si>
    <t>Nº. A</t>
  </si>
  <si>
    <t>%</t>
  </si>
  <si>
    <t>HABILIDADE</t>
  </si>
  <si>
    <t>Eixo do conhecimento: Análise linguística/semiótica. Eixo cognitivo: Reconhecer – Identificar os mecanismos de progressão textual.</t>
  </si>
  <si>
    <t>Eixo do conhecimento: Leitura. Eixo cognitivo: Reconhecer – Identificar a ideia central do texto.</t>
  </si>
  <si>
    <t>Eixo do conhecimento: Leitura. Eixo cognitivo: Analisar – Analisar elementos constitutivos de gêneros textuais diversos.</t>
  </si>
  <si>
    <t>Eixo do conhecimento: Leitura. Eixo cognitivo: Reconhecer – Localizar informação explícita.</t>
  </si>
  <si>
    <t>Eixo do conhecimento: Leitura. Eixo cognitivo: Reconhecer – Reconhecer diferentes gêneros textuais.</t>
  </si>
  <si>
    <t>Eixo do conhecimento: Leitura. Eixo cognitivo: Analisar – Inferir informações implícitas em textos.</t>
  </si>
  <si>
    <t>Eixo do conhecimento: Leitura. Eixo cognitivo: Reconhecer – Identificar as marcas de organização de textos dramáticos.</t>
  </si>
  <si>
    <t>Eixo do conhecimento: Leitura. Eixo cognitivo: Reconhecer – Identificar as marcas de organização de um texto dramático.</t>
  </si>
  <si>
    <t>Eixo do conhecimento: Arte. Eixo cognitivo: Analisar – Analisar expressões do teatro e da dança na vida cotidiana</t>
  </si>
  <si>
    <t>Eixo do conhecimento: Leitura. Eixo cognitivo: Reconhecer – Identificar as marcas de organização de um texto dramático</t>
  </si>
  <si>
    <t>Eixo do conhecimento: Leitura. Eixo cognitivo: Reconhecer – Identificar elementos constitutivos de textos narrativos.</t>
  </si>
  <si>
    <t>Eixo do conhecimento: Leitura. Eixo cognitivo: Reconhecer – Identificar elementos constitutivos de textos narrativos</t>
  </si>
  <si>
    <t>Eixo do conhecimento: Leitura. Eixo cognitivo: Reconhecer – Analisar os efeitos de sentido decorrentes do uso dos advérbios.</t>
  </si>
  <si>
    <t>Eixo do conhecimento: Leitura. Eixo cognitivo: Reconhecer – Analisar o uso de recursos de persuasão em textos verbais e/ou multimodais.</t>
  </si>
  <si>
    <t>Eixo do conhecimento: Leitura. Eixo cognitivo: Reconhecer – Analisar o uso de recursos de persuasão em textos verbais e/ou multimodais. </t>
  </si>
  <si>
    <t>5N1.1 – Escrever números racionais (naturais de até 6 ordens, representação fracionária ou decimal finita até a ordem dos milésimos) em sua representação por algarismos ou em língua materna ou Associar o registro numérico ao registro em língua materna.</t>
  </si>
  <si>
    <t>5NG1 -  Interpretar ou descrever a localização ou movimentação de objetos ou figuras geometricas no plano cartesiano (1º quadrante), indicando mudanças de direção, sentindo ou giros.</t>
  </si>
  <si>
    <t>5N1.3 – Comparar ou ordenar números racionais (naturais de até 6 ordens, representação fracionária ou decimal finita até a ordem dos milésimos), com ou sem suporte da reta numérica.</t>
  </si>
  <si>
    <t>5G1.8 – Reconhecer figuras geométricas planas congruentes ou simetria de reflexão em figuras ou em pares de figuras geométricas planas</t>
  </si>
  <si>
    <t>5N2.3 – Resolver problemas de adição ou de subtração, envolvendo números racionais apenas na sua representação decimal finita até a ordem dos milésimos, com os significados de juntar, acrescentar, separar, retirar, comparar ou completar.</t>
  </si>
  <si>
    <t>5G1.8 – Reconhecer figuras geométricas planas congruentes ou simetria de reflexão em figuras ou em pares de figuras geométricas planas.</t>
  </si>
  <si>
    <t>5G1.9 – Reconhecer a congruência dos ângulos e a proporcionalidade entre os lados correspondentes de figuras poligonais em situações de ampliação ou de redução em malhas quadriculadas</t>
  </si>
  <si>
    <t>5M2.6 – Resolver problemas que envolvam moedas e/ou cédulas do sistema monetário brasileiro.</t>
  </si>
  <si>
    <t>5A1.5 – Determinar o número desconhecido que torna verdadeira uma igualdade que envolve as operações fundamentais com números naturais de até 6 ordens.</t>
  </si>
  <si>
    <t>5G2.1 – Descrever ou esboçar o deslocamento de pessoas e/ou de objetos em representações bidimensionais (mapas, croquis etc.) ou plantas de ambientes, de acordo com condições dadas.</t>
  </si>
  <si>
    <t>5E1.5 – Representar ou associar os dados de uma pesquisa estatística ou de um levantamento em listas, tabelas (simples ou de dupla entrada) ou gráficos (barras simples ou agrupadas, colunas simples ou agrupadas, pictóricos ou de linhas).</t>
  </si>
  <si>
    <t>5N2.4 – Resolver problemas de multiplicação ou de divisão, envolvendo números racionais apenas na sua representação decimal finita até a ordem dos milésimos, com os significados de formação de grupos iguais (incluindo repartição equitativa de medida),proporcionalidade ou disposição retangular.</t>
  </si>
  <si>
    <t>5M2.2 – Resolver problemas que envolvam medidas de grandezas (comprimento, massa, tempo e capacidade) em que haja conversões entre as unidades mais usuais.</t>
  </si>
  <si>
    <t>5G2.2 – Construir/Desenhar figuras geométricas planas ou espaciais que satisfaçam condições dadas.</t>
  </si>
  <si>
    <t>5N2.4 – Resolver problemas de multiplicação ou de divisão, envolvendo números racionais apenas na sua representação decimal finita até a ordem dos milésimos, com os significados de formação de grupos iguais (incluindo repartição equitativa de medida), proporcionalidade ou disposição retangular.</t>
  </si>
  <si>
    <t>5N2.3 – Resolver problemas de adição ou de subtração, envolvendo números racionais apenas na sua representação decimal finita até a ordem dos milésimos, com os significados de juntar, acrescentar, separar, retirar, comparar ou completar</t>
  </si>
  <si>
    <t>ANÁLISE DE DISTRATORES</t>
  </si>
  <si>
    <t>N</t>
  </si>
  <si>
    <t>PRODUÇÃO TEXTUAL</t>
  </si>
  <si>
    <t>PADRÃO DE DESEMPENHO</t>
  </si>
  <si>
    <t>Abaixo do Básico</t>
  </si>
  <si>
    <t>Básico</t>
  </si>
  <si>
    <t>LEGENDA:</t>
  </si>
  <si>
    <t>Adequado</t>
  </si>
  <si>
    <t>Avançado</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</si>
  <si>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</si>
  <si>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</si>
  <si>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t>LÍNGUA PORTUGUESA</t>
  </si>
  <si>
    <r>
      <rPr>
        <rFont val="Arial"/>
        <b/>
        <color rgb="FFFF9900"/>
        <sz val="14.0"/>
      </rPr>
      <t xml:space="preserve">Básico </t>
    </r>
    <r>
      <rPr>
        <rFont val="Arial"/>
        <color theme="1"/>
        <sz val="14.0"/>
      </rPr>
      <t xml:space="preserve">- Os alunos neste nível precisam melhorar. </t>
    </r>
  </si>
  <si>
    <r>
      <rPr>
        <rFont val="Arial"/>
        <b/>
        <color rgb="FFFF0000"/>
        <sz val="14.0"/>
      </rPr>
      <t>Abaixo do Básico</t>
    </r>
    <r>
      <rPr>
        <rFont val="Arial"/>
        <color theme="1"/>
        <sz val="14.0"/>
      </rPr>
      <t xml:space="preserve"> - Os alunos neste nível apresentaram pouquíssimo aprendizado. É</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</si>
  <si>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</si>
  <si>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</si>
  <si>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</si>
  <si>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</si>
  <si>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</si>
  <si>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</si>
  <si>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t xml:space="preserve">Editora Veloz </t>
  </si>
  <si>
    <t>Rua Ewerton Visco, 290 - Caminho das Árvores, Salvador - BA, 41820-022</t>
  </si>
  <si>
    <t>9º ANO - CONSOLIDADO</t>
  </si>
  <si>
    <t>Questão 23</t>
  </si>
  <si>
    <t>Questão 24</t>
  </si>
  <si>
    <t>Questão 25</t>
  </si>
  <si>
    <r>
      <rPr>
        <rFont val="Arial"/>
        <b/>
        <color rgb="FF351C75"/>
        <sz val="9.0"/>
      </rPr>
      <t>Questão 01</t>
    </r>
    <r>
      <rPr>
        <rFont val="Arial"/>
        <b/>
        <color rgb="FF351C75"/>
        <sz val="9.0"/>
      </rPr>
      <t xml:space="preserve">        </t>
    </r>
  </si>
  <si>
    <t>Questão 26</t>
  </si>
  <si>
    <t>9º ANO - 901</t>
  </si>
  <si>
    <t>9º ANO - 902</t>
  </si>
  <si>
    <t>9º ANO - 903</t>
  </si>
  <si>
    <t>9º ANO - 904</t>
  </si>
  <si>
    <t>Eixo do conhecimento: Leitura. Eixo cognitivo: Analisar – Analisar a intertextualidade entre textos literários ou entre estes e outros textos verbais ou não verbais.</t>
  </si>
  <si>
    <t>Eixo do conhecimento: Leitura. Eixo cognitivo: Analisar – Analisar efeitos de sentido produzido pelo uso de formas de apropriação textual (paráfrase, citação etc.).</t>
  </si>
  <si>
    <t>Eixo do conhecimento: Língua inglesa. Eixo cognitivo: Reconhecer – Reconhecer elementos de forma e/ou conteúdo de textos de cunho artístico-cultural (artes, literatura, música, dança, festividades, entre outros) em língua inglesa</t>
  </si>
  <si>
    <t>Eixo do conhecimento: Educação Física. Eixo cognitivo: Analisar – Diferenciar as danças urbanas, seus elementos constitutivos e seu valor cultural nas demais manifestações da dança.valor cultural nas demais manifestações da dança.</t>
  </si>
  <si>
    <t>Eixo do conhecimento: Leitura. Eixo cognitivo: Analisar – Analisar elementos constitutivos de textos pertencentes ao domínio literário.</t>
  </si>
  <si>
    <t>Eixo do conhecimento: Língua Inglesa. Eixo cognitivo: Eixo do conhecimento: Língua Inglesa. Eixo cognitivo: Analisar – Analisar a intertextualidade entre textos literários ou entre estes e outros textos verbais ou não verbais.</t>
  </si>
  <si>
    <t>Eixo do conhecimento: Língua inglesa. Eixo cognitivo: Avaliar – Avaliar o uso do léxico (tais como palavras polissêmicas ou expressões metafóricas) em textos em língua inglesa.</t>
  </si>
  <si>
    <t>Eixo do conhecimento: Leitura. Eixo cognitivo: Analisar – Inferir informações implícitas em distintos textos</t>
  </si>
  <si>
    <t>Eixo do conhecimento: Arte. Eixo cognitivo: Reconhecer – Identificar os usos de diferentes tecnologias e recursos digitais na produção e circulação das linguagens artísticas.</t>
  </si>
  <si>
    <t>Eixo do conhecimento: Leitura. Eixo cognitivo: Analisar – Inferir, em textos multissemióticos, efeitos de humor, ironia e/ou crítica.</t>
  </si>
  <si>
    <t>Eixo do conhecimento: Leitura. Eixo cognitivo: Analisar – Analisar elementos constitutivos de textos pertencentes ao domínio literário</t>
  </si>
  <si>
    <t>Eixo do conhecimento: Língua inglesa. Eixo cognitivo: Avaliar – Avaliar a presença, no mundo globalizado, da língua inglesa e/ou de produtos culturais de países de língua inglesa.</t>
  </si>
  <si>
    <t>Eixo do conhecimento: Educação Física. Eixo cognitivo: Reconhecer – Identificar as diferentes valências físicas necessárias à realização de práticas corporais (jogos eletrônicos, lutas, práticas corporais de aventura, ginásticas, esportes e dança).</t>
  </si>
  <si>
    <t>Eixo do conhecimento: Análise linguística/semiótica. Eixo cognitivo: Analisar – Analisar os efeitos de sentido dos tempos, modos e/ou vozes verbais com base no gênero textual e na intenção comunicativa.</t>
  </si>
  <si>
    <t>Eixo do conhecimento: Leitura. Eixo cognitivo: Analisar – Inferir a presença de valores sociais, culturais e humanos em textos literários.</t>
  </si>
  <si>
    <t>Eixo do conhecimento: Educação Física. Eixo cognitivo: Reconhecer – Identificar o valor do patrimônio urbano e natural nas vivências das práticas corporais de aventura urbana e na natureza.</t>
  </si>
  <si>
    <t>9G2.6 – Resolver problemas que envolvam aplicação das relações de proporcionalidade abrangendo retas paralelas cortadas por transversais</t>
  </si>
  <si>
    <t>9G1.7 – Reconhecer polígonos semelhantes ou as relações existentes entre ângulos e lados correspondentes nesses tipos de polígonos.</t>
  </si>
  <si>
    <t>9G2.5 – Resolver problemas que envolvam polígonos semelhantes.</t>
  </si>
  <si>
    <t>9G2.3 – Resolver problemas que envolvam relações métricas do triângulo retângulo, incluindo o teorema de Pitágoras.</t>
  </si>
  <si>
    <t>9G1.5 – Identificar propriedades e relações existentes entre os elementos de um triângulo (condição de existência, relações de ordem entre as medidas dos lados e as medidas dos ângulos internos, soma dos ângulos internos, determinação da medida de um ângulo interno ou externo)</t>
  </si>
  <si>
    <t>9E1.2 – Representar OU associar os dados de uma pesquisa estatística ou de um levantamento em listas, tabelas (simples ou de dupla entrada ou gráficos (barras simples ou agrupadas, colunas simples ou agrupadas, pictóricos, de linhas, de setores, ou em histograma).</t>
  </si>
  <si>
    <t>9E1.2 – Representar OU associar os dados de uma pesquisa estatística ou de um levantamento em listas, tabelas (simples ou de dupla entrada) ou gráficos (barras simples ou agrupadas, colunas simples ou agrupadas, pictóricos, de linhas, de setores, ou em histograma).</t>
  </si>
  <si>
    <t>9E1.2 – Representar OU associar os dados de uma pesquisa estatística ou de um levantamento em listas, tabelas (simples ou de dupla entrada) ou gráficos (barras simples ou agrupadas, colunas simples ou agrupadas, pictóricos, de linhas, de setores, ou em histograma)</t>
  </si>
  <si>
    <t>9E2.4 – Resolver problemas que envolvam a probabilidade de ocorrência de um resultado em eventos aleatórios equiprováveis independentes ou dependentes</t>
  </si>
  <si>
    <t>9E2.4 – Resolver problemas que envolvam a probabilidade de ocorrência de um resultado em eventos aleatórios equiprováveis independentes ou dependentes.</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</si>
  <si>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</si>
  <si>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</si>
  <si>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xml:space="preserve">- Os alunos neste nível precisam melhorar. </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</si>
  <si>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</si>
  <si>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</si>
  <si>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</si>
  <si>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</si>
  <si>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</si>
  <si>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</si>
  <si>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</si>
  <si>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t>NÍVEL DE PROFICIÊNCIA</t>
  </si>
  <si>
    <t>Nome</t>
  </si>
  <si>
    <t>ALUNO COM DEFICIÊNCIA</t>
  </si>
  <si>
    <t xml:space="preserve">LINGUAGENS </t>
  </si>
  <si>
    <r>
      <rPr>
        <rFont val="Arial"/>
        <b/>
        <color rgb="FF351C75"/>
        <sz val="9.0"/>
      </rPr>
      <t>Questão 01</t>
    </r>
    <r>
      <rPr>
        <rFont val="Arial"/>
        <b/>
        <color rgb="FF351C75"/>
        <sz val="9.0"/>
      </rPr>
      <t xml:space="preserve">        </t>
    </r>
  </si>
  <si>
    <t>Situação</t>
  </si>
  <si>
    <t xml:space="preserve"> Adequação ao Gênero e ao Tema</t>
  </si>
  <si>
    <t>Coerência e Coesão</t>
  </si>
  <si>
    <t>Estrutura e Organização</t>
  </si>
  <si>
    <t>Ortografia e Pontuação</t>
  </si>
  <si>
    <t>PONTUAÇÃO FINAL</t>
  </si>
  <si>
    <t>TCT</t>
  </si>
  <si>
    <t>TRI</t>
  </si>
  <si>
    <t>ESCALA DE PROFICIÊNCIA</t>
  </si>
  <si>
    <t>ALICE DE OLIVEIRA SCHAUN</t>
  </si>
  <si>
    <t>NÃO</t>
  </si>
  <si>
    <t>BERNARDO BIANCHINI ALBERTON</t>
  </si>
  <si>
    <t>F</t>
  </si>
  <si>
    <t>X</t>
  </si>
  <si>
    <t>BERNARDO XAVIER OLIVEIRA DA SILVA</t>
  </si>
  <si>
    <t>BETINA ALVES MARTINS</t>
  </si>
  <si>
    <t>BRUNO DE CAMPOS GONZAGA</t>
  </si>
  <si>
    <t>CRISTAL SOFIA ROYER ORTIGOZA</t>
  </si>
  <si>
    <t>DANIEL MURILO CORSO</t>
  </si>
  <si>
    <t>DAVI LUIZ AURELIANO DOS SANTOS</t>
  </si>
  <si>
    <t>DERMARYS DIOSAILYN MONTES DURAN</t>
  </si>
  <si>
    <t>ENZO MAZOTINE</t>
  </si>
  <si>
    <t>HELOISA BOCORNI DE JESUS</t>
  </si>
  <si>
    <t>HENZO LUIZ SYMCHAK MACHADO</t>
  </si>
  <si>
    <t>IRIS BEATRIZ MARCELLO GONCALVES</t>
  </si>
  <si>
    <t>ISALELLY LIMA MARTINS</t>
  </si>
  <si>
    <t>IZABELLA GALLEASSI BEVILAQUA</t>
  </si>
  <si>
    <t>JADSON NICOLAS ALMEIDA VALENTIM</t>
  </si>
  <si>
    <t>JHENIFFER MICKAELI MENDES DE  ALBUQUERQUE</t>
  </si>
  <si>
    <t>JORGE D ALESSANDRO DE OLIVEIRA VILLA REAL</t>
  </si>
  <si>
    <t>JOSE ANGEL BENAVIDES LIENDO</t>
  </si>
  <si>
    <t>JOSUE SERPA BOZZ</t>
  </si>
  <si>
    <t>JUAN CARLOS FIORAVANTE PINTO</t>
  </si>
  <si>
    <t>KATHERINE NOAL DA SILVA</t>
  </si>
  <si>
    <t>LARISSA MANOELA DOS PASSOS</t>
  </si>
  <si>
    <t>LUANE DA SILVA FERREIRA</t>
  </si>
  <si>
    <t>MATHEUS FELIPE BAADER</t>
  </si>
  <si>
    <t>PEDRO HENRIQUE DA CONCEICAO LOPES</t>
  </si>
  <si>
    <t>THALES GABRIEL THIBES DE CAMPOS RUSSI</t>
  </si>
  <si>
    <t>SIM</t>
  </si>
  <si>
    <t>VALENTINA POLIANA WUST PEDROZO</t>
  </si>
  <si>
    <t>YASMIM ELOA FAQUETI DE OLIVEIRA</t>
  </si>
  <si>
    <t>DESEMPENHO POR QUESTÃO</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</si>
  <si>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</si>
  <si>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</si>
  <si>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xml:space="preserve">- Os alunos neste nível precisam melhorar. </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</si>
  <si>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</si>
  <si>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</si>
  <si>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</si>
  <si>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</si>
  <si>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</si>
  <si>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</si>
  <si>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</si>
  <si>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</si>
  <si>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ALESSANDRO DE OLIVEIRA ALMEIDA</t>
  </si>
  <si>
    <t>ARTHUR MONTEIRO</t>
  </si>
  <si>
    <t>BRAYAN FELIPE STIVAN</t>
  </si>
  <si>
    <t>BRENNO ARTHUR WOSNY</t>
  </si>
  <si>
    <t>DAVI CARDOSO SCHLEMPER</t>
  </si>
  <si>
    <t>DAVI LUCAS VIEIRA VIANA</t>
  </si>
  <si>
    <t>DAVI LUCCA CORDEIRO PANIZZON</t>
  </si>
  <si>
    <t>EDSON HENRIQUE BREHMER</t>
  </si>
  <si>
    <t>GABRIEL RODRIGUES LEANDRO</t>
  </si>
  <si>
    <t>GIOVANNA MORISSO RODRIGUES</t>
  </si>
  <si>
    <t>HEITOR RABELO FERRETO</t>
  </si>
  <si>
    <t>ICARO GABRIEL</t>
  </si>
  <si>
    <t>JOAO GUILHERME OZORIO</t>
  </si>
  <si>
    <t>JOAO PEDRO DO NASCIMENTO SPRINGER</t>
  </si>
  <si>
    <t>JOAO VICTOR FERREIRA FIALHO</t>
  </si>
  <si>
    <t>JOSUE MACIEL</t>
  </si>
  <si>
    <t>KETHILLY LAVINIA ALEXANDRE SANTOS</t>
  </si>
  <si>
    <t>KEZYA ELAINE DA ROSA DE ABREU</t>
  </si>
  <si>
    <t>LUCAS AUGUSTO TRINDADE DOS SANTOS</t>
  </si>
  <si>
    <t>MARIA EDUARDA DA SILVA</t>
  </si>
  <si>
    <t>MARIA LUIZA DE BARROS WEIRICH</t>
  </si>
  <si>
    <t>MIGUEL BORGES DE OLIVEIRA</t>
  </si>
  <si>
    <t>NATALLY DE OLIVEIRA FLORENCIO</t>
  </si>
  <si>
    <t>PATRICIO BENJAMIN FRANCO</t>
  </si>
  <si>
    <t>SARAH KLAMT RODRIGUES</t>
  </si>
  <si>
    <t>WESLEY ALERRANDRO SIMITE DOS SANTOS</t>
  </si>
  <si>
    <t>YANNELIS GABRIELEXIS MACHADO MORENO</t>
  </si>
  <si>
    <t>YASMIN DUARTE PEREIRA</t>
  </si>
  <si>
    <t>YERWIN LUISNER MORENO MORALES</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</si>
  <si>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</si>
  <si>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</si>
  <si>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xml:space="preserve">- Os alunos neste nível precisam melhorar. </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</si>
  <si>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</si>
  <si>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</si>
  <si>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</si>
  <si>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</si>
  <si>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</si>
  <si>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</si>
  <si>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</si>
  <si>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</si>
  <si>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ALYCIA OLIVEIRA KUROVSK</t>
  </si>
  <si>
    <t>ANA CLARA T.C. DOS SANTOS</t>
  </si>
  <si>
    <t>ANA LÍVIA BARBOSA VIEIRA</t>
  </si>
  <si>
    <t>ANDRESSA RIBEIRO DE PAULA</t>
  </si>
  <si>
    <t>ANTONELLA IUZSGOVICH DE OLIVEIRA</t>
  </si>
  <si>
    <t>ARTHUR IAREMENCO</t>
  </si>
  <si>
    <t>BRAHIM GASPAR LEMAM</t>
  </si>
  <si>
    <t>BRENDA RAFAELLA DOS SANTOS DE LIMA</t>
  </si>
  <si>
    <t>DANIEL RODRIGUES MENDONÇA</t>
  </si>
  <si>
    <t>DAVI CAIRES MACIEL GÓES</t>
  </si>
  <si>
    <t>DAVI HENRIQUE ANGONESE</t>
  </si>
  <si>
    <t>EMILY BRADINA COSTA DE LIMA</t>
  </si>
  <si>
    <t>ERICK RENAN DE RAMOS TEIXEIRA</t>
  </si>
  <si>
    <t>ISABELLY PEREIRADE VIANA</t>
  </si>
  <si>
    <t>ISAQUE VINICIUS RODRIGUES SOUSA</t>
  </si>
  <si>
    <t>JOÃO CARLOS DE ARAÚJO M.</t>
  </si>
  <si>
    <t>JOÃO VICTOR VIEIRA DA SILVA</t>
  </si>
  <si>
    <t>KÉZIA EDUARDA DA SILVA MARINHO</t>
  </si>
  <si>
    <t>LUIZA HOCH FAVA</t>
  </si>
  <si>
    <t>MARCOS PAULO ALVES DE OLIVEIRA</t>
  </si>
  <si>
    <t>MARIA ALLYCIA DOS SANTOS OLIVEIRA</t>
  </si>
  <si>
    <t>MARIA LUIZA GONCALVES CALIXTO</t>
  </si>
  <si>
    <t>MARIA TERESA CORREA DOS SANTOS</t>
  </si>
  <si>
    <t>PIETRO SCHUNCK DOS SANTOS</t>
  </si>
  <si>
    <t>SOFIA NAYARA AGUIRRE</t>
  </si>
  <si>
    <t>SUJEINNYS CARRLLO IMENEZ</t>
  </si>
  <si>
    <t>TAILLINE KAROLAINE DALMONTE DIAS</t>
  </si>
  <si>
    <t>VALENTINA PASCHOALINI VERZA</t>
  </si>
  <si>
    <t>VICENTE SCHIAVINI GRANDO</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</si>
  <si>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</si>
  <si>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</si>
  <si>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xml:space="preserve">- Os alunos neste nível precisam melhorar. </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</si>
  <si>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</si>
  <si>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</si>
  <si>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</si>
  <si>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</si>
  <si>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</si>
  <si>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</si>
  <si>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</si>
  <si>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</si>
  <si>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ALANA GABRIELY DOS SANTOS REIS</t>
  </si>
  <si>
    <t>ARTHUR LEVI SCOT PIRES</t>
  </si>
  <si>
    <t>DAVI MANOEL DE FRAGA</t>
  </si>
  <si>
    <t>EDUARDO CARVALHO BUCHARA GONCALVES</t>
  </si>
  <si>
    <t>EMANUELLY DE SOUZA DA SILVA</t>
  </si>
  <si>
    <t>ENZO RANGEL PEREIRA SOUZA</t>
  </si>
  <si>
    <t>ESTHER SOUZA DE OLIVEIRA</t>
  </si>
  <si>
    <t>HELENA BEZERRA DE PAULA</t>
  </si>
  <si>
    <t>HELOISA CRISTINA DOS SANTOS ROCHA</t>
  </si>
  <si>
    <t>HELOISA HELENA DOS SANTOS MORAES</t>
  </si>
  <si>
    <t>AA</t>
  </si>
  <si>
    <t>HEVILLIN LETICIA SIQUEIRA GALANTE</t>
  </si>
  <si>
    <t>ISABELA ANTUNES STREB</t>
  </si>
  <si>
    <t>ISADORA DA SILVA AUGUSTINHO</t>
  </si>
  <si>
    <t>JEAN PIERRE DA SILVA BRUM</t>
  </si>
  <si>
    <t>JESSICA FONSECA DE MENEZES</t>
  </si>
  <si>
    <t>JHONAIDY ALEJANDRA HURTADO GONZALEZ</t>
  </si>
  <si>
    <t>JOAO MIGUEL ALVES STEVANELLI</t>
  </si>
  <si>
    <t>LAYS DEALTINA DA SILVA</t>
  </si>
  <si>
    <t>MABILI ABRANCHES VERARDI</t>
  </si>
  <si>
    <t>MIGUEL DE MENEZES LEAL RODRIGUES DA SILVA</t>
  </si>
  <si>
    <t>MYGUEL HENRIQUE DA SILVA</t>
  </si>
  <si>
    <t>NOAH LEMUEL GARCIA MENDEZ</t>
  </si>
  <si>
    <t>PATRICIA MONSERRAT CUEVAS BADILLA</t>
  </si>
  <si>
    <t>PEDRO AUGUSTP PEROSA</t>
  </si>
  <si>
    <t>ROBERT ESCOBAR DA SILVA</t>
  </si>
  <si>
    <t>VICTOR GABRIEL SANTOS DA SILVA</t>
  </si>
  <si>
    <t>VICTOR HENRIQUE RIBEIRO</t>
  </si>
  <si>
    <t>VITORIA LIMA KLAUBERG</t>
  </si>
  <si>
    <t>YASMIN MORASKI BENITEZ</t>
  </si>
  <si>
    <t>YSCAIBERT MANUEL MOLINA MILLAN</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</si>
  <si>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</si>
  <si>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</si>
  <si>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xml:space="preserve">- Os alunos neste nível precisam melhorar. </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</si>
  <si>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</si>
  <si>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</si>
  <si>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</si>
  <si>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</si>
  <si>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</si>
  <si>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</si>
  <si>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</si>
  <si>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</si>
  <si>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ALEXIA JORGE</t>
  </si>
  <si>
    <t>ALICE DOS SANTOS DE JESUS</t>
  </si>
  <si>
    <t>ARTHUR ALBURQUERQUE PAVAO</t>
  </si>
  <si>
    <t>ARTHUR SAMUEL CASTRO ZANONI</t>
  </si>
  <si>
    <t>DAVI LUIS RIBEIRO OLIVEIRA</t>
  </si>
  <si>
    <t>DAVID LUIZ SANTOS NUNES</t>
  </si>
  <si>
    <t>DIOGO RAFAEL TREVISANE</t>
  </si>
  <si>
    <t>EDUARDA CARDOSO DE OLIVEIRA</t>
  </si>
  <si>
    <t>EMILY HELOYSE PEREIRA</t>
  </si>
  <si>
    <t>FERNANDO NATALINO LORENZETTI MICHALCZUK FILHO</t>
  </si>
  <si>
    <t>HELOISA HOFSCHNEIDER</t>
  </si>
  <si>
    <t>JULIA FERREIRA BONASSO</t>
  </si>
  <si>
    <t>KLEVERSON SATURNINO ALVES</t>
  </si>
  <si>
    <t>LAURA CRISTINA DOS SANTOS MANOEL</t>
  </si>
  <si>
    <t>LAURA DANTAS BERSANI</t>
  </si>
  <si>
    <t>LUISANGELIS CAMILA ROCCA VELASQUEZ</t>
  </si>
  <si>
    <t>MARIA CLARA DE SOUZA DE MORAES</t>
  </si>
  <si>
    <t>MELANI ALEJANDRA HURTADO LOTT</t>
  </si>
  <si>
    <t>NAZARETH SOFIA VELASQUEZ LARA</t>
  </si>
  <si>
    <t>PEDRO JOSE BIANCHINI</t>
  </si>
  <si>
    <t>RAYARA DOLBERTH BORTOLETTI</t>
  </si>
  <si>
    <t>RAYSSA VITORIA CORREA CAMPELO</t>
  </si>
  <si>
    <t>SAMUEL CORREIA DA SILVA</t>
  </si>
  <si>
    <t>SAMUEL FERREIRA MEIRELES</t>
  </si>
  <si>
    <t>SAMYCA STEPH LEA DESROSIERS</t>
  </si>
  <si>
    <t>SARA GABRIELA BALLELO</t>
  </si>
  <si>
    <t>THIAGO GABRIEL BARROS NUNES SILVA</t>
  </si>
  <si>
    <t>YASMIN VICTORIA ASSUNCAO</t>
  </si>
  <si>
    <t>YKARO MATHEUS DA SILVA GONCALVES</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</si>
  <si>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</si>
  <si>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</si>
  <si>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xml:space="preserve">- Os alunos neste nível precisam melhorar. </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</si>
  <si>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</si>
  <si>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</si>
  <si>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</si>
  <si>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</si>
  <si>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</si>
  <si>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</si>
  <si>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</si>
  <si>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</si>
  <si>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ALICE MANFREDINI SANTORO</t>
  </si>
  <si>
    <t>ALISSON HENRIQUE DE OLIVEIRA RIBEIRO</t>
  </si>
  <si>
    <t>BEATRIZ VITORIA OLEGARIO</t>
  </si>
  <si>
    <t>BENJAMIN PACHECO</t>
  </si>
  <si>
    <t>BRAYAN FERNANDO DA SILVA GONCALVES</t>
  </si>
  <si>
    <t>BRYAN RAMOS DOS SANTOS</t>
  </si>
  <si>
    <t>DJOOVELINE BELLE SOPHIANA PAUL</t>
  </si>
  <si>
    <t>GIULIA LIMA RIBEIRO</t>
  </si>
  <si>
    <t>GUILHERME HENRIQUE BEZERRA LOPES</t>
  </si>
  <si>
    <t>JOAO EMANOEL GOMES BROCA</t>
  </si>
  <si>
    <t>KLEVERTON SATURNINO ALVES</t>
  </si>
  <si>
    <t>LORENZO JOSE</t>
  </si>
  <si>
    <t>LUNNA MANOELA DA SILVA PIMENTEL</t>
  </si>
  <si>
    <t>MARIA FERNANDA DA SILVA</t>
  </si>
  <si>
    <t>MARIZA ESTHEFANY DOS SANTOS HENRIQUES</t>
  </si>
  <si>
    <t>MAYSA VALENTINA FIUZA LEMES DA SILVA</t>
  </si>
  <si>
    <t>MILENA DOS ANJOS</t>
  </si>
  <si>
    <t>NELSON MATHIAS CHITES</t>
  </si>
  <si>
    <t>RHAYANA SMENDIE CHAM</t>
  </si>
  <si>
    <t>SANTIAGO COPETTI AZEVEDO</t>
  </si>
  <si>
    <t>THEO POTTER ROCHA</t>
  </si>
  <si>
    <t>YSADORA LUCIANO LERIA</t>
  </si>
  <si>
    <t>YURI AUGUSTO MARTINS</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</si>
  <si>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</si>
  <si>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</si>
  <si>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xml:space="preserve">- Os alunos neste nível precisam melhorar. </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</si>
  <si>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</si>
  <si>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</si>
  <si>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</si>
  <si>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</si>
  <si>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</si>
  <si>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</si>
  <si>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</si>
  <si>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</si>
  <si>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AGATHA LIRA DA ROCHA</t>
  </si>
  <si>
    <t>ANA JULIA TEODORO DE SELIS</t>
  </si>
  <si>
    <t>ARTHUR ANTONIO BAPTISTA DE SOUZA</t>
  </si>
  <si>
    <t>CAROLINI CLARO CARDOSO</t>
  </si>
  <si>
    <t>DAVI MEIRELLES DE ALMEIDA</t>
  </si>
  <si>
    <t>DIRCEU FELIPE DA SILVA</t>
  </si>
  <si>
    <t>EMANUELLY ANALLY DE S. P. DA FONSECA</t>
  </si>
  <si>
    <t>EVELYN VITORIA DE ASSIS</t>
  </si>
  <si>
    <t>GABRIELA NUNES RIBEIRO</t>
  </si>
  <si>
    <t>GABRIELA PERES DA SILVA</t>
  </si>
  <si>
    <t>GABRIELY BILDHAUER</t>
  </si>
  <si>
    <t>GIOVANA MENEZES RUBINI</t>
  </si>
  <si>
    <t>ISABELA  CHAVES</t>
  </si>
  <si>
    <t>JACKSON MAURICIO CANUTO DA SILVA</t>
  </si>
  <si>
    <t>JOSE VINICIUS AZEVEDO SANTOS</t>
  </si>
  <si>
    <t>KALEBE SERPA BOZZ</t>
  </si>
  <si>
    <t>KAUE RAFAEL SAUDADE LIRA</t>
  </si>
  <si>
    <t>LADISON DANIEL SILVA SANTOS</t>
  </si>
  <si>
    <t>LARA VALENTINA CAMPOS</t>
  </si>
  <si>
    <t>NICOLAS DE LIMA GOMES</t>
  </si>
  <si>
    <t>PEDRO HENRIQUE FERREIRA</t>
  </si>
  <si>
    <t>ROBERTO DE OLVIEIRA DE MOURA</t>
  </si>
  <si>
    <t>SAMANTHA MATZENBACHER PRESTES</t>
  </si>
  <si>
    <t>SAMUEL VINICIUS CORSO</t>
  </si>
  <si>
    <t>SARA TUZZIN</t>
  </si>
  <si>
    <t>VICTOR DOS SANTOS ROMÃO</t>
  </si>
  <si>
    <t>VINICIUS LIMA PEREIRA</t>
  </si>
  <si>
    <t>VITOR HUGO MARTINS</t>
  </si>
  <si>
    <t>YASMIN VITORIA SANTOS ROSA</t>
  </si>
  <si>
    <t>YURI ALVEZ FERREIRA</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</si>
  <si>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</si>
  <si>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</si>
  <si>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Os alunos neste nível precisam melhorar.</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</si>
  <si>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</si>
  <si>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</si>
  <si>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</si>
  <si>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</si>
  <si>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</si>
  <si>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</si>
  <si>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</si>
  <si>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</si>
  <si>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BRUNO WILLE DA SILVA</t>
  </si>
  <si>
    <t>CARLOS HENRIQUE DA SILVA CRUZ</t>
  </si>
  <si>
    <t>DAPHINE GIANARA BALETTO MAIDANA</t>
  </si>
  <si>
    <t>FRANCISCO MARQUES DE SOUZA DURÃO</t>
  </si>
  <si>
    <t>GABRIEL HERDINA</t>
  </si>
  <si>
    <t>GABRIELA GARCIA ELERT</t>
  </si>
  <si>
    <t>HENRY GABRIEL BARROS SILVA</t>
  </si>
  <si>
    <t>HENZO GABRIEL GOMES DE MORAES</t>
  </si>
  <si>
    <t>ISMAEL ASSUNÇÃO F. DA SILVA</t>
  </si>
  <si>
    <t>ISMAEL PITER MACHADO</t>
  </si>
  <si>
    <t>LARA VALENTINA DOS ANJOS FALCÃO</t>
  </si>
  <si>
    <t>LEANDRO MYCAEL DA SILVA</t>
  </si>
  <si>
    <t>LEONARDO KOWALSKY DA SILVA</t>
  </si>
  <si>
    <t>LUCIANA XAVIER DE OLIVEIRA DA SILVA</t>
  </si>
  <si>
    <t>MARCOS AUGUSTO QJEDA CALONGA</t>
  </si>
  <si>
    <t>MARCOS LORENZO H. F. GOMES</t>
  </si>
  <si>
    <t>MARIANA DE MATTOS</t>
  </si>
  <si>
    <t>MARJORIE SAMUEL R</t>
  </si>
  <si>
    <t>MATEUS FELTZ</t>
  </si>
  <si>
    <t>MATHEUS LEONARDO DO NASCIMENTO</t>
  </si>
  <si>
    <t>MIGUEL BETIM FERREIRA</t>
  </si>
  <si>
    <t>MIGUEL FILIPE DE TOLEDO</t>
  </si>
  <si>
    <t>MIRELA MIKAELY PEREIRA DOS SANTOS</t>
  </si>
  <si>
    <t>NATACHA TANSCKI ANDRADE</t>
  </si>
  <si>
    <t>NATHALY GOES DE OLIVEIRA</t>
  </si>
  <si>
    <t>NICOLAS MATHEUS WEGNER</t>
  </si>
  <si>
    <t>PIETRA BERTIN FACCO</t>
  </si>
  <si>
    <t>ROBERTO GONÇALVES FOGAÇA</t>
  </si>
  <si>
    <t>VICTOR HUGO DA COSTA GONÇALVES</t>
  </si>
  <si>
    <t>VICTOR NUNES DE FRAGA</t>
  </si>
  <si>
    <t>VYCTOR EMANUEL VARGAS VIANA</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</si>
  <si>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</si>
  <si>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</si>
  <si>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Os alunos neste nível precisam melhorar.</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</si>
  <si>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</si>
  <si>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</si>
  <si>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</si>
  <si>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</si>
  <si>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</si>
  <si>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</si>
  <si>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</si>
  <si>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</si>
  <si>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AGATHA CRISTINA DOS SANTOS MANOEL</t>
  </si>
  <si>
    <t>ANA LUIZA SANTOS DA SILVA</t>
  </si>
  <si>
    <t>ANNA GABRIELLY LEAL DOS SANROS</t>
  </si>
  <si>
    <t>BRUNO CASSIMIRO FERNANDES DOS SANTOS</t>
  </si>
  <si>
    <t>DANIELE HELOISA DA SILVA</t>
  </si>
  <si>
    <t>ELOA DA SILVA</t>
  </si>
  <si>
    <t>FELIPE GABRIEL ROMÃO DE SOUZA</t>
  </si>
  <si>
    <t>GABRIELA RODRIGUES DE OLIVEIRA KAULE</t>
  </si>
  <si>
    <t>GUSTAVO VIEIRA NUNES</t>
  </si>
  <si>
    <t>JADI NICOLI DA CRUZ ALVES</t>
  </si>
  <si>
    <t>JHENNYPHER GABRYELLY RAMOS ANTUNES</t>
  </si>
  <si>
    <t>JHONNELYS VICTORIA COVA CALZADILLA</t>
  </si>
  <si>
    <t>JUCIELE LAURENTINO DA SILVA</t>
  </si>
  <si>
    <t>LAURA DE FATIMA DOS SANTOS DA SILVA</t>
  </si>
  <si>
    <t>LOGANS ENZO KASPER</t>
  </si>
  <si>
    <t>LUAN GUSTAVO OSTAMBERG DOS SANTOS</t>
  </si>
  <si>
    <t>MARIA ELIZA SAMPAIO WEGMANN</t>
  </si>
  <si>
    <t>MARIA VITORIA MARCHI PROENCA</t>
  </si>
  <si>
    <t>PAMELA VITORIA DE LIMA SILVA</t>
  </si>
  <si>
    <t>RAMIRO SEBASTIAN BENITEZ</t>
  </si>
  <si>
    <t>THEO DE MELO WODZIK</t>
  </si>
  <si>
    <t>TIFANY KAUANE GOES DA CRUZ</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</si>
  <si>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</si>
  <si>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</si>
  <si>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Os alunos neste nível precisam melhorar.</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</si>
  <si>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</si>
  <si>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</si>
  <si>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</si>
  <si>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</si>
  <si>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</si>
  <si>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</si>
  <si>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</si>
  <si>
    <r>
      <rPr>
        <rFont val="Arial"/>
        <b/>
        <color rgb="FF351C75"/>
        <sz val="9.0"/>
      </rPr>
      <t>Questão 01</t>
    </r>
    <r>
      <rPr>
        <rFont val="Arial"/>
        <b/>
        <color rgb="FF351C75"/>
        <sz val="9.0"/>
      </rPr>
      <t xml:space="preserve">        </t>
    </r>
  </si>
  <si>
    <t>ANA CLARA MONTANARI</t>
  </si>
  <si>
    <t>BRYAN PAIVA GOSLAR</t>
  </si>
  <si>
    <t>CALEBE CORREIA DE OLIVEIRA</t>
  </si>
  <si>
    <t>CAUA GISLON CORREA</t>
  </si>
  <si>
    <t>DANIEL JESUS ROA FIGUEROA</t>
  </si>
  <si>
    <t>DAVI FELICIANO SANTIAGO</t>
  </si>
  <si>
    <t>DIEGO ANTONY MATOS FURONES</t>
  </si>
  <si>
    <t>ELYESER DA SILVA MARTINS</t>
  </si>
  <si>
    <t>ERICK SAMUEL CARDOSO</t>
  </si>
  <si>
    <t>ISABELI FERENCZ</t>
  </si>
  <si>
    <t>IZABELA LAYANE DAMASCENO FERNANDES</t>
  </si>
  <si>
    <t>JACSON LUAM CRUZ</t>
  </si>
  <si>
    <t>JOAO VITOR SERAFINI</t>
  </si>
  <si>
    <t>KETLYN CAROLINE RAIMUNDO</t>
  </si>
  <si>
    <t>LORENA CLINKE</t>
  </si>
  <si>
    <t>LUANI ALMEIDA DA SILVA</t>
  </si>
  <si>
    <t>LUIS MIGUEL VIEIRA</t>
  </si>
  <si>
    <t>MARCOS ANTONIO FRANCO</t>
  </si>
  <si>
    <t>MARIA CLARA ZATTA</t>
  </si>
  <si>
    <t>MARIA EDUARDA SA DA ROSA</t>
  </si>
  <si>
    <t>MARISTELA LUZ MARTINS</t>
  </si>
  <si>
    <t>PIETRA MARIA DEBIAZI CIVIDINI</t>
  </si>
  <si>
    <t>SCARLEST FRANYELIS MAITA YDROGO</t>
  </si>
  <si>
    <t>STEFANI VITORIA PRESOTTO ALVES RAMIRO</t>
  </si>
  <si>
    <t>VALENTINA NAIR VIEIRA</t>
  </si>
  <si>
    <t>VINICIUS MANOEL DEBIAZI CIVIDINI</t>
  </si>
  <si>
    <t>YASMIN RODRIGUES</t>
  </si>
  <si>
    <r>
      <rPr>
        <rFont val="Arial"/>
        <b/>
        <color rgb="FF38761D"/>
        <sz val="14.0"/>
      </rPr>
      <t xml:space="preserve">Avançado </t>
    </r>
    <r>
      <rPr>
        <rFont val="Arial"/>
        <color theme="1"/>
        <sz val="14.0"/>
      </rPr>
      <t xml:space="preserve">- Aprendizado além da expectativa. 
</t>
    </r>
  </si>
  <si>
    <r>
      <rPr>
        <rFont val="Arial"/>
        <b/>
        <color rgb="FFFFFF00"/>
        <sz val="14.0"/>
      </rPr>
      <t xml:space="preserve">Adequado </t>
    </r>
    <r>
      <rPr>
        <rFont val="Arial"/>
        <color theme="1"/>
        <sz val="14.0"/>
      </rPr>
      <t xml:space="preserve">- Os alunos neste nível encontram-se preparados para continuar os estudos. 
</t>
    </r>
  </si>
  <si>
    <r>
      <rPr>
        <rFont val="Arial"/>
        <b/>
        <color rgb="FFFF9900"/>
        <sz val="14.0"/>
      </rPr>
      <t xml:space="preserve">Básico </t>
    </r>
    <r>
      <rPr>
        <rFont val="Arial"/>
        <color theme="1"/>
        <sz val="14.0"/>
      </rPr>
      <t>- Os alunos neste nível precisam melhorar.</t>
    </r>
  </si>
  <si>
    <r>
      <rPr>
        <rFont val="Arial"/>
        <b/>
        <color rgb="FFFF0000"/>
        <sz val="14.0"/>
      </rPr>
      <t>Abaixo do Básico</t>
    </r>
    <r>
      <rPr>
        <rFont val="Arial"/>
        <color theme="1"/>
        <sz val="14.0"/>
      </rPr>
      <t xml:space="preserve"> - Os alunos neste nível apresentaram pouquíssimo aprendizado. </t>
    </r>
  </si>
  <si>
    <r>
      <rPr>
        <rFont val="Arial"/>
        <b/>
        <color theme="1"/>
        <sz val="14.0"/>
      </rPr>
      <t xml:space="preserve">ACD </t>
    </r>
    <r>
      <rPr>
        <rFont val="Arial"/>
        <color theme="1"/>
        <sz val="14.0"/>
      </rPr>
      <t>- Aluno com deficiência</t>
    </r>
  </si>
  <si>
    <r>
      <rPr>
        <rFont val="Arial"/>
        <b/>
        <color theme="1"/>
        <sz val="14.0"/>
      </rPr>
      <t xml:space="preserve">TCT </t>
    </r>
    <r>
      <rPr>
        <rFont val="Arial"/>
        <color theme="1"/>
        <sz val="14.0"/>
      </rPr>
      <t>- Teoria Clássica de Teste.</t>
    </r>
  </si>
  <si>
    <r>
      <rPr>
        <rFont val="Arial"/>
        <b/>
        <color theme="1"/>
        <sz val="14.0"/>
      </rPr>
      <t xml:space="preserve">TRI </t>
    </r>
    <r>
      <rPr>
        <rFont val="Arial"/>
        <color theme="1"/>
        <sz val="14.0"/>
      </rPr>
      <t>- Teoria de Resposta ao Item.</t>
    </r>
  </si>
  <si>
    <r>
      <rPr>
        <rFont val="Arial"/>
        <b/>
        <color theme="1"/>
        <sz val="14.0"/>
      </rPr>
      <t xml:space="preserve">Distratores </t>
    </r>
    <r>
      <rPr>
        <rFont val="Arial"/>
        <color theme="1"/>
        <sz val="14.0"/>
      </rPr>
      <t>-  Alternativas incorretas que fazem parte de uma questão de múltipla escolha</t>
    </r>
  </si>
  <si>
    <r>
      <rPr>
        <rFont val="Arial"/>
        <b/>
        <color theme="1"/>
        <sz val="14.0"/>
      </rPr>
      <t xml:space="preserve">Descritores </t>
    </r>
    <r>
      <rPr>
        <rFont val="Arial"/>
        <color theme="1"/>
        <sz val="14.0"/>
      </rPr>
      <t xml:space="preserve">-  Descrições detalhadas do que os alunos devem saber e ser capazes de fazer em relação a uma determinada habilidade avaliada na prova. </t>
    </r>
  </si>
  <si>
    <r>
      <rPr>
        <rFont val="Arial"/>
        <b/>
        <color theme="1"/>
        <sz val="14.0"/>
      </rPr>
      <t xml:space="preserve">Habilidades </t>
    </r>
    <r>
      <rPr>
        <rFont val="Arial"/>
        <color theme="1"/>
        <sz val="14.0"/>
      </rPr>
      <t>- Competências e conhecimentos específicos que os alunos devem desenvolver e demonstrar em diferentes áreas do currículo</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</si>
</sst>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62">
    <font>
      <sz val="10.0"/>
      <color rgb="FF000000"/>
      <name val="Arial"/>
      <scheme val="minor"/>
    </font>
    <font>
      <b/>
      <sz val="25.0"/>
      <color theme="1"/>
      <name val="Arial"/>
    </font>
    <font>
      <b/>
      <sz val="9.0"/>
      <color theme="1"/>
      <name val="Arial"/>
    </font>
    <font>
      <sz val="8.0"/>
      <color theme="1"/>
      <name val="Arial"/>
    </font>
    <font>
      <b/>
      <sz val="8.0"/>
      <color theme="1"/>
      <name val="Arial"/>
    </font>
    <font>
      <b/>
      <sz val="43.0"/>
      <color theme="1"/>
      <name val="Arial"/>
    </font>
    <font>
      <b/>
      <sz val="21.0"/>
      <color theme="1"/>
      <name val="Arial"/>
    </font>
    <font>
      <b/>
      <sz val="18.0"/>
      <color theme="1"/>
      <name val="Arial"/>
    </font>
    <font/>
    <font>
      <sz val="12.0"/>
      <color theme="1"/>
      <name val="Arial"/>
    </font>
    <font>
      <b/>
      <sz val="12.0"/>
      <color rgb="FF000000"/>
      <name val="Arial"/>
    </font>
    <font>
      <sz val="12.0"/>
      <color rgb="FFFF0000"/>
      <name val="Arial"/>
    </font>
    <font>
      <u/>
      <sz val="11.0"/>
      <color rgb="FF0000FF"/>
      <name val="Arial"/>
    </font>
    <font>
      <b/>
      <sz val="10.0"/>
      <color theme="1"/>
      <name val="Arial"/>
    </font>
    <font>
      <color theme="1"/>
      <name val="Arial"/>
    </font>
    <font>
      <b/>
      <sz val="11.0"/>
      <color rgb="FFFFFFFF"/>
      <name val="Arial"/>
    </font>
    <font>
      <b/>
      <sz val="9.0"/>
      <color theme="0"/>
      <name val="Arial"/>
    </font>
    <font>
      <color theme="1"/>
      <name val="Arial"/>
      <scheme val="minor"/>
    </font>
    <font>
      <b/>
      <sz val="6.0"/>
      <color theme="1"/>
      <name val="Arial"/>
    </font>
    <font>
      <b/>
      <sz val="9.0"/>
      <color rgb="FFFFFFFF"/>
      <name val="Arial"/>
    </font>
    <font>
      <b/>
      <sz val="9.0"/>
      <color rgb="FFFF9900"/>
      <name val="Arial"/>
    </font>
    <font>
      <b/>
      <sz val="9.0"/>
      <color rgb="FF351C75"/>
      <name val="Arial"/>
    </font>
    <font>
      <sz val="7.0"/>
      <color theme="1"/>
      <name val="Arial"/>
    </font>
    <font>
      <b/>
      <sz val="16.0"/>
      <color rgb="FFFF9900"/>
      <name val="Arial"/>
    </font>
    <font>
      <b/>
      <sz val="8.0"/>
      <color rgb="FFFF9900"/>
      <name val="Arial"/>
    </font>
    <font>
      <b/>
      <sz val="17.0"/>
      <color rgb="FF674EA7"/>
      <name val="Arial"/>
    </font>
    <font>
      <b/>
      <sz val="16.0"/>
      <color rgb="FF674EA7"/>
      <name val="Arial"/>
    </font>
    <font>
      <b/>
      <sz val="8.0"/>
      <color rgb="FF674EA7"/>
      <name val="Arial"/>
    </font>
    <font>
      <sz val="10.0"/>
      <color theme="1"/>
      <name val="Arial"/>
    </font>
    <font>
      <sz val="11.0"/>
      <color theme="1"/>
      <name val="Arial"/>
    </font>
    <font>
      <b/>
      <sz val="10.0"/>
      <color rgb="FFFFFFFF"/>
      <name val="Arial"/>
    </font>
    <font>
      <b/>
      <sz val="9.0"/>
      <color rgb="FF000000"/>
      <name val="Arial"/>
    </font>
    <font>
      <b/>
      <color rgb="FFFFFFFF"/>
      <name val="Arial"/>
    </font>
    <font>
      <b/>
      <sz val="12.0"/>
      <color rgb="FFFF9900"/>
      <name val="Calibri"/>
    </font>
    <font>
      <sz val="10.0"/>
      <color rgb="FF000000"/>
      <name val="Arial"/>
    </font>
    <font>
      <b/>
      <sz val="12.0"/>
      <color rgb="FF351C75"/>
      <name val="Calibri"/>
    </font>
    <font>
      <sz val="6.0"/>
      <color theme="1"/>
      <name val="Arial"/>
    </font>
    <font>
      <sz val="9.0"/>
      <color theme="1"/>
      <name val="Arial"/>
    </font>
    <font>
      <sz val="5.0"/>
      <color theme="1"/>
      <name val="Arial"/>
    </font>
    <font>
      <b/>
      <color theme="1"/>
      <name val="Arial"/>
    </font>
    <font>
      <b/>
      <sz val="9.0"/>
      <color rgb="FFFF9900"/>
      <name val="Calibri"/>
    </font>
    <font>
      <b/>
      <sz val="8.0"/>
      <color rgb="FFFFFFFF"/>
      <name val="Arial"/>
    </font>
    <font>
      <sz val="14.0"/>
      <color theme="1"/>
      <name val="Arial"/>
    </font>
    <font>
      <b/>
      <sz val="10.0"/>
      <color rgb="FFFF0000"/>
      <name val="Arial"/>
    </font>
    <font>
      <b/>
      <sz val="11.0"/>
      <color rgb="FFFF9900"/>
      <name val="Arial"/>
    </font>
    <font>
      <b/>
      <sz val="14.0"/>
      <color theme="1"/>
      <name val="Arial"/>
    </font>
    <font>
      <b/>
      <sz val="11.0"/>
      <color rgb="FFFFFF00"/>
      <name val="Arial"/>
    </font>
    <font>
      <b/>
      <sz val="11.0"/>
      <color rgb="FF38761D"/>
      <name val="Arial"/>
    </font>
    <font>
      <sz val="10.0"/>
      <color rgb="FFFFFFFF"/>
      <name val="Arial"/>
    </font>
    <font>
      <b/>
      <sz val="9.0"/>
      <color rgb="FFFF0000"/>
      <name val="Arial"/>
    </font>
    <font>
      <sz val="13.0"/>
      <color theme="1"/>
      <name val="Arial"/>
    </font>
    <font>
      <u/>
      <sz val="11.0"/>
      <color rgb="FF0000FF"/>
      <name val="Arial"/>
    </font>
    <font>
      <b/>
      <color rgb="FFFF9900"/>
      <name val="Arial"/>
    </font>
    <font>
      <b/>
      <color theme="0"/>
      <name val="Arial"/>
    </font>
    <font>
      <b/>
      <sz val="11.0"/>
      <color theme="1"/>
      <name val="Arial"/>
    </font>
    <font>
      <color rgb="FF000000"/>
      <name val="Arial"/>
    </font>
    <font>
      <b/>
      <sz val="8.0"/>
      <color theme="0"/>
      <name val="Arial"/>
    </font>
    <font>
      <b/>
      <sz val="8.0"/>
      <color rgb="FF000000"/>
      <name val="Arial"/>
    </font>
    <font>
      <b/>
      <sz val="8.0"/>
      <color rgb="FFFF9900"/>
      <name val="Calibri"/>
    </font>
    <font>
      <b/>
      <sz val="8.0"/>
      <color rgb="FF351C75"/>
      <name val="Calibri"/>
    </font>
    <font>
      <sz val="4.0"/>
      <color theme="1"/>
      <name val="Arial"/>
    </font>
    <font>
      <b/>
      <sz val="11.0"/>
      <color rgb="FFFF0000"/>
      <name val="Arial"/>
    </font>
  </fonts>
  <fills count="13">
    <fill>
      <patternFill patternType="none"/>
    </fill>
    <fill>
      <patternFill patternType="lightGray"/>
    </fill>
    <fill>
      <patternFill patternType="solid">
        <fgColor rgb="FF073763"/>
        <bgColor rgb="FF073763"/>
      </patternFill>
    </fill>
    <fill>
      <patternFill patternType="solid">
        <fgColor rgb="FFEFEFEF"/>
        <bgColor rgb="FFEFEFEF"/>
      </patternFill>
    </fill>
    <fill>
      <patternFill patternType="solid">
        <fgColor rgb="FFFF9900"/>
        <bgColor rgb="FFFF9900"/>
      </patternFill>
    </fill>
    <fill>
      <patternFill patternType="solid">
        <fgColor rgb="FFB4A7D6"/>
        <bgColor rgb="FFB4A7D6"/>
      </patternFill>
    </fill>
    <fill>
      <patternFill patternType="solid">
        <fgColor rgb="FFFFFFFF"/>
        <bgColor rgb="FFFFFFFF"/>
      </patternFill>
    </fill>
    <fill>
      <patternFill patternType="solid">
        <fgColor rgb="FFD8D8D8"/>
        <bgColor rgb="FFD8D8D8"/>
      </patternFill>
    </fill>
    <fill>
      <patternFill patternType="solid">
        <fgColor rgb="FFCFE2F3"/>
        <bgColor rgb="FFCFE2F3"/>
      </patternFill>
    </fill>
    <fill>
      <patternFill patternType="solid">
        <fgColor rgb="FF8E7CC3"/>
        <bgColor rgb="FF8E7CC3"/>
      </patternFill>
    </fill>
    <fill>
      <patternFill patternType="solid">
        <fgColor rgb="FFF3F3F3"/>
        <bgColor rgb="FFF3F3F3"/>
      </patternFill>
    </fill>
    <fill>
      <patternFill patternType="solid">
        <fgColor rgb="FF674EA7"/>
        <bgColor rgb="FF674EA7"/>
      </patternFill>
    </fill>
    <fill>
      <patternFill patternType="solid">
        <fgColor rgb="FFD9D9D9"/>
        <bgColor rgb="FFD9D9D9"/>
      </patternFill>
    </fill>
  </fills>
  <borders count="4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double">
        <color rgb="FF000000"/>
      </right>
      <top style="thin">
        <color rgb="FF000000"/>
      </top>
      <bottom style="thin">
        <color rgb="FF000000"/>
      </bottom>
    </border>
    <border>
      <left style="thin">
        <color rgb="FF000000"/>
      </left>
      <right style="thin">
        <color rgb="FF000000"/>
      </right>
      <bottom style="thick">
        <color rgb="FF000000"/>
      </bottom>
    </border>
    <border>
      <left style="thin">
        <color rgb="FF000000"/>
      </lef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right style="thick">
        <color rgb="FF000000"/>
      </right>
      <bottom style="thin">
        <color rgb="FF000000"/>
      </bottom>
    </border>
    <border>
      <right style="thick">
        <color rgb="FF000000"/>
      </right>
    </border>
    <border>
      <right style="thick">
        <color rgb="FF000000"/>
      </right>
      <top style="thin">
        <color rgb="FF000000"/>
      </top>
      <bottom style="thin">
        <color rgb="FF000000"/>
      </bottom>
    </border>
    <border>
      <left style="thin">
        <color rgb="FF000000"/>
      </left>
      <right style="thick">
        <color rgb="FF000000"/>
      </right>
      <top style="thin">
        <color rgb="FF000000"/>
      </top>
    </border>
    <border>
      <left style="thin">
        <color rgb="FF000000"/>
      </left>
      <right style="thick">
        <color rgb="FF000000"/>
      </right>
    </border>
    <border>
      <left style="thin">
        <color rgb="FF000000"/>
      </left>
      <right style="thick">
        <color rgb="FF000000"/>
      </right>
      <bottom style="thin">
        <color rgb="FF000000"/>
      </bottom>
    </border>
    <border>
      <left/>
      <right style="thin">
        <color rgb="FF000000"/>
      </right>
      <top style="thin">
        <color rgb="FF000000"/>
      </top>
      <bottom style="thin">
        <color rgb="FF000000"/>
      </bottom>
    </border>
    <border>
      <left/>
      <right style="thick">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9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bottom"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1" fillId="0" fontId="1" numFmtId="0" xfId="0" applyAlignment="1" applyBorder="1" applyFont="1">
      <alignment horizontal="center" vertical="center"/>
    </xf>
    <xf borderId="2" fillId="0" fontId="1" numFmtId="0" xfId="0" applyAlignment="1" applyBorder="1" applyFont="1">
      <alignment horizontal="center" vertical="center"/>
    </xf>
    <xf borderId="3" fillId="0" fontId="1" numFmtId="0" xfId="0" applyAlignment="1" applyBorder="1" applyFont="1">
      <alignment horizontal="center" vertical="center"/>
    </xf>
    <xf borderId="4" fillId="0" fontId="1" numFmtId="0" xfId="0" applyAlignment="1" applyBorder="1" applyFont="1">
      <alignment horizontal="center" vertical="center"/>
    </xf>
    <xf borderId="5" fillId="0" fontId="8" numFmtId="0" xfId="0" applyBorder="1" applyFont="1"/>
    <xf borderId="4" fillId="0" fontId="1" numFmtId="0" xfId="0" applyAlignment="1" applyBorder="1" applyFont="1">
      <alignment horizontal="center" readingOrder="0" vertical="center"/>
    </xf>
    <xf borderId="4" fillId="0" fontId="9" numFmtId="0" xfId="0" applyAlignment="1" applyBorder="1" applyFont="1">
      <alignment horizontal="left" vertical="center"/>
    </xf>
    <xf borderId="0" fillId="0" fontId="10" numFmtId="0" xfId="0" applyAlignment="1" applyFont="1">
      <alignment horizontal="center" vertical="center"/>
    </xf>
    <xf borderId="5" fillId="0" fontId="10" numFmtId="0" xfId="0" applyAlignment="1" applyBorder="1" applyFont="1">
      <alignment horizontal="center" vertical="center"/>
    </xf>
    <xf borderId="0" fillId="0" fontId="9" numFmtId="0" xfId="0" applyAlignment="1" applyFont="1">
      <alignment horizontal="left" vertical="center"/>
    </xf>
    <xf borderId="0" fillId="0" fontId="11" numFmtId="0" xfId="0" applyAlignment="1" applyFont="1">
      <alignment horizontal="center" vertical="center"/>
    </xf>
    <xf borderId="5" fillId="0" fontId="11" numFmtId="0" xfId="0" applyAlignment="1" applyBorder="1" applyFont="1">
      <alignment horizontal="center" vertical="center"/>
    </xf>
    <xf borderId="6" fillId="0" fontId="12" numFmtId="0" xfId="0" applyAlignment="1" applyBorder="1" applyFont="1">
      <alignment horizontal="right" vertical="center"/>
    </xf>
    <xf borderId="7" fillId="0" fontId="8" numFmtId="0" xfId="0" applyBorder="1" applyFont="1"/>
    <xf borderId="8" fillId="0" fontId="8" numFmtId="0" xfId="0" applyBorder="1" applyFont="1"/>
    <xf borderId="0" fillId="0" fontId="13" numFmtId="0" xfId="0" applyAlignment="1" applyFont="1">
      <alignment horizontal="center"/>
    </xf>
    <xf borderId="0" fillId="2" fontId="13" numFmtId="0" xfId="0" applyAlignment="1" applyFill="1" applyFont="1">
      <alignment horizontal="center"/>
    </xf>
    <xf borderId="0" fillId="2" fontId="14" numFmtId="0" xfId="0" applyFont="1"/>
    <xf borderId="9" fillId="2" fontId="15" numFmtId="0" xfId="0" applyAlignment="1" applyBorder="1" applyFont="1">
      <alignment horizontal="center"/>
    </xf>
    <xf borderId="10" fillId="0" fontId="8" numFmtId="0" xfId="0" applyBorder="1" applyFont="1"/>
    <xf borderId="0" fillId="0" fontId="15" numFmtId="0" xfId="0" applyAlignment="1" applyFont="1">
      <alignment horizontal="center"/>
    </xf>
    <xf borderId="1" fillId="3" fontId="15" numFmtId="0" xfId="0" applyAlignment="1" applyBorder="1" applyFill="1" applyFont="1">
      <alignment horizontal="center"/>
    </xf>
    <xf borderId="2" fillId="3" fontId="15" numFmtId="0" xfId="0" applyAlignment="1" applyBorder="1" applyFont="1">
      <alignment horizontal="center"/>
    </xf>
    <xf borderId="2" fillId="3" fontId="16" numFmtId="0" xfId="0" applyAlignment="1" applyBorder="1" applyFont="1">
      <alignment horizontal="center"/>
    </xf>
    <xf borderId="2" fillId="0" fontId="8" numFmtId="0" xfId="0" applyBorder="1" applyFont="1"/>
    <xf borderId="2" fillId="3" fontId="3" numFmtId="0" xfId="0" applyAlignment="1" applyBorder="1" applyFont="1">
      <alignment horizontal="center" shrinkToFit="0" vertical="center" wrapText="1"/>
    </xf>
    <xf borderId="3" fillId="3" fontId="17" numFmtId="0" xfId="0" applyBorder="1" applyFont="1"/>
    <xf borderId="11" fillId="3" fontId="13" numFmtId="0" xfId="0" applyAlignment="1" applyBorder="1" applyFont="1">
      <alignment horizontal="center" vertical="center"/>
    </xf>
    <xf borderId="3" fillId="3" fontId="13" numFmtId="0" xfId="0" applyAlignment="1" applyBorder="1" applyFont="1">
      <alignment horizontal="center" vertical="center"/>
    </xf>
    <xf borderId="3" fillId="3" fontId="18" numFmtId="0" xfId="0" applyAlignment="1" applyBorder="1" applyFont="1">
      <alignment horizontal="center" shrinkToFit="0" textRotation="90" vertical="center" wrapText="1"/>
    </xf>
    <xf borderId="9" fillId="4" fontId="19" numFmtId="0" xfId="0" applyAlignment="1" applyBorder="1" applyFill="1" applyFont="1">
      <alignment horizontal="center" shrinkToFit="0" vertical="center" wrapText="1"/>
    </xf>
    <xf borderId="12" fillId="0" fontId="8" numFmtId="0" xfId="0" applyBorder="1" applyFont="1"/>
    <xf borderId="9" fillId="5" fontId="19" numFmtId="0" xfId="0" applyAlignment="1" applyBorder="1" applyFill="1" applyFont="1">
      <alignment horizontal="center" shrinkToFit="0" vertical="center" wrapText="1"/>
    </xf>
    <xf borderId="4" fillId="3" fontId="3" numFmtId="0" xfId="0" applyAlignment="1" applyBorder="1" applyFont="1">
      <alignment horizontal="center" shrinkToFit="0" vertical="center" wrapText="1"/>
    </xf>
    <xf borderId="0" fillId="3" fontId="4" numFmtId="0" xfId="0" applyAlignment="1" applyFont="1">
      <alignment horizontal="center" shrinkToFit="0" vertical="center" wrapText="1"/>
    </xf>
    <xf borderId="0" fillId="3" fontId="3" numFmtId="0" xfId="0" applyAlignment="1" applyFont="1">
      <alignment horizontal="center" shrinkToFit="0" vertical="center" wrapText="1"/>
    </xf>
    <xf borderId="5" fillId="3" fontId="17" numFmtId="0" xfId="0" applyBorder="1" applyFont="1"/>
    <xf borderId="13" fillId="0" fontId="8" numFmtId="0" xfId="0" applyBorder="1" applyFont="1"/>
    <xf borderId="14" fillId="3" fontId="20" numFmtId="0" xfId="0" applyAlignment="1" applyBorder="1" applyFont="1">
      <alignment horizontal="center" shrinkToFit="0" textRotation="90" vertical="center" wrapText="1"/>
    </xf>
    <xf borderId="15" fillId="3" fontId="20" numFmtId="0" xfId="0" applyAlignment="1" applyBorder="1" applyFont="1">
      <alignment horizontal="center" shrinkToFit="0" textRotation="90" vertical="center" wrapText="1"/>
    </xf>
    <xf borderId="12" fillId="3" fontId="21" numFmtId="0" xfId="0" applyAlignment="1" applyBorder="1" applyFont="1">
      <alignment horizontal="center" shrinkToFit="0" textRotation="90" vertical="center" wrapText="1"/>
    </xf>
    <xf borderId="14" fillId="3" fontId="21" numFmtId="0" xfId="0" applyAlignment="1" applyBorder="1" applyFont="1">
      <alignment horizontal="center" shrinkToFit="0" textRotation="90" vertical="center" wrapText="1"/>
    </xf>
    <xf borderId="4" fillId="3" fontId="3" numFmtId="0" xfId="0" applyAlignment="1" applyBorder="1" applyFont="1">
      <alignment horizontal="center" shrinkToFit="0" textRotation="90" vertical="center" wrapText="1"/>
    </xf>
    <xf borderId="0" fillId="3" fontId="3" numFmtId="0" xfId="0" applyAlignment="1" applyFont="1">
      <alignment horizontal="center" shrinkToFit="0" textRotation="90" vertical="center" wrapText="1"/>
    </xf>
    <xf borderId="0" fillId="3" fontId="22" numFmtId="0" xfId="0" applyAlignment="1" applyFont="1">
      <alignment horizontal="center" shrinkToFit="0" textRotation="90" vertical="center" wrapText="1"/>
    </xf>
    <xf borderId="0" fillId="3" fontId="23" numFmtId="0" xfId="0" applyAlignment="1" applyFont="1">
      <alignment horizontal="center" shrinkToFit="0" textRotation="90" vertical="center" wrapText="1"/>
    </xf>
    <xf borderId="0" fillId="3" fontId="24" numFmtId="0" xfId="0" applyAlignment="1" applyFont="1">
      <alignment horizontal="center" shrinkToFit="0" vertical="center" wrapText="1"/>
    </xf>
    <xf borderId="0" fillId="3" fontId="25" numFmtId="0" xfId="0" applyAlignment="1" applyFont="1">
      <alignment horizontal="center" shrinkToFit="0" textRotation="90" vertical="center" wrapText="1"/>
    </xf>
    <xf borderId="0" fillId="3" fontId="26" numFmtId="0" xfId="0" applyAlignment="1" applyFont="1">
      <alignment horizontal="center" shrinkToFit="0" textRotation="90" vertical="center" wrapText="1"/>
    </xf>
    <xf borderId="0" fillId="3" fontId="27" numFmtId="0" xfId="0" applyAlignment="1" applyFont="1">
      <alignment horizontal="center" shrinkToFit="0" vertical="center" wrapText="1"/>
    </xf>
    <xf borderId="14" fillId="3" fontId="20" numFmtId="0" xfId="0" applyAlignment="1" applyBorder="1" applyFont="1">
      <alignment horizontal="center" shrinkToFit="0" vertical="center" wrapText="1"/>
    </xf>
    <xf borderId="16" fillId="3" fontId="20" numFmtId="0" xfId="0" applyAlignment="1" applyBorder="1" applyFont="1">
      <alignment horizontal="center" shrinkToFit="0" vertical="center" wrapText="1"/>
    </xf>
    <xf borderId="12" fillId="3" fontId="21" numFmtId="0" xfId="0" applyAlignment="1" applyBorder="1" applyFont="1">
      <alignment horizontal="center" shrinkToFit="0" vertical="center" wrapText="1"/>
    </xf>
    <xf borderId="14" fillId="3" fontId="21" numFmtId="0" xfId="0" applyAlignment="1" applyBorder="1" applyFont="1">
      <alignment horizontal="center" shrinkToFit="0" vertical="center" wrapText="1"/>
    </xf>
    <xf borderId="4" fillId="0" fontId="8" numFmtId="0" xfId="0" applyBorder="1" applyFont="1"/>
    <xf borderId="17" fillId="0" fontId="8" numFmtId="0" xfId="0" applyBorder="1" applyFont="1"/>
    <xf borderId="14" fillId="3" fontId="20" numFmtId="0" xfId="0" applyAlignment="1" applyBorder="1" applyFont="1">
      <alignment horizontal="center" readingOrder="0" shrinkToFit="0" vertical="center" wrapText="1"/>
    </xf>
    <xf borderId="15" fillId="3" fontId="20" numFmtId="0" xfId="0" applyAlignment="1" applyBorder="1" applyFont="1">
      <alignment horizontal="center" readingOrder="0" shrinkToFit="0" vertical="center" wrapText="1"/>
    </xf>
    <xf borderId="12" fillId="3" fontId="21" numFmtId="0" xfId="0" applyAlignment="1" applyBorder="1" applyFont="1">
      <alignment horizontal="center" readingOrder="0" shrinkToFit="0" vertical="center" wrapText="1"/>
    </xf>
    <xf borderId="14" fillId="3" fontId="21" numFmtId="0" xfId="0" applyAlignment="1" applyBorder="1" applyFont="1">
      <alignment horizontal="center" readingOrder="0" shrinkToFit="0" vertical="center" wrapText="1"/>
    </xf>
    <xf borderId="18" fillId="6" fontId="28" numFmtId="0" xfId="0" applyAlignment="1" applyBorder="1" applyFill="1" applyFont="1">
      <alignment horizontal="center" vertical="top"/>
    </xf>
    <xf borderId="14" fillId="0" fontId="29" numFmtId="0" xfId="0" applyAlignment="1" applyBorder="1" applyFont="1">
      <alignment readingOrder="0" vertical="bottom"/>
    </xf>
    <xf borderId="8" fillId="0" fontId="28" numFmtId="0" xfId="0" applyAlignment="1" applyBorder="1" applyFont="1">
      <alignment horizontal="center" vertical="bottom"/>
    </xf>
    <xf borderId="12" fillId="0" fontId="28" numFmtId="0" xfId="0" applyAlignment="1" applyBorder="1" applyFont="1">
      <alignment horizontal="center" vertical="bottom"/>
    </xf>
    <xf borderId="19" fillId="0" fontId="28" numFmtId="0" xfId="0" applyAlignment="1" applyBorder="1" applyFont="1">
      <alignment horizontal="center" vertical="bottom"/>
    </xf>
    <xf borderId="4" fillId="3" fontId="29" numFmtId="0" xfId="0" applyAlignment="1" applyBorder="1" applyFont="1">
      <alignment horizontal="center"/>
    </xf>
    <xf borderId="0" fillId="3" fontId="14" numFmtId="0" xfId="0" applyAlignment="1" applyFont="1">
      <alignment horizontal="center" vertical="bottom"/>
    </xf>
    <xf borderId="0" fillId="3" fontId="13" numFmtId="164" xfId="0" applyAlignment="1" applyFont="1" applyNumberFormat="1">
      <alignment horizontal="center"/>
    </xf>
    <xf borderId="0" fillId="3" fontId="2" numFmtId="0" xfId="0" applyAlignment="1" applyFont="1">
      <alignment horizontal="center"/>
    </xf>
    <xf borderId="0" fillId="3" fontId="13" numFmtId="0" xfId="0" applyAlignment="1" applyFont="1">
      <alignment horizontal="center"/>
    </xf>
    <xf borderId="18" fillId="6" fontId="29" numFmtId="0" xfId="0" applyAlignment="1" applyBorder="1" applyFont="1">
      <alignment horizontal="center" readingOrder="0" vertical="top"/>
    </xf>
    <xf borderId="0" fillId="3" fontId="29" numFmtId="0" xfId="0" applyAlignment="1" applyFont="1">
      <alignment horizontal="center" vertical="bottom"/>
    </xf>
    <xf borderId="18" fillId="6" fontId="28" numFmtId="0" xfId="0" applyAlignment="1" applyBorder="1" applyFont="1">
      <alignment horizontal="right" vertical="top"/>
    </xf>
    <xf borderId="8" fillId="7" fontId="3" numFmtId="0" xfId="0" applyAlignment="1" applyBorder="1" applyFill="1" applyFont="1">
      <alignment horizontal="center" vertical="bottom"/>
    </xf>
    <xf borderId="6" fillId="3" fontId="14" numFmtId="0" xfId="0" applyBorder="1" applyFont="1"/>
    <xf borderId="7" fillId="3" fontId="14" numFmtId="0" xfId="0" applyBorder="1" applyFont="1"/>
    <xf borderId="7" fillId="3" fontId="17" numFmtId="0" xfId="0" applyBorder="1" applyFont="1"/>
    <xf borderId="8" fillId="3" fontId="17" numFmtId="0" xfId="0" applyBorder="1" applyFont="1"/>
    <xf borderId="0" fillId="0" fontId="28" numFmtId="0" xfId="0" applyFont="1"/>
    <xf borderId="1" fillId="3" fontId="14" numFmtId="0" xfId="0" applyBorder="1" applyFont="1"/>
    <xf borderId="2" fillId="3" fontId="14" numFmtId="0" xfId="0" applyBorder="1" applyFont="1"/>
    <xf borderId="3" fillId="3" fontId="14" numFmtId="0" xfId="0" applyBorder="1" applyFont="1"/>
    <xf borderId="4" fillId="2" fontId="30" numFmtId="0" xfId="0" applyAlignment="1" applyBorder="1" applyFont="1">
      <alignment horizontal="center" vertical="center"/>
    </xf>
    <xf borderId="0" fillId="0" fontId="30" numFmtId="0" xfId="0" applyAlignment="1" applyFont="1">
      <alignment horizontal="center" vertical="center"/>
    </xf>
    <xf borderId="4" fillId="3" fontId="14" numFmtId="0" xfId="0" applyBorder="1" applyFont="1"/>
    <xf borderId="0" fillId="3" fontId="14" numFmtId="0" xfId="0" applyFont="1"/>
    <xf borderId="1" fillId="8" fontId="31" numFmtId="0" xfId="0" applyAlignment="1" applyBorder="1" applyFill="1" applyFont="1">
      <alignment horizontal="center" vertical="center"/>
    </xf>
    <xf borderId="3" fillId="0" fontId="8" numFmtId="0" xfId="0" applyBorder="1" applyFont="1"/>
    <xf borderId="11" fillId="8" fontId="31" numFmtId="0" xfId="0" applyAlignment="1" applyBorder="1" applyFont="1">
      <alignment horizontal="center" vertical="center"/>
    </xf>
    <xf borderId="11" fillId="8" fontId="2" numFmtId="0" xfId="0" applyAlignment="1" applyBorder="1" applyFont="1">
      <alignment horizontal="center" vertical="center"/>
    </xf>
    <xf borderId="2" fillId="8" fontId="13" numFmtId="0" xfId="0" applyAlignment="1" applyBorder="1" applyFont="1">
      <alignment horizontal="center" vertical="center"/>
    </xf>
    <xf borderId="0" fillId="0" fontId="13" numFmtId="0" xfId="0" applyAlignment="1" applyFont="1">
      <alignment horizontal="center" vertical="center"/>
    </xf>
    <xf borderId="6" fillId="0" fontId="8" numFmtId="0" xfId="0" applyBorder="1" applyFont="1"/>
    <xf borderId="5" fillId="3" fontId="14" numFmtId="0" xfId="0" applyBorder="1" applyFont="1"/>
    <xf borderId="13" fillId="4" fontId="32" numFmtId="0" xfId="0" applyAlignment="1" applyBorder="1" applyFont="1">
      <alignment horizontal="center" textRotation="90" vertical="center"/>
    </xf>
    <xf borderId="6" fillId="3" fontId="33" numFmtId="0" xfId="0" applyAlignment="1" applyBorder="1" applyFont="1">
      <alignment horizontal="center" shrinkToFit="0" vertical="center" wrapText="1"/>
    </xf>
    <xf borderId="17" fillId="0" fontId="14" numFmtId="0" xfId="0" applyAlignment="1" applyBorder="1" applyFont="1">
      <alignment horizontal="center" vertical="center"/>
    </xf>
    <xf borderId="6" fillId="6" fontId="28" numFmtId="164" xfId="0" applyAlignment="1" applyBorder="1" applyFont="1" applyNumberFormat="1">
      <alignment horizontal="center" shrinkToFit="0" vertical="center" wrapText="1"/>
    </xf>
    <xf borderId="9" fillId="6" fontId="28" numFmtId="0" xfId="0" applyAlignment="1" applyBorder="1" applyFont="1">
      <alignment readingOrder="0" shrinkToFit="0" vertical="center" wrapText="0"/>
    </xf>
    <xf borderId="10" fillId="6" fontId="14" numFmtId="0" xfId="0" applyAlignment="1" applyBorder="1" applyFont="1">
      <alignment shrinkToFit="0" vertical="center" wrapText="0"/>
    </xf>
    <xf borderId="12" fillId="6" fontId="14" numFmtId="0" xfId="0" applyAlignment="1" applyBorder="1" applyFont="1">
      <alignment shrinkToFit="0" vertical="center" wrapText="0"/>
    </xf>
    <xf borderId="0" fillId="6" fontId="28" numFmtId="0" xfId="0" applyAlignment="1" applyFont="1">
      <alignment horizontal="left" shrinkToFit="0" vertical="center" wrapText="1"/>
    </xf>
    <xf borderId="9" fillId="3" fontId="33" numFmtId="0" xfId="0" applyAlignment="1" applyBorder="1" applyFont="1">
      <alignment horizontal="center" shrinkToFit="0" vertical="center" wrapText="1"/>
    </xf>
    <xf borderId="14" fillId="0" fontId="14" numFmtId="0" xfId="0" applyAlignment="1" applyBorder="1" applyFont="1">
      <alignment horizontal="center" vertical="center"/>
    </xf>
    <xf borderId="14" fillId="0" fontId="28" numFmtId="0" xfId="0" applyAlignment="1" applyBorder="1" applyFont="1">
      <alignment horizontal="center" vertical="center"/>
    </xf>
    <xf borderId="0" fillId="6" fontId="34" numFmtId="0" xfId="0" applyAlignment="1" applyFont="1">
      <alignment horizontal="left" shrinkToFit="0" vertical="center" wrapText="1"/>
    </xf>
    <xf borderId="0" fillId="6" fontId="28" numFmtId="0" xfId="0" applyAlignment="1" applyFont="1">
      <alignment shrinkToFit="0" vertical="center" wrapText="1"/>
    </xf>
    <xf borderId="20" fillId="0" fontId="8" numFmtId="0" xfId="0" applyBorder="1" applyFont="1"/>
    <xf borderId="21" fillId="3" fontId="33" numFmtId="0" xfId="0" applyAlignment="1" applyBorder="1" applyFont="1">
      <alignment horizontal="center" shrinkToFit="0" vertical="center" wrapText="1"/>
    </xf>
    <xf borderId="22" fillId="0" fontId="14" numFmtId="0" xfId="0" applyAlignment="1" applyBorder="1" applyFont="1">
      <alignment horizontal="center" vertical="center"/>
    </xf>
    <xf borderId="23" fillId="6" fontId="28" numFmtId="164" xfId="0" applyAlignment="1" applyBorder="1" applyFont="1" applyNumberFormat="1">
      <alignment horizontal="center" shrinkToFit="0" vertical="center" wrapText="1"/>
    </xf>
    <xf borderId="21" fillId="6" fontId="28" numFmtId="0" xfId="0" applyAlignment="1" applyBorder="1" applyFont="1">
      <alignment readingOrder="0" shrinkToFit="0" vertical="center" wrapText="0"/>
    </xf>
    <xf borderId="24" fillId="6" fontId="14" numFmtId="0" xfId="0" applyAlignment="1" applyBorder="1" applyFont="1">
      <alignment shrinkToFit="0" vertical="center" wrapText="0"/>
    </xf>
    <xf borderId="25" fillId="6" fontId="14" numFmtId="0" xfId="0" applyAlignment="1" applyBorder="1" applyFont="1">
      <alignment shrinkToFit="0" vertical="center" wrapText="0"/>
    </xf>
    <xf borderId="13" fillId="9" fontId="32" numFmtId="0" xfId="0" applyAlignment="1" applyBorder="1" applyFill="1" applyFont="1">
      <alignment horizontal="center" textRotation="90" vertical="center"/>
    </xf>
    <xf borderId="6" fillId="3" fontId="35" numFmtId="0" xfId="0" applyAlignment="1" applyBorder="1" applyFont="1">
      <alignment horizontal="center" shrinkToFit="0" vertical="center" wrapText="1"/>
    </xf>
    <xf borderId="6" fillId="0" fontId="36" numFmtId="0" xfId="0" applyAlignment="1" applyBorder="1" applyFont="1">
      <alignment readingOrder="0" shrinkToFit="0" vertical="center" wrapText="0"/>
    </xf>
    <xf borderId="7" fillId="0" fontId="36" numFmtId="0" xfId="0" applyAlignment="1" applyBorder="1" applyFont="1">
      <alignment shrinkToFit="0" vertical="center" wrapText="0"/>
    </xf>
    <xf borderId="8" fillId="0" fontId="36" numFmtId="0" xfId="0" applyAlignment="1" applyBorder="1" applyFont="1">
      <alignment shrinkToFit="0" vertical="center" wrapText="0"/>
    </xf>
    <xf borderId="0" fillId="0" fontId="3" numFmtId="0" xfId="0" applyAlignment="1" applyFont="1">
      <alignment horizontal="left" shrinkToFit="0" vertical="center" wrapText="1"/>
    </xf>
    <xf borderId="9" fillId="3" fontId="35" numFmtId="0" xfId="0" applyAlignment="1" applyBorder="1" applyFont="1">
      <alignment horizontal="center" shrinkToFit="0" vertical="center" wrapText="1"/>
    </xf>
    <xf borderId="9" fillId="0" fontId="37" numFmtId="0" xfId="0" applyAlignment="1" applyBorder="1" applyFont="1">
      <alignment readingOrder="0" shrinkToFit="0" vertical="center" wrapText="0"/>
    </xf>
    <xf borderId="10" fillId="0" fontId="14" numFmtId="0" xfId="0" applyAlignment="1" applyBorder="1" applyFont="1">
      <alignment shrinkToFit="0" vertical="center" wrapText="0"/>
    </xf>
    <xf borderId="12" fillId="0" fontId="14" numFmtId="0" xfId="0" applyAlignment="1" applyBorder="1" applyFont="1">
      <alignment shrinkToFit="0" vertical="center" wrapText="0"/>
    </xf>
    <xf borderId="0" fillId="0" fontId="28" numFmtId="0" xfId="0" applyAlignment="1" applyFont="1">
      <alignment horizontal="left" shrinkToFit="0" vertical="center" wrapText="1"/>
    </xf>
    <xf borderId="9" fillId="0" fontId="14" numFmtId="0" xfId="0" applyAlignment="1" applyBorder="1" applyFont="1">
      <alignment readingOrder="0" shrinkToFit="0" vertical="center" wrapText="0"/>
    </xf>
    <xf borderId="9" fillId="0" fontId="36" numFmtId="0" xfId="0" applyAlignment="1" applyBorder="1" applyFont="1">
      <alignment readingOrder="0" shrinkToFit="0" vertical="center" wrapText="0"/>
    </xf>
    <xf borderId="9" fillId="0" fontId="22" numFmtId="0" xfId="0" applyAlignment="1" applyBorder="1" applyFont="1">
      <alignment readingOrder="0" shrinkToFit="0" vertical="center" wrapText="0"/>
    </xf>
    <xf borderId="10" fillId="0" fontId="37" numFmtId="0" xfId="0" applyAlignment="1" applyBorder="1" applyFont="1">
      <alignment shrinkToFit="0" vertical="center" wrapText="0"/>
    </xf>
    <xf borderId="12" fillId="0" fontId="37" numFmtId="0" xfId="0" applyAlignment="1" applyBorder="1" applyFont="1">
      <alignment shrinkToFit="0" vertical="center" wrapText="0"/>
    </xf>
    <xf borderId="10" fillId="0" fontId="22" numFmtId="0" xfId="0" applyAlignment="1" applyBorder="1" applyFont="1">
      <alignment shrinkToFit="0" vertical="center" wrapText="0"/>
    </xf>
    <xf borderId="12" fillId="0" fontId="22" numFmtId="0" xfId="0" applyAlignment="1" applyBorder="1" applyFont="1">
      <alignment shrinkToFit="0" vertical="center" wrapText="0"/>
    </xf>
    <xf borderId="0" fillId="0" fontId="37" numFmtId="0" xfId="0" applyAlignment="1" applyFont="1">
      <alignment horizontal="left" shrinkToFit="0" vertical="center" wrapText="1"/>
    </xf>
    <xf borderId="0" fillId="0" fontId="29" numFmtId="0" xfId="0" applyAlignment="1" applyFont="1">
      <alignment horizontal="left" shrinkToFit="0" vertical="center" wrapText="1"/>
    </xf>
    <xf borderId="9" fillId="0" fontId="28" numFmtId="0" xfId="0" applyAlignment="1" applyBorder="1" applyFont="1">
      <alignment readingOrder="0" shrinkToFit="0" vertical="center" wrapText="0"/>
    </xf>
    <xf borderId="9" fillId="0" fontId="38" numFmtId="0" xfId="0" applyAlignment="1" applyBorder="1" applyFont="1">
      <alignment readingOrder="0" shrinkToFit="0" vertical="center" wrapText="0"/>
    </xf>
    <xf borderId="8" fillId="3" fontId="14" numFmtId="0" xfId="0" applyBorder="1" applyFont="1"/>
    <xf borderId="10" fillId="0" fontId="29" numFmtId="0" xfId="0" applyAlignment="1" applyBorder="1" applyFont="1">
      <alignment shrinkToFit="0" vertical="center" wrapText="0"/>
    </xf>
    <xf borderId="12" fillId="0" fontId="29" numFmtId="0" xfId="0" applyAlignment="1" applyBorder="1" applyFont="1">
      <alignment shrinkToFit="0" vertical="center" wrapText="0"/>
    </xf>
    <xf borderId="7" fillId="2" fontId="15" numFmtId="0" xfId="0" applyAlignment="1" applyBorder="1" applyFont="1">
      <alignment horizontal="center" vertical="center"/>
    </xf>
    <xf borderId="26" fillId="0" fontId="8" numFmtId="0" xfId="0" applyBorder="1" applyFont="1"/>
    <xf borderId="12" fillId="8" fontId="39" numFmtId="0" xfId="0" applyAlignment="1" applyBorder="1" applyFont="1">
      <alignment horizontal="center"/>
    </xf>
    <xf borderId="14" fillId="8" fontId="2" numFmtId="0" xfId="0" applyAlignment="1" applyBorder="1" applyFont="1">
      <alignment horizontal="center" vertical="center"/>
    </xf>
    <xf borderId="14" fillId="8" fontId="2" numFmtId="0" xfId="0" applyAlignment="1" applyBorder="1" applyFont="1">
      <alignment horizontal="center" readingOrder="0" vertical="center"/>
    </xf>
    <xf borderId="16" fillId="3" fontId="2" numFmtId="165" xfId="0" applyAlignment="1" applyBorder="1" applyFont="1" applyNumberFormat="1">
      <alignment horizontal="center" vertical="center"/>
    </xf>
    <xf borderId="16" fillId="3" fontId="2" numFmtId="0" xfId="0" applyAlignment="1" applyBorder="1" applyFont="1">
      <alignment horizontal="center" vertical="center"/>
    </xf>
    <xf borderId="0" fillId="4" fontId="32" numFmtId="0" xfId="0" applyAlignment="1" applyFont="1">
      <alignment horizontal="center" textRotation="90" vertical="center"/>
    </xf>
    <xf borderId="9" fillId="3" fontId="40" numFmtId="0" xfId="0" applyAlignment="1" applyBorder="1" applyFont="1">
      <alignment horizontal="center" shrinkToFit="0" vertical="center" wrapText="1"/>
    </xf>
    <xf borderId="14" fillId="0" fontId="37" numFmtId="3" xfId="0" applyAlignment="1" applyBorder="1" applyFont="1" applyNumberFormat="1">
      <alignment horizontal="center" vertical="center"/>
    </xf>
    <xf borderId="14" fillId="8" fontId="37" numFmtId="3" xfId="0" applyAlignment="1" applyBorder="1" applyFont="1" applyNumberFormat="1">
      <alignment horizontal="center" vertical="center"/>
    </xf>
    <xf borderId="16" fillId="3" fontId="37" numFmtId="164" xfId="0" applyAlignment="1" applyBorder="1" applyFont="1" applyNumberFormat="1">
      <alignment horizontal="center" vertical="center"/>
    </xf>
    <xf borderId="16" fillId="3" fontId="37" numFmtId="165" xfId="0" applyAlignment="1" applyBorder="1" applyFont="1" applyNumberFormat="1">
      <alignment horizontal="center" vertical="center"/>
    </xf>
    <xf borderId="12" fillId="0" fontId="37" numFmtId="3" xfId="0" applyAlignment="1" applyBorder="1" applyFont="1" applyNumberFormat="1">
      <alignment horizontal="center" vertical="center"/>
    </xf>
    <xf borderId="0" fillId="0" fontId="17" numFmtId="0" xfId="0" applyAlignment="1" applyFont="1">
      <alignment horizontal="center"/>
    </xf>
    <xf borderId="0" fillId="9" fontId="32" numFmtId="0" xfId="0" applyAlignment="1" applyFont="1">
      <alignment horizontal="center" textRotation="90" vertical="center"/>
    </xf>
    <xf borderId="9" fillId="10" fontId="35" numFmtId="0" xfId="0" applyAlignment="1" applyBorder="1" applyFill="1" applyFont="1">
      <alignment horizontal="center" shrinkToFit="0" vertical="center" wrapText="1"/>
    </xf>
    <xf borderId="10" fillId="4" fontId="30" numFmtId="0" xfId="0" applyAlignment="1" applyBorder="1" applyFont="1">
      <alignment horizontal="left" vertical="center"/>
    </xf>
    <xf borderId="10" fillId="4" fontId="41" numFmtId="0" xfId="0" applyAlignment="1" applyBorder="1" applyFont="1">
      <alignment horizontal="left" vertical="bottom"/>
    </xf>
    <xf borderId="10" fillId="4" fontId="41" numFmtId="0" xfId="0" applyAlignment="1" applyBorder="1" applyFont="1">
      <alignment horizontal="center" vertical="bottom"/>
    </xf>
    <xf borderId="12" fillId="4" fontId="41" numFmtId="0" xfId="0" applyAlignment="1" applyBorder="1" applyFont="1">
      <alignment horizontal="center" vertical="bottom"/>
    </xf>
    <xf borderId="1" fillId="0" fontId="14" numFmtId="0" xfId="0" applyBorder="1" applyFont="1"/>
    <xf borderId="2" fillId="0" fontId="14" numFmtId="0" xfId="0" applyBorder="1" applyFont="1"/>
    <xf borderId="3" fillId="0" fontId="17" numFmtId="0" xfId="0" applyBorder="1" applyFont="1"/>
    <xf borderId="17" fillId="8" fontId="37" numFmtId="0" xfId="0" applyAlignment="1" applyBorder="1" applyFont="1">
      <alignment horizontal="center"/>
    </xf>
    <xf borderId="17" fillId="3" fontId="37" numFmtId="0" xfId="0" applyAlignment="1" applyBorder="1" applyFont="1">
      <alignment horizontal="center" vertical="bottom"/>
    </xf>
    <xf borderId="6" fillId="8" fontId="36" numFmtId="0" xfId="0" applyAlignment="1" applyBorder="1" applyFont="1">
      <alignment horizontal="left" vertical="center"/>
    </xf>
    <xf borderId="7" fillId="8" fontId="14" numFmtId="0" xfId="0" applyBorder="1" applyFont="1"/>
    <xf borderId="8" fillId="8" fontId="14" numFmtId="0" xfId="0" applyBorder="1" applyFont="1"/>
    <xf borderId="4" fillId="0" fontId="14" numFmtId="0" xfId="0" applyBorder="1" applyFont="1"/>
    <xf borderId="0" fillId="0" fontId="42" numFmtId="0" xfId="0" applyFont="1"/>
    <xf borderId="0" fillId="0" fontId="14" numFmtId="0" xfId="0" applyFont="1"/>
    <xf borderId="5" fillId="0" fontId="42" numFmtId="0" xfId="0" applyBorder="1" applyFont="1"/>
    <xf borderId="12" fillId="0" fontId="29" numFmtId="0" xfId="0" applyAlignment="1" applyBorder="1" applyFont="1">
      <alignment horizontal="center"/>
    </xf>
    <xf borderId="14" fillId="8" fontId="14" numFmtId="0" xfId="0" applyAlignment="1" applyBorder="1" applyFont="1">
      <alignment horizontal="center" vertical="bottom"/>
    </xf>
    <xf borderId="14" fillId="3" fontId="14" numFmtId="164" xfId="0" applyAlignment="1" applyBorder="1" applyFont="1" applyNumberFormat="1">
      <alignment horizontal="center" vertical="bottom"/>
    </xf>
    <xf borderId="9" fillId="0" fontId="43" numFmtId="0" xfId="0" applyAlignment="1" applyBorder="1" applyFont="1">
      <alignment horizontal="left"/>
    </xf>
    <xf borderId="10" fillId="0" fontId="14" numFmtId="0" xfId="0" applyAlignment="1" applyBorder="1" applyFont="1">
      <alignment vertical="bottom"/>
    </xf>
    <xf borderId="12" fillId="0" fontId="14" numFmtId="0" xfId="0" applyAlignment="1" applyBorder="1" applyFont="1">
      <alignment vertical="bottom"/>
    </xf>
    <xf borderId="12" fillId="0" fontId="14" numFmtId="0" xfId="0" applyAlignment="1" applyBorder="1" applyFont="1">
      <alignment horizontal="center"/>
    </xf>
    <xf borderId="14" fillId="0" fontId="14" numFmtId="0" xfId="0" applyAlignment="1" applyBorder="1" applyFont="1">
      <alignment horizontal="center"/>
    </xf>
    <xf borderId="14" fillId="0" fontId="14" numFmtId="0" xfId="0" applyAlignment="1" applyBorder="1" applyFont="1">
      <alignment horizontal="center" vertical="bottom"/>
    </xf>
    <xf borderId="9" fillId="0" fontId="44" numFmtId="0" xfId="0" applyAlignment="1" applyBorder="1" applyFont="1">
      <alignment horizontal="left"/>
    </xf>
    <xf borderId="0" fillId="0" fontId="45" numFmtId="0" xfId="0" applyFont="1"/>
    <xf borderId="14" fillId="0" fontId="29" numFmtId="0" xfId="0" applyAlignment="1" applyBorder="1" applyFont="1">
      <alignment horizontal="center"/>
    </xf>
    <xf borderId="9" fillId="0" fontId="46" numFmtId="0" xfId="0" applyAlignment="1" applyBorder="1" applyFont="1">
      <alignment horizontal="left"/>
    </xf>
    <xf borderId="9" fillId="0" fontId="47" numFmtId="0" xfId="0" applyAlignment="1" applyBorder="1" applyFont="1">
      <alignment horizontal="left"/>
    </xf>
    <xf borderId="0" fillId="0" fontId="14" numFmtId="0" xfId="0" applyAlignment="1" applyFont="1">
      <alignment vertical="bottom"/>
    </xf>
    <xf borderId="14" fillId="0" fontId="14" numFmtId="164" xfId="0" applyAlignment="1" applyBorder="1" applyFont="1" applyNumberFormat="1">
      <alignment horizontal="center" vertical="bottom"/>
    </xf>
    <xf borderId="0" fillId="0" fontId="14" numFmtId="0" xfId="0" applyAlignment="1" applyFont="1">
      <alignment horizontal="left" vertical="bottom"/>
    </xf>
    <xf borderId="0" fillId="6" fontId="14" numFmtId="164" xfId="0" applyAlignment="1" applyFont="1" applyNumberFormat="1">
      <alignment vertical="top"/>
    </xf>
    <xf borderId="10" fillId="4" fontId="41" numFmtId="0" xfId="0" applyAlignment="1" applyBorder="1" applyFont="1">
      <alignment horizontal="left" vertical="center"/>
    </xf>
    <xf borderId="10" fillId="4" fontId="14" numFmtId="0" xfId="0" applyBorder="1" applyFont="1"/>
    <xf borderId="10" fillId="4" fontId="14" numFmtId="0" xfId="0" applyAlignment="1" applyBorder="1" applyFont="1">
      <alignment vertical="bottom"/>
    </xf>
    <xf borderId="10" fillId="4" fontId="14" numFmtId="0" xfId="0" applyAlignment="1" applyBorder="1" applyFont="1">
      <alignment horizontal="left"/>
    </xf>
    <xf borderId="10" fillId="4" fontId="41" numFmtId="0" xfId="0" applyAlignment="1" applyBorder="1" applyFont="1">
      <alignment horizontal="center"/>
    </xf>
    <xf borderId="12" fillId="4" fontId="41" numFmtId="0" xfId="0" applyAlignment="1" applyBorder="1" applyFont="1">
      <alignment horizontal="center"/>
    </xf>
    <xf borderId="17" fillId="8" fontId="37" numFmtId="0" xfId="0" applyAlignment="1" applyBorder="1" applyFont="1">
      <alignment horizontal="center" vertical="center"/>
    </xf>
    <xf borderId="17" fillId="3" fontId="37" numFmtId="0" xfId="0" applyAlignment="1" applyBorder="1" applyFont="1">
      <alignment horizontal="center" vertical="center"/>
    </xf>
    <xf borderId="12" fillId="0" fontId="14" numFmtId="0" xfId="0" applyAlignment="1" applyBorder="1" applyFont="1">
      <alignment horizontal="center" vertical="center"/>
    </xf>
    <xf borderId="14" fillId="8" fontId="14" numFmtId="0" xfId="0" applyAlignment="1" applyBorder="1" applyFont="1">
      <alignment horizontal="center" vertical="center"/>
    </xf>
    <xf borderId="14" fillId="3" fontId="14" numFmtId="164" xfId="0" applyAlignment="1" applyBorder="1" applyFont="1" applyNumberFormat="1">
      <alignment horizontal="center" vertical="center"/>
    </xf>
    <xf borderId="0" fillId="0" fontId="14" numFmtId="164" xfId="0" applyAlignment="1" applyFont="1" applyNumberFormat="1">
      <alignment vertical="bottom"/>
    </xf>
    <xf borderId="10" fillId="11" fontId="48" numFmtId="0" xfId="0" applyAlignment="1" applyBorder="1" applyFill="1" applyFont="1">
      <alignment vertical="center"/>
    </xf>
    <xf borderId="10" fillId="11" fontId="14" numFmtId="0" xfId="0" applyBorder="1" applyFont="1"/>
    <xf borderId="10" fillId="11" fontId="14" numFmtId="0" xfId="0" applyAlignment="1" applyBorder="1" applyFont="1">
      <alignment vertical="bottom"/>
    </xf>
    <xf borderId="10" fillId="11" fontId="41" numFmtId="0" xfId="0" applyAlignment="1" applyBorder="1" applyFont="1">
      <alignment horizontal="left"/>
    </xf>
    <xf borderId="10" fillId="11" fontId="41" numFmtId="164" xfId="0" applyAlignment="1" applyBorder="1" applyFont="1" applyNumberFormat="1">
      <alignment horizontal="center"/>
    </xf>
    <xf borderId="10" fillId="11" fontId="41" numFmtId="0" xfId="0" applyAlignment="1" applyBorder="1" applyFont="1">
      <alignment horizontal="center"/>
    </xf>
    <xf borderId="12" fillId="11" fontId="41" numFmtId="0" xfId="0" applyAlignment="1" applyBorder="1" applyFont="1">
      <alignment horizontal="center"/>
    </xf>
    <xf borderId="17" fillId="3" fontId="37" numFmtId="164" xfId="0" applyAlignment="1" applyBorder="1" applyFont="1" applyNumberFormat="1">
      <alignment horizontal="center" vertical="bottom"/>
    </xf>
    <xf borderId="5" fillId="0" fontId="17" numFmtId="0" xfId="0" applyBorder="1" applyFont="1"/>
    <xf borderId="14" fillId="3" fontId="37" numFmtId="164" xfId="0" applyAlignment="1" applyBorder="1" applyFont="1" applyNumberFormat="1">
      <alignment horizontal="center" vertical="bottom"/>
    </xf>
    <xf borderId="9" fillId="0" fontId="49" numFmtId="0" xfId="0" applyAlignment="1" applyBorder="1" applyFont="1">
      <alignment horizontal="left"/>
    </xf>
    <xf borderId="6" fillId="0" fontId="14" numFmtId="0" xfId="0" applyBorder="1" applyFont="1"/>
    <xf borderId="7" fillId="0" fontId="14" numFmtId="0" xfId="0" applyBorder="1" applyFont="1"/>
    <xf borderId="8" fillId="0" fontId="17" numFmtId="0" xfId="0" applyBorder="1" applyFont="1"/>
    <xf borderId="0" fillId="0" fontId="29" numFmtId="0" xfId="0" applyFont="1"/>
    <xf borderId="0" fillId="0" fontId="50" numFmtId="0" xfId="0" applyFont="1"/>
    <xf borderId="4" fillId="0" fontId="51" numFmtId="0" xfId="0" applyAlignment="1" applyBorder="1" applyFont="1">
      <alignment horizontal="right" vertical="center"/>
    </xf>
    <xf borderId="6" fillId="0" fontId="13" numFmtId="0" xfId="0" applyAlignment="1" applyBorder="1" applyFont="1">
      <alignment horizontal="center"/>
    </xf>
    <xf borderId="7" fillId="0" fontId="13" numFmtId="0" xfId="0" applyAlignment="1" applyBorder="1" applyFont="1">
      <alignment horizontal="center"/>
    </xf>
    <xf borderId="8" fillId="0" fontId="13" numFmtId="0" xfId="0" applyAlignment="1" applyBorder="1" applyFont="1">
      <alignment horizontal="center"/>
    </xf>
    <xf borderId="4" fillId="0" fontId="13" numFmtId="0" xfId="0" applyAlignment="1" applyBorder="1" applyFont="1">
      <alignment horizontal="center"/>
    </xf>
    <xf borderId="4" fillId="2" fontId="13" numFmtId="0" xfId="0" applyAlignment="1" applyBorder="1" applyFont="1">
      <alignment horizontal="center"/>
    </xf>
    <xf borderId="10" fillId="2" fontId="15" numFmtId="0" xfId="0" applyAlignment="1" applyBorder="1" applyFont="1">
      <alignment horizontal="center"/>
    </xf>
    <xf borderId="3" fillId="3" fontId="16" numFmtId="0" xfId="0" applyAlignment="1" applyBorder="1" applyFont="1">
      <alignment horizontal="center"/>
    </xf>
    <xf borderId="0" fillId="0" fontId="16" numFmtId="0" xfId="0" applyAlignment="1" applyFont="1">
      <alignment horizontal="center"/>
    </xf>
    <xf borderId="5" fillId="3" fontId="4" numFmtId="0" xfId="0" applyAlignment="1" applyBorder="1" applyFont="1">
      <alignment horizontal="center" shrinkToFit="0" vertical="center" wrapText="1"/>
    </xf>
    <xf borderId="9" fillId="3" fontId="20" numFmtId="0" xfId="0" applyAlignment="1" applyBorder="1" applyFont="1">
      <alignment horizontal="center" shrinkToFit="0" textRotation="90" vertical="center" wrapText="1"/>
    </xf>
    <xf borderId="16" fillId="3" fontId="20" numFmtId="0" xfId="0" applyAlignment="1" applyBorder="1" applyFont="1">
      <alignment horizontal="center" shrinkToFit="0" textRotation="90" vertical="center" wrapText="1"/>
    </xf>
    <xf borderId="5" fillId="3" fontId="23" numFmtId="0" xfId="0" applyAlignment="1" applyBorder="1" applyFont="1">
      <alignment horizontal="center" shrinkToFit="0" textRotation="90" vertical="center" wrapText="1"/>
    </xf>
    <xf borderId="0" fillId="0" fontId="23" numFmtId="0" xfId="0" applyAlignment="1" applyFont="1">
      <alignment horizontal="center" shrinkToFit="0" textRotation="90" vertical="center" wrapText="1"/>
    </xf>
    <xf borderId="14" fillId="3" fontId="52" numFmtId="0" xfId="0" applyAlignment="1" applyBorder="1" applyFont="1">
      <alignment horizontal="center" vertical="center"/>
    </xf>
    <xf borderId="16" fillId="3" fontId="52" numFmtId="0" xfId="0" applyAlignment="1" applyBorder="1" applyFont="1">
      <alignment horizontal="center" vertical="center"/>
    </xf>
    <xf borderId="12" fillId="3" fontId="52" numFmtId="0" xfId="0" applyAlignment="1" applyBorder="1" applyFont="1">
      <alignment horizontal="center" vertical="center"/>
    </xf>
    <xf borderId="9" fillId="3" fontId="20" numFmtId="0" xfId="0" applyAlignment="1" applyBorder="1" applyFont="1">
      <alignment horizontal="center" readingOrder="0" shrinkToFit="0" vertical="center" wrapText="1"/>
    </xf>
    <xf borderId="16" fillId="3" fontId="20" numFmtId="0" xfId="0" applyAlignment="1" applyBorder="1" applyFont="1">
      <alignment horizontal="center" readingOrder="0" shrinkToFit="0" vertical="center" wrapText="1"/>
    </xf>
    <xf borderId="26" fillId="0" fontId="28" numFmtId="0" xfId="0" applyAlignment="1" applyBorder="1" applyFont="1">
      <alignment horizontal="center" vertical="bottom"/>
    </xf>
    <xf borderId="0" fillId="3" fontId="29" numFmtId="0" xfId="0" applyAlignment="1" applyFont="1">
      <alignment horizontal="center"/>
    </xf>
    <xf borderId="5" fillId="3" fontId="13" numFmtId="0" xfId="0" applyAlignment="1" applyBorder="1" applyFont="1">
      <alignment horizontal="center"/>
    </xf>
    <xf borderId="10" fillId="0" fontId="28" numFmtId="0" xfId="0" applyAlignment="1" applyBorder="1" applyFont="1">
      <alignment horizontal="center" vertical="bottom"/>
    </xf>
    <xf borderId="14" fillId="0" fontId="28" numFmtId="0" xfId="0" applyAlignment="1" applyBorder="1" applyFont="1">
      <alignment horizontal="center" vertical="bottom"/>
    </xf>
    <xf borderId="16" fillId="0" fontId="28" numFmtId="0" xfId="0" applyAlignment="1" applyBorder="1" applyFont="1">
      <alignment horizontal="center" vertical="bottom"/>
    </xf>
    <xf borderId="17" fillId="0" fontId="29" numFmtId="0" xfId="0" applyAlignment="1" applyBorder="1" applyFont="1">
      <alignment vertical="bottom"/>
    </xf>
    <xf borderId="8" fillId="7" fontId="28" numFmtId="0" xfId="0" applyAlignment="1" applyBorder="1" applyFont="1">
      <alignment horizontal="center" vertical="bottom"/>
    </xf>
    <xf borderId="8" fillId="12" fontId="28" numFmtId="0" xfId="0" applyAlignment="1" applyBorder="1" applyFill="1" applyFont="1">
      <alignment horizontal="center" vertical="bottom"/>
    </xf>
    <xf borderId="26" fillId="7" fontId="28" numFmtId="0" xfId="0" applyAlignment="1" applyBorder="1" applyFont="1">
      <alignment horizontal="center" vertical="bottom"/>
    </xf>
    <xf borderId="9" fillId="2" fontId="30" numFmtId="0" xfId="0" applyAlignment="1" applyBorder="1" applyFont="1">
      <alignment horizontal="center" vertical="center"/>
    </xf>
    <xf borderId="0" fillId="0" fontId="53" numFmtId="0" xfId="0" applyAlignment="1" applyFont="1">
      <alignment horizontal="center" vertical="center"/>
    </xf>
    <xf borderId="1" fillId="8" fontId="2" numFmtId="0" xfId="0" applyAlignment="1" applyBorder="1" applyFont="1">
      <alignment horizontal="center" vertical="center"/>
    </xf>
    <xf borderId="1" fillId="8" fontId="13" numFmtId="0" xfId="0" applyAlignment="1" applyBorder="1" applyFont="1">
      <alignment horizontal="left" vertical="center"/>
    </xf>
    <xf borderId="0" fillId="0" fontId="31" numFmtId="0" xfId="0" applyAlignment="1" applyFont="1">
      <alignment horizontal="center" vertical="center"/>
    </xf>
    <xf borderId="0" fillId="0" fontId="29" numFmtId="0" xfId="0" applyAlignment="1" applyFont="1">
      <alignment horizontal="center" vertical="center"/>
    </xf>
    <xf borderId="0" fillId="0" fontId="54" numFmtId="0" xfId="0" applyAlignment="1" applyFont="1">
      <alignment horizontal="center" vertical="center"/>
    </xf>
    <xf borderId="11" fillId="4" fontId="32" numFmtId="0" xfId="0" applyAlignment="1" applyBorder="1" applyFont="1">
      <alignment horizontal="center" textRotation="90" vertical="center"/>
    </xf>
    <xf borderId="9" fillId="6" fontId="28" numFmtId="164" xfId="0" applyAlignment="1" applyBorder="1" applyFont="1" applyNumberFormat="1">
      <alignment horizontal="center" shrinkToFit="0" vertical="center" wrapText="1"/>
    </xf>
    <xf borderId="9" fillId="6" fontId="14" numFmtId="0" xfId="0" applyAlignment="1" applyBorder="1" applyFont="1">
      <alignment readingOrder="0" vertical="center"/>
    </xf>
    <xf borderId="10" fillId="6" fontId="28" numFmtId="0" xfId="0" applyAlignment="1" applyBorder="1" applyFont="1">
      <alignment horizontal="left" shrinkToFit="0" vertical="center" wrapText="1"/>
    </xf>
    <xf borderId="12" fillId="6" fontId="28" numFmtId="0" xfId="0" applyAlignment="1" applyBorder="1" applyFont="1">
      <alignment horizontal="left" shrinkToFit="0" vertical="center" wrapText="1"/>
    </xf>
    <xf borderId="0" fillId="0" fontId="32" numFmtId="0" xfId="0" applyAlignment="1" applyFont="1">
      <alignment horizontal="center" textRotation="90" vertical="center"/>
    </xf>
    <xf borderId="0" fillId="0" fontId="33" numFmtId="0" xfId="0" applyAlignment="1" applyFont="1">
      <alignment horizontal="center" shrinkToFit="0" vertical="center" wrapText="1"/>
    </xf>
    <xf borderId="0" fillId="0" fontId="14" numFmtId="0" xfId="0" applyAlignment="1" applyFont="1">
      <alignment horizontal="center" vertical="center"/>
    </xf>
    <xf borderId="0" fillId="0" fontId="14" numFmtId="164" xfId="0" applyAlignment="1" applyFont="1" applyNumberFormat="1">
      <alignment horizontal="center" vertical="center"/>
    </xf>
    <xf borderId="9" fillId="6" fontId="3" numFmtId="0" xfId="0" applyAlignment="1" applyBorder="1" applyFont="1">
      <alignment readingOrder="0" vertical="center"/>
    </xf>
    <xf borderId="9" fillId="6" fontId="22" numFmtId="0" xfId="0" applyAlignment="1" applyBorder="1" applyFont="1">
      <alignment readingOrder="0" vertical="center"/>
    </xf>
    <xf borderId="9" fillId="6" fontId="28" numFmtId="0" xfId="0" applyAlignment="1" applyBorder="1" applyFont="1">
      <alignment readingOrder="0" vertical="center"/>
    </xf>
    <xf borderId="10" fillId="6" fontId="37" numFmtId="0" xfId="0" applyAlignment="1" applyBorder="1" applyFont="1">
      <alignment horizontal="left" shrinkToFit="0" vertical="center" wrapText="1"/>
    </xf>
    <xf borderId="12" fillId="6" fontId="37" numFmtId="0" xfId="0" applyAlignment="1" applyBorder="1" applyFont="1">
      <alignment horizontal="left" shrinkToFit="0" vertical="center" wrapText="1"/>
    </xf>
    <xf borderId="0" fillId="6" fontId="37" numFmtId="0" xfId="0" applyAlignment="1" applyFont="1">
      <alignment horizontal="left" shrinkToFit="0" vertical="center" wrapText="1"/>
    </xf>
    <xf borderId="10" fillId="6" fontId="34" numFmtId="0" xfId="0" applyAlignment="1" applyBorder="1" applyFont="1">
      <alignment horizontal="left" shrinkToFit="0" vertical="center" wrapText="1"/>
    </xf>
    <xf borderId="12" fillId="6" fontId="34" numFmtId="0" xfId="0" applyAlignment="1" applyBorder="1" applyFont="1">
      <alignment horizontal="left" shrinkToFit="0" vertical="center" wrapText="1"/>
    </xf>
    <xf borderId="9" fillId="6" fontId="37" numFmtId="0" xfId="0" applyAlignment="1" applyBorder="1" applyFont="1">
      <alignment readingOrder="0" vertical="center"/>
    </xf>
    <xf borderId="10" fillId="6" fontId="3" numFmtId="0" xfId="0" applyAlignment="1" applyBorder="1" applyFont="1">
      <alignment horizontal="left" shrinkToFit="0" vertical="center" wrapText="1"/>
    </xf>
    <xf borderId="12" fillId="6" fontId="3" numFmtId="0" xfId="0" applyAlignment="1" applyBorder="1" applyFont="1">
      <alignment horizontal="left" shrinkToFit="0" vertical="center" wrapText="1"/>
    </xf>
    <xf borderId="10" fillId="6" fontId="3" numFmtId="0" xfId="0" applyAlignment="1" applyBorder="1" applyFont="1">
      <alignment shrinkToFit="0" vertical="center" wrapText="1"/>
    </xf>
    <xf borderId="12" fillId="6" fontId="3" numFmtId="0" xfId="0" applyAlignment="1" applyBorder="1" applyFont="1">
      <alignment shrinkToFit="0" vertical="center" wrapText="1"/>
    </xf>
    <xf borderId="0" fillId="0" fontId="55" numFmtId="0" xfId="0" applyAlignment="1" applyFont="1">
      <alignment horizontal="center" vertical="center"/>
    </xf>
    <xf borderId="27" fillId="0" fontId="14" numFmtId="0" xfId="0" applyBorder="1" applyFont="1"/>
    <xf borderId="21" fillId="6" fontId="28" numFmtId="164" xfId="0" applyAlignment="1" applyBorder="1" applyFont="1" applyNumberFormat="1">
      <alignment horizontal="center" shrinkToFit="0" vertical="center" wrapText="1"/>
    </xf>
    <xf borderId="21" fillId="6" fontId="37" numFmtId="0" xfId="0" applyAlignment="1" applyBorder="1" applyFont="1">
      <alignment readingOrder="0" vertical="center"/>
    </xf>
    <xf borderId="24" fillId="6" fontId="28" numFmtId="0" xfId="0" applyAlignment="1" applyBorder="1" applyFont="1">
      <alignment horizontal="left" shrinkToFit="0" vertical="center" wrapText="1"/>
    </xf>
    <xf borderId="25" fillId="6" fontId="28" numFmtId="0" xfId="0" applyAlignment="1" applyBorder="1" applyFont="1">
      <alignment horizontal="left" shrinkToFit="0" vertical="center" wrapText="1"/>
    </xf>
    <xf borderId="6" fillId="0" fontId="14" numFmtId="0" xfId="0" applyAlignment="1" applyBorder="1" applyFont="1">
      <alignment readingOrder="0" vertical="center"/>
    </xf>
    <xf borderId="7" fillId="0" fontId="37" numFmtId="0" xfId="0" applyAlignment="1" applyBorder="1" applyFont="1">
      <alignment horizontal="left" shrinkToFit="0" vertical="center" wrapText="1"/>
    </xf>
    <xf borderId="8" fillId="0" fontId="37" numFmtId="0" xfId="0" applyAlignment="1" applyBorder="1" applyFont="1">
      <alignment horizontal="left" shrinkToFit="0" vertical="center" wrapText="1"/>
    </xf>
    <xf borderId="0" fillId="0" fontId="35" numFmtId="0" xfId="0" applyAlignment="1" applyFont="1">
      <alignment horizontal="center" shrinkToFit="0" vertical="center" wrapText="1"/>
    </xf>
    <xf borderId="9" fillId="0" fontId="28" numFmtId="0" xfId="0" applyAlignment="1" applyBorder="1" applyFont="1">
      <alignment readingOrder="0" vertical="center"/>
    </xf>
    <xf borderId="10" fillId="0" fontId="38" numFmtId="0" xfId="0" applyAlignment="1" applyBorder="1" applyFont="1">
      <alignment horizontal="left" shrinkToFit="0" vertical="center" wrapText="1"/>
    </xf>
    <xf borderId="10" fillId="0" fontId="22" numFmtId="0" xfId="0" applyAlignment="1" applyBorder="1" applyFont="1">
      <alignment horizontal="left" shrinkToFit="0" vertical="center" wrapText="1"/>
    </xf>
    <xf borderId="12" fillId="0" fontId="22" numFmtId="0" xfId="0" applyAlignment="1" applyBorder="1" applyFont="1">
      <alignment horizontal="left" shrinkToFit="0" vertical="center" wrapText="1"/>
    </xf>
    <xf borderId="0" fillId="0" fontId="22" numFmtId="0" xfId="0" applyAlignment="1" applyFont="1">
      <alignment horizontal="left" shrinkToFit="0" vertical="center" wrapText="1"/>
    </xf>
    <xf borderId="10" fillId="0" fontId="3" numFmtId="0" xfId="0" applyAlignment="1" applyBorder="1" applyFont="1">
      <alignment horizontal="left" shrinkToFit="0" vertical="center" wrapText="1"/>
    </xf>
    <xf borderId="12" fillId="0" fontId="3" numFmtId="0" xfId="0" applyAlignment="1" applyBorder="1" applyFont="1">
      <alignment horizontal="left" shrinkToFit="0" vertical="center" wrapText="1"/>
    </xf>
    <xf borderId="10" fillId="0" fontId="37" numFmtId="0" xfId="0" applyAlignment="1" applyBorder="1" applyFont="1">
      <alignment horizontal="left" shrinkToFit="0" vertical="center" wrapText="1"/>
    </xf>
    <xf borderId="12" fillId="0" fontId="37" numFmtId="0" xfId="0" applyAlignment="1" applyBorder="1" applyFont="1">
      <alignment horizontal="left" shrinkToFit="0" vertical="center" wrapText="1"/>
    </xf>
    <xf borderId="9" fillId="0" fontId="14" numFmtId="0" xfId="0" applyAlignment="1" applyBorder="1" applyFont="1">
      <alignment readingOrder="0" vertical="center"/>
    </xf>
    <xf borderId="10" fillId="0" fontId="28" numFmtId="0" xfId="0" applyAlignment="1" applyBorder="1" applyFont="1">
      <alignment horizontal="left" shrinkToFit="0" vertical="center" wrapText="1"/>
    </xf>
    <xf borderId="12" fillId="0" fontId="28" numFmtId="0" xfId="0" applyAlignment="1" applyBorder="1" applyFont="1">
      <alignment horizontal="left" shrinkToFit="0" vertical="center" wrapText="1"/>
    </xf>
    <xf borderId="9" fillId="0" fontId="36" numFmtId="0" xfId="0" applyAlignment="1" applyBorder="1" applyFont="1">
      <alignment readingOrder="0" vertical="center"/>
    </xf>
    <xf borderId="14" fillId="3" fontId="35" numFmtId="0" xfId="0" applyAlignment="1" applyBorder="1" applyFont="1">
      <alignment horizontal="center" shrinkToFit="0" vertical="center" wrapText="1"/>
    </xf>
    <xf borderId="1" fillId="3" fontId="3" numFmtId="0" xfId="0" applyBorder="1" applyFont="1"/>
    <xf borderId="2" fillId="3" fontId="3" numFmtId="0" xfId="0" applyBorder="1" applyFont="1"/>
    <xf borderId="3" fillId="3" fontId="3" numFmtId="0" xfId="0" applyBorder="1" applyFont="1"/>
    <xf borderId="9" fillId="2" fontId="56" numFmtId="0" xfId="0" applyAlignment="1" applyBorder="1" applyFont="1">
      <alignment horizontal="center" vertical="center"/>
    </xf>
    <xf borderId="0" fillId="0" fontId="56" numFmtId="0" xfId="0" applyAlignment="1" applyFont="1">
      <alignment horizontal="center" vertical="center"/>
    </xf>
    <xf borderId="0" fillId="0" fontId="3" numFmtId="0" xfId="0" applyFont="1"/>
    <xf borderId="4" fillId="3" fontId="3" numFmtId="0" xfId="0" applyBorder="1" applyFont="1"/>
    <xf borderId="0" fillId="3" fontId="3" numFmtId="0" xfId="0" applyFont="1"/>
    <xf borderId="5" fillId="3" fontId="3" numFmtId="0" xfId="0" applyBorder="1" applyFont="1"/>
    <xf borderId="9" fillId="8" fontId="57" numFmtId="0" xfId="0" applyAlignment="1" applyBorder="1" applyFont="1">
      <alignment horizontal="center" vertical="center"/>
    </xf>
    <xf borderId="12" fillId="8" fontId="57" numFmtId="0" xfId="0" applyAlignment="1" applyBorder="1" applyFont="1">
      <alignment horizontal="center" vertical="center"/>
    </xf>
    <xf borderId="14" fillId="8" fontId="3" numFmtId="0" xfId="0" applyAlignment="1" applyBorder="1" applyFont="1">
      <alignment horizontal="center" vertical="center"/>
    </xf>
    <xf borderId="16" fillId="3" fontId="3" numFmtId="165" xfId="0" applyAlignment="1" applyBorder="1" applyFont="1" applyNumberFormat="1">
      <alignment horizontal="center" vertical="center"/>
    </xf>
    <xf borderId="16" fillId="8" fontId="3" numFmtId="0" xfId="0" applyAlignment="1" applyBorder="1" applyFont="1">
      <alignment horizontal="center" vertical="center"/>
    </xf>
    <xf borderId="16" fillId="3" fontId="3" numFmtId="0" xfId="0" applyAlignment="1" applyBorder="1" applyFont="1">
      <alignment horizontal="center" vertical="center"/>
    </xf>
    <xf borderId="0" fillId="4" fontId="41" numFmtId="0" xfId="0" applyAlignment="1" applyFont="1">
      <alignment horizontal="center" textRotation="90" vertical="center"/>
    </xf>
    <xf borderId="14" fillId="3" fontId="58" numFmtId="0" xfId="0" applyAlignment="1" applyBorder="1" applyFont="1">
      <alignment horizontal="center" shrinkToFit="0" vertical="center" wrapText="1"/>
    </xf>
    <xf borderId="14" fillId="0" fontId="3" numFmtId="3" xfId="0" applyAlignment="1" applyBorder="1" applyFont="1" applyNumberFormat="1">
      <alignment horizontal="center" vertical="center"/>
    </xf>
    <xf borderId="14" fillId="8" fontId="3" numFmtId="3" xfId="0" applyAlignment="1" applyBorder="1" applyFont="1" applyNumberFormat="1">
      <alignment horizontal="center" vertical="center"/>
    </xf>
    <xf borderId="16" fillId="3" fontId="3" numFmtId="164" xfId="0" applyAlignment="1" applyBorder="1" applyFont="1" applyNumberFormat="1">
      <alignment horizontal="center" vertical="center"/>
    </xf>
    <xf borderId="12" fillId="0" fontId="3" numFmtId="3" xfId="0" applyAlignment="1" applyBorder="1" applyFont="1" applyNumberFormat="1">
      <alignment horizontal="center" vertical="center"/>
    </xf>
    <xf borderId="14" fillId="0" fontId="3" numFmtId="3" xfId="0" applyAlignment="1" applyBorder="1" applyFont="1" applyNumberFormat="1">
      <alignment horizontal="center" readingOrder="0" vertical="center"/>
    </xf>
    <xf borderId="0" fillId="9" fontId="41" numFmtId="0" xfId="0" applyAlignment="1" applyFont="1">
      <alignment horizontal="center" textRotation="90" vertical="center"/>
    </xf>
    <xf borderId="14" fillId="3" fontId="59" numFmtId="0" xfId="0" applyAlignment="1" applyBorder="1" applyFont="1">
      <alignment horizontal="center" shrinkToFit="0" vertical="center" wrapText="1"/>
    </xf>
    <xf borderId="6" fillId="3" fontId="3" numFmtId="0" xfId="0" applyBorder="1" applyFont="1"/>
    <xf borderId="7" fillId="3" fontId="3" numFmtId="0" xfId="0" applyBorder="1" applyFont="1"/>
    <xf borderId="8" fillId="3" fontId="3" numFmtId="0" xfId="0" applyBorder="1" applyFont="1"/>
    <xf borderId="3" fillId="0" fontId="14" numFmtId="0" xfId="0" applyBorder="1" applyFont="1"/>
    <xf borderId="5" fillId="0" fontId="14" numFmtId="0" xfId="0" applyBorder="1" applyFont="1"/>
    <xf borderId="0" fillId="0" fontId="14" numFmtId="164" xfId="0" applyAlignment="1" applyFont="1" applyNumberFormat="1">
      <alignment horizontal="center" vertical="bottom"/>
    </xf>
    <xf borderId="8" fillId="0" fontId="14" numFmtId="0" xfId="0" applyBorder="1" applyFont="1"/>
    <xf borderId="7" fillId="0" fontId="17" numFmtId="0" xfId="0" applyBorder="1" applyFont="1"/>
    <xf borderId="0" fillId="2" fontId="16" numFmtId="0" xfId="0" applyAlignment="1" applyFont="1">
      <alignment horizontal="center"/>
    </xf>
    <xf borderId="3" fillId="3" fontId="18" numFmtId="0" xfId="0" applyAlignment="1" applyBorder="1" applyFont="1">
      <alignment horizontal="center" textRotation="90" vertical="center"/>
    </xf>
    <xf borderId="28" fillId="0" fontId="8" numFmtId="0" xfId="0" applyBorder="1" applyFont="1"/>
    <xf borderId="10" fillId="5" fontId="19" numFmtId="0" xfId="0" applyAlignment="1" applyBorder="1" applyFont="1">
      <alignment horizontal="center" shrinkToFit="0" vertical="center" wrapText="1"/>
    </xf>
    <xf borderId="0" fillId="4" fontId="3" numFmtId="0" xfId="0" applyAlignment="1" applyFont="1">
      <alignment horizontal="center" shrinkToFit="0" vertical="center" wrapText="1"/>
    </xf>
    <xf borderId="13" fillId="0" fontId="4" numFmtId="0" xfId="0" applyAlignment="1" applyBorder="1" applyFont="1">
      <alignment horizontal="center" shrinkToFit="0" vertical="center" wrapText="1"/>
    </xf>
    <xf borderId="0" fillId="4" fontId="4" numFmtId="0" xfId="0" applyAlignment="1" applyFont="1">
      <alignment horizontal="center" readingOrder="0" shrinkToFit="0" vertical="center" wrapText="1"/>
    </xf>
    <xf borderId="27" fillId="0" fontId="8" numFmtId="0" xfId="0" applyBorder="1" applyFont="1"/>
    <xf borderId="0" fillId="5" fontId="4" numFmtId="0" xfId="0" applyAlignment="1" applyFont="1">
      <alignment horizontal="center" shrinkToFit="0" vertical="center" wrapText="1"/>
    </xf>
    <xf borderId="11" fillId="3" fontId="3" numFmtId="0" xfId="0" applyAlignment="1" applyBorder="1" applyFont="1">
      <alignment horizontal="center" shrinkToFit="0" textRotation="90" vertical="center" wrapText="1"/>
    </xf>
    <xf borderId="11" fillId="3" fontId="22" numFmtId="0" xfId="0" applyAlignment="1" applyBorder="1" applyFont="1">
      <alignment horizontal="center" shrinkToFit="0" textRotation="90" vertical="center" wrapText="1"/>
    </xf>
    <xf borderId="11" fillId="3" fontId="3" numFmtId="0" xfId="0" applyAlignment="1" applyBorder="1" applyFont="1">
      <alignment horizontal="center" shrinkToFit="0" vertical="center" wrapText="1"/>
    </xf>
    <xf borderId="13" fillId="0" fontId="3" numFmtId="0" xfId="0" applyAlignment="1" applyBorder="1" applyFont="1">
      <alignment horizontal="center" shrinkToFit="0" textRotation="90" vertical="center" wrapText="1"/>
    </xf>
    <xf borderId="11" fillId="3" fontId="23" numFmtId="0" xfId="0" applyAlignment="1" applyBorder="1" applyFont="1">
      <alignment horizontal="center" shrinkToFit="0" textRotation="90" vertical="center" wrapText="1"/>
    </xf>
    <xf borderId="29" fillId="3" fontId="24" numFmtId="0" xfId="0" applyAlignment="1" applyBorder="1" applyFont="1">
      <alignment horizontal="center" shrinkToFit="0" vertical="center" wrapText="1"/>
    </xf>
    <xf borderId="3" fillId="3" fontId="25" numFmtId="0" xfId="0" applyAlignment="1" applyBorder="1" applyFont="1">
      <alignment horizontal="center" shrinkToFit="0" textRotation="90" vertical="center" wrapText="1"/>
    </xf>
    <xf borderId="11" fillId="3" fontId="26" numFmtId="0" xfId="0" applyAlignment="1" applyBorder="1" applyFont="1">
      <alignment horizontal="center" shrinkToFit="0" textRotation="90" vertical="center" wrapText="1"/>
    </xf>
    <xf borderId="11" fillId="3" fontId="27" numFmtId="0" xfId="0" applyAlignment="1" applyBorder="1" applyFont="1">
      <alignment horizontal="center" shrinkToFit="0" vertical="center" wrapText="1"/>
    </xf>
    <xf borderId="0" fillId="0" fontId="3" numFmtId="0" xfId="0" applyAlignment="1" applyFont="1">
      <alignment horizontal="center" shrinkToFit="0" textRotation="90" vertical="center" wrapText="1"/>
    </xf>
    <xf borderId="30" fillId="0" fontId="8" numFmtId="0" xfId="0" applyBorder="1" applyFont="1"/>
    <xf borderId="31" fillId="0" fontId="8" numFmtId="0" xfId="0" applyBorder="1" applyFont="1"/>
    <xf borderId="8" fillId="0" fontId="3" numFmtId="0" xfId="0" applyAlignment="1" applyBorder="1" applyFont="1">
      <alignment horizontal="center" readingOrder="0" vertical="bottom"/>
    </xf>
    <xf borderId="14" fillId="0" fontId="31" numFmtId="0" xfId="0" applyAlignment="1" applyBorder="1" applyFont="1">
      <alignment horizontal="center" readingOrder="0" shrinkToFit="0" vertical="center" wrapText="1"/>
    </xf>
    <xf borderId="14" fillId="3" fontId="31" numFmtId="0" xfId="0" applyAlignment="1" applyBorder="1" applyFont="1">
      <alignment horizontal="center" readingOrder="0" shrinkToFit="0" vertical="center" wrapText="1"/>
    </xf>
    <xf borderId="16" fillId="3" fontId="31" numFmtId="0" xfId="0" applyAlignment="1" applyBorder="1" applyFont="1">
      <alignment horizontal="center" readingOrder="0" shrinkToFit="0" vertical="center" wrapText="1"/>
    </xf>
    <xf borderId="12" fillId="3" fontId="31" numFmtId="0" xfId="0" applyAlignment="1" applyBorder="1" applyFont="1">
      <alignment horizontal="center" readingOrder="0" shrinkToFit="0" vertical="center" wrapText="1"/>
    </xf>
    <xf borderId="0" fillId="0" fontId="14" numFmtId="0" xfId="0" applyAlignment="1" applyFont="1">
      <alignment vertical="center"/>
    </xf>
    <xf borderId="14" fillId="0" fontId="29" numFmtId="0" xfId="0" applyAlignment="1" applyBorder="1" applyFont="1">
      <alignment horizontal="center" readingOrder="0" vertical="center"/>
    </xf>
    <xf borderId="14" fillId="0" fontId="39" numFmtId="0" xfId="0" applyAlignment="1" applyBorder="1" applyFont="1">
      <alignment horizontal="center" readingOrder="0" vertical="bottom"/>
    </xf>
    <xf borderId="14" fillId="3" fontId="13" numFmtId="164" xfId="0" applyAlignment="1" applyBorder="1" applyFont="1" applyNumberFormat="1">
      <alignment horizontal="center" vertical="center"/>
    </xf>
    <xf borderId="14" fillId="0" fontId="2" numFmtId="0" xfId="0" applyAlignment="1" applyBorder="1" applyFont="1">
      <alignment horizontal="center" vertical="center"/>
    </xf>
    <xf borderId="13" fillId="0" fontId="13" numFmtId="0" xfId="0" applyAlignment="1" applyBorder="1" applyFont="1">
      <alignment horizontal="center" vertical="center"/>
    </xf>
    <xf borderId="14" fillId="3" fontId="13" numFmtId="0" xfId="0" applyAlignment="1" applyBorder="1" applyFont="1">
      <alignment horizontal="center" vertical="center"/>
    </xf>
    <xf borderId="16" fillId="0" fontId="2" numFmtId="0" xfId="0" applyAlignment="1" applyBorder="1" applyFont="1">
      <alignment horizontal="center" vertical="center"/>
    </xf>
    <xf borderId="12" fillId="3" fontId="13" numFmtId="0" xfId="0" applyAlignment="1" applyBorder="1" applyFont="1">
      <alignment horizontal="center" vertical="center"/>
    </xf>
    <xf borderId="14" fillId="0" fontId="13" numFmtId="0" xfId="0" applyAlignment="1" applyBorder="1" applyFont="1">
      <alignment horizontal="center" vertical="center"/>
    </xf>
    <xf borderId="17" fillId="0" fontId="29" numFmtId="0" xfId="0" applyAlignment="1" applyBorder="1" applyFont="1">
      <alignment readingOrder="0" vertical="bottom"/>
    </xf>
    <xf borderId="12" fillId="0" fontId="29" numFmtId="0" xfId="0" applyAlignment="1" applyBorder="1" applyFont="1">
      <alignment horizontal="center" readingOrder="0" vertical="bottom"/>
    </xf>
    <xf borderId="0" fillId="0" fontId="14" numFmtId="0" xfId="0" applyAlignment="1" applyFont="1">
      <alignment readingOrder="0" vertical="center"/>
    </xf>
    <xf borderId="14" fillId="10" fontId="28" numFmtId="0" xfId="0" applyAlignment="1" applyBorder="1" applyFont="1">
      <alignment horizontal="right" vertical="top"/>
    </xf>
    <xf borderId="17" fillId="10" fontId="29" numFmtId="0" xfId="0" applyAlignment="1" applyBorder="1" applyFont="1">
      <alignment readingOrder="0" vertical="bottom"/>
    </xf>
    <xf borderId="8" fillId="3" fontId="3" numFmtId="0" xfId="0" applyAlignment="1" applyBorder="1" applyFont="1">
      <alignment horizontal="center" readingOrder="0" vertical="bottom"/>
    </xf>
    <xf borderId="12" fillId="0" fontId="29" numFmtId="0" xfId="0" applyAlignment="1" applyBorder="1" applyFont="1">
      <alignment horizontal="center" vertical="bottom"/>
    </xf>
    <xf borderId="14" fillId="0" fontId="39" numFmtId="0" xfId="0" applyAlignment="1" applyBorder="1" applyFont="1">
      <alignment horizontal="center" vertical="bottom"/>
    </xf>
    <xf borderId="9" fillId="10" fontId="34" numFmtId="0" xfId="0" applyAlignment="1" applyBorder="1" applyFont="1">
      <alignment horizontal="right"/>
    </xf>
    <xf borderId="32" fillId="7" fontId="13" numFmtId="0" xfId="0" applyAlignment="1" applyBorder="1" applyFont="1">
      <alignment horizontal="center" vertical="center"/>
    </xf>
    <xf borderId="33" fillId="7" fontId="13" numFmtId="0" xfId="0" applyAlignment="1" applyBorder="1" applyFont="1">
      <alignment horizontal="center" vertical="center"/>
    </xf>
    <xf borderId="12" fillId="7" fontId="28" numFmtId="0" xfId="0" applyAlignment="1" applyBorder="1" applyFont="1">
      <alignment horizontal="center" vertical="center"/>
    </xf>
    <xf borderId="32" fillId="7" fontId="28" numFmtId="0" xfId="0" applyAlignment="1" applyBorder="1" applyFont="1">
      <alignment horizontal="center" vertical="center"/>
    </xf>
    <xf borderId="34" fillId="2" fontId="30" numFmtId="0" xfId="0" applyAlignment="1" applyBorder="1" applyFont="1">
      <alignment horizontal="center" vertical="center"/>
    </xf>
    <xf borderId="35" fillId="0" fontId="8" numFmtId="0" xfId="0" applyBorder="1" applyFont="1"/>
    <xf borderId="36" fillId="0" fontId="8" numFmtId="0" xfId="0" applyBorder="1" applyFont="1"/>
    <xf borderId="37" fillId="2" fontId="53" numFmtId="0" xfId="0" applyAlignment="1" applyBorder="1" applyFont="1">
      <alignment horizontal="center" vertical="center"/>
    </xf>
    <xf borderId="38" fillId="0" fontId="8" numFmtId="0" xfId="0" applyBorder="1" applyFont="1"/>
    <xf borderId="39" fillId="0" fontId="8" numFmtId="0" xfId="0" applyBorder="1" applyFont="1"/>
    <xf borderId="4" fillId="8" fontId="31" numFmtId="0" xfId="0" applyAlignment="1" applyBorder="1" applyFont="1">
      <alignment horizontal="center" vertical="center"/>
    </xf>
    <xf borderId="13" fillId="8" fontId="31" numFmtId="0" xfId="0" applyAlignment="1" applyBorder="1" applyFont="1">
      <alignment horizontal="center" vertical="center"/>
    </xf>
    <xf borderId="13" fillId="8" fontId="2" numFmtId="0" xfId="0" applyAlignment="1" applyBorder="1" applyFont="1">
      <alignment horizontal="center" vertical="center"/>
    </xf>
    <xf borderId="0" fillId="8" fontId="13" numFmtId="0" xfId="0" applyAlignment="1" applyFont="1">
      <alignment horizontal="center" vertical="center"/>
    </xf>
    <xf borderId="40" fillId="0" fontId="8" numFmtId="0" xfId="0" applyBorder="1" applyFont="1"/>
    <xf borderId="41" fillId="0" fontId="8" numFmtId="0" xfId="0" applyBorder="1" applyFont="1"/>
    <xf borderId="42" fillId="0" fontId="8" numFmtId="0" xfId="0" applyBorder="1" applyFont="1"/>
    <xf borderId="6" fillId="8" fontId="31" numFmtId="0" xfId="0" applyAlignment="1" applyBorder="1" applyFont="1">
      <alignment horizontal="center" vertical="center"/>
    </xf>
    <xf borderId="8" fillId="8" fontId="31" numFmtId="0" xfId="0" applyAlignment="1" applyBorder="1" applyFont="1">
      <alignment horizontal="center" vertical="center"/>
    </xf>
    <xf borderId="0" fillId="8" fontId="29" numFmtId="0" xfId="0" applyAlignment="1" applyFont="1">
      <alignment horizontal="center" vertical="center"/>
    </xf>
    <xf borderId="31" fillId="8" fontId="54" numFmtId="0" xfId="0" applyAlignment="1" applyBorder="1" applyFont="1">
      <alignment horizontal="center" vertical="center"/>
    </xf>
    <xf borderId="5" fillId="8" fontId="29" numFmtId="0" xfId="0" applyAlignment="1" applyBorder="1" applyFont="1">
      <alignment horizontal="center" vertical="center"/>
    </xf>
    <xf borderId="26" fillId="8" fontId="54" numFmtId="0" xfId="0" applyAlignment="1" applyBorder="1" applyFont="1">
      <alignment horizontal="center" vertical="center"/>
    </xf>
    <xf borderId="15" fillId="3" fontId="39" numFmtId="164" xfId="0" applyAlignment="1" applyBorder="1" applyFont="1" applyNumberFormat="1">
      <alignment horizontal="center" vertical="center"/>
    </xf>
    <xf borderId="16" fillId="3" fontId="39" numFmtId="164" xfId="0" applyAlignment="1" applyBorder="1" applyFont="1" applyNumberFormat="1">
      <alignment horizontal="center" vertical="center"/>
    </xf>
    <xf borderId="9" fillId="6" fontId="14" numFmtId="0" xfId="0" applyAlignment="1" applyBorder="1" applyFont="1">
      <alignment readingOrder="0" shrinkToFit="0" vertical="center" wrapText="0"/>
    </xf>
    <xf borderId="14" fillId="0" fontId="55" numFmtId="0" xfId="0" applyAlignment="1" applyBorder="1" applyFont="1">
      <alignment horizontal="center" vertical="center"/>
    </xf>
    <xf borderId="12" fillId="0" fontId="55" numFmtId="0" xfId="0" applyAlignment="1" applyBorder="1" applyFont="1">
      <alignment horizontal="center" vertical="center"/>
    </xf>
    <xf borderId="21" fillId="6" fontId="14" numFmtId="0" xfId="0" applyAlignment="1" applyBorder="1" applyFont="1">
      <alignment readingOrder="0" shrinkToFit="0" vertical="center" wrapText="0"/>
    </xf>
    <xf borderId="7" fillId="0" fontId="60" numFmtId="0" xfId="0" applyAlignment="1" applyBorder="1" applyFont="1">
      <alignment shrinkToFit="0" vertical="center" wrapText="0"/>
    </xf>
    <xf borderId="10" fillId="4" fontId="15" numFmtId="0" xfId="0" applyAlignment="1" applyBorder="1" applyFont="1">
      <alignment horizontal="left"/>
    </xf>
    <xf borderId="10" fillId="4" fontId="15" numFmtId="0" xfId="0" applyAlignment="1" applyBorder="1" applyFont="1">
      <alignment horizontal="center"/>
    </xf>
    <xf borderId="12" fillId="4" fontId="15" numFmtId="0" xfId="0" applyAlignment="1" applyBorder="1" applyFont="1">
      <alignment horizontal="center"/>
    </xf>
    <xf borderId="14" fillId="8" fontId="29" numFmtId="0" xfId="0" applyAlignment="1" applyBorder="1" applyFont="1">
      <alignment horizontal="center" vertical="center"/>
    </xf>
    <xf borderId="14" fillId="8" fontId="29" numFmtId="0" xfId="0" applyAlignment="1" applyBorder="1" applyFont="1">
      <alignment horizontal="center"/>
    </xf>
    <xf borderId="9" fillId="8" fontId="3" numFmtId="0" xfId="0" applyAlignment="1" applyBorder="1" applyFont="1">
      <alignment horizontal="left" vertical="center"/>
    </xf>
    <xf borderId="10" fillId="8" fontId="29" numFmtId="0" xfId="0" applyAlignment="1" applyBorder="1" applyFont="1">
      <alignment horizontal="center" vertical="center"/>
    </xf>
    <xf borderId="12" fillId="8" fontId="29" numFmtId="0" xfId="0" applyAlignment="1" applyBorder="1" applyFont="1">
      <alignment horizontal="center" vertical="center"/>
    </xf>
    <xf borderId="14" fillId="3" fontId="29" numFmtId="164" xfId="0" applyAlignment="1" applyBorder="1" applyFont="1" applyNumberFormat="1">
      <alignment horizontal="center"/>
    </xf>
    <xf borderId="9" fillId="0" fontId="61" numFmtId="0" xfId="0" applyBorder="1" applyFont="1"/>
    <xf borderId="10" fillId="0" fontId="29" numFmtId="0" xfId="0" applyBorder="1" applyFont="1"/>
    <xf borderId="12" fillId="0" fontId="29" numFmtId="0" xfId="0" applyBorder="1" applyFont="1"/>
    <xf borderId="9" fillId="0" fontId="44" numFmtId="0" xfId="0" applyBorder="1" applyFont="1"/>
    <xf borderId="9" fillId="0" fontId="46" numFmtId="0" xfId="0" applyBorder="1" applyFont="1"/>
    <xf borderId="9" fillId="0" fontId="47" numFmtId="0" xfId="0" applyBorder="1" applyFont="1"/>
    <xf borderId="0" fillId="6" fontId="29" numFmtId="164" xfId="0" applyAlignment="1" applyFont="1" applyNumberFormat="1">
      <alignment horizontal="left" vertical="top"/>
    </xf>
    <xf borderId="9" fillId="4" fontId="15" numFmtId="0" xfId="0" applyAlignment="1" applyBorder="1" applyFont="1">
      <alignment horizontal="left" vertical="center"/>
    </xf>
    <xf borderId="10" fillId="4" fontId="15" numFmtId="0" xfId="0" applyAlignment="1" applyBorder="1" applyFont="1">
      <alignment horizontal="center" vertical="center"/>
    </xf>
    <xf borderId="12" fillId="4" fontId="15" numFmtId="0" xfId="0" applyAlignment="1" applyBorder="1" applyFont="1">
      <alignment horizontal="center" vertical="center"/>
    </xf>
    <xf borderId="10" fillId="0" fontId="29" numFmtId="0" xfId="0" applyAlignment="1" applyBorder="1" applyFont="1">
      <alignment horizontal="left"/>
    </xf>
    <xf borderId="12" fillId="0" fontId="29" numFmtId="0" xfId="0" applyAlignment="1" applyBorder="1" applyFont="1">
      <alignment horizontal="left"/>
    </xf>
    <xf borderId="9" fillId="9" fontId="15" numFmtId="0" xfId="0" applyAlignment="1" applyBorder="1" applyFont="1">
      <alignment horizontal="left" vertical="center"/>
    </xf>
    <xf borderId="10" fillId="9" fontId="15" numFmtId="0" xfId="0" applyAlignment="1" applyBorder="1" applyFont="1">
      <alignment horizontal="center" vertical="center"/>
    </xf>
    <xf borderId="12" fillId="9" fontId="15" numFmtId="0" xfId="0" applyAlignment="1" applyBorder="1" applyFont="1">
      <alignment horizontal="center" vertical="center"/>
    </xf>
    <xf borderId="14" fillId="6" fontId="28" numFmtId="0" xfId="0" applyAlignment="1" applyBorder="1" applyFont="1">
      <alignment horizontal="right" vertical="top"/>
    </xf>
    <xf borderId="9" fillId="7" fontId="34" numFmtId="0" xfId="0" applyAlignment="1" applyBorder="1" applyFont="1">
      <alignment horizontal="right"/>
    </xf>
    <xf borderId="14" fillId="0" fontId="29" numFmtId="0" xfId="0" applyAlignment="1" applyBorder="1" applyFont="1">
      <alignment readingOrder="0" vertical="center"/>
    </xf>
    <xf borderId="8" fillId="0" fontId="3" numFmtId="0" xfId="0" applyAlignment="1" applyBorder="1" applyFont="1">
      <alignment horizontal="center" readingOrder="0" vertical="center"/>
    </xf>
    <xf borderId="14" fillId="0" fontId="39" numFmtId="0" xfId="0" applyAlignment="1" applyBorder="1" applyFont="1">
      <alignment horizontal="center" readingOrder="0" vertical="center"/>
    </xf>
    <xf borderId="17" fillId="0" fontId="29" numFmtId="0" xfId="0" applyAlignment="1" applyBorder="1" applyFont="1">
      <alignment readingOrder="0" vertical="center"/>
    </xf>
    <xf borderId="12" fillId="0" fontId="29" numFmtId="0" xfId="0" applyAlignment="1" applyBorder="1" applyFont="1">
      <alignment horizontal="center" readingOrder="0" vertical="center"/>
    </xf>
    <xf borderId="17" fillId="3" fontId="29" numFmtId="0" xfId="0" applyAlignment="1" applyBorder="1" applyFont="1">
      <alignment readingOrder="0" vertical="bottom"/>
    </xf>
    <xf borderId="12" fillId="3" fontId="29" numFmtId="0" xfId="0" applyAlignment="1" applyBorder="1" applyFont="1">
      <alignment horizontal="center" vertical="bottom"/>
    </xf>
    <xf borderId="3" fillId="3" fontId="26" numFmtId="0" xfId="0" applyAlignment="1" applyBorder="1" applyFont="1">
      <alignment horizontal="center" shrinkToFit="0" textRotation="90" vertical="center" wrapText="1"/>
    </xf>
    <xf borderId="14" fillId="0" fontId="52" numFmtId="0" xfId="0" applyAlignment="1" applyBorder="1" applyFont="1">
      <alignment horizontal="center" vertical="center"/>
    </xf>
    <xf borderId="16" fillId="0" fontId="52" numFmtId="0" xfId="0" applyAlignment="1" applyBorder="1" applyFont="1">
      <alignment horizontal="center" vertical="center"/>
    </xf>
    <xf borderId="3" fillId="0" fontId="52" numFmtId="0" xfId="0" applyAlignment="1" applyBorder="1" applyFont="1">
      <alignment horizontal="center" vertical="center"/>
    </xf>
    <xf borderId="11" fillId="0" fontId="52" numFmtId="0" xfId="0" applyAlignment="1" applyBorder="1" applyFont="1">
      <alignment horizontal="center" vertical="center"/>
    </xf>
    <xf borderId="18" fillId="6" fontId="28" numFmtId="0" xfId="0" applyAlignment="1" applyBorder="1" applyFont="1">
      <alignment horizontal="right" vertical="center"/>
    </xf>
    <xf borderId="12" fillId="0" fontId="28" numFmtId="0" xfId="0" applyAlignment="1" applyBorder="1" applyFont="1">
      <alignment horizontal="center" readingOrder="0" vertical="center"/>
    </xf>
    <xf borderId="28" fillId="0" fontId="28" numFmtId="0" xfId="0" applyAlignment="1" applyBorder="1" applyFont="1">
      <alignment horizontal="center" readingOrder="0" vertical="center"/>
    </xf>
    <xf borderId="14" fillId="0" fontId="28" numFmtId="0" xfId="0" applyAlignment="1" applyBorder="1" applyFont="1">
      <alignment horizontal="center" readingOrder="0" vertical="center"/>
    </xf>
    <xf borderId="16" fillId="0" fontId="13" numFmtId="0" xfId="0" applyAlignment="1" applyBorder="1" applyFont="1">
      <alignment horizontal="center" vertical="center"/>
    </xf>
    <xf borderId="14" fillId="6" fontId="28" numFmtId="0" xfId="0" applyAlignment="1" applyBorder="1" applyFont="1">
      <alignment horizontal="right" vertical="center"/>
    </xf>
    <xf borderId="12" fillId="0" fontId="29" numFmtId="0" xfId="0" applyAlignment="1" applyBorder="1" applyFont="1">
      <alignment horizontal="center" vertical="center"/>
    </xf>
    <xf borderId="9" fillId="7" fontId="34" numFmtId="0" xfId="0" applyAlignment="1" applyBorder="1" applyFont="1">
      <alignment horizontal="right" vertical="center"/>
    </xf>
    <xf borderId="12" fillId="7" fontId="13" numFmtId="0" xfId="0" applyAlignment="1" applyBorder="1" applyFont="1">
      <alignment horizontal="center" vertical="center"/>
    </xf>
    <xf borderId="1" fillId="2" fontId="53" numFmtId="0" xfId="0" applyAlignment="1" applyBorder="1" applyFont="1">
      <alignment horizontal="center" vertical="center"/>
    </xf>
    <xf borderId="9" fillId="8" fontId="31" numFmtId="0" xfId="0" applyAlignment="1" applyBorder="1" applyFont="1">
      <alignment horizontal="center" vertical="center"/>
    </xf>
    <xf borderId="12" fillId="8" fontId="31" numFmtId="0" xfId="0" applyAlignment="1" applyBorder="1" applyFont="1">
      <alignment horizontal="center" vertical="center"/>
    </xf>
    <xf borderId="16" fillId="8" fontId="54" numFmtId="0" xfId="0" applyAlignment="1" applyBorder="1" applyFont="1">
      <alignment horizontal="center" vertical="center"/>
    </xf>
    <xf borderId="28" fillId="8" fontId="54" numFmtId="0" xfId="0" applyAlignment="1" applyBorder="1" applyFont="1">
      <alignment horizontal="center" vertical="center"/>
    </xf>
    <xf borderId="14" fillId="3" fontId="33" numFmtId="0" xfId="0" applyAlignment="1" applyBorder="1" applyFont="1">
      <alignment horizontal="center" shrinkToFit="0" vertical="center" wrapText="1"/>
    </xf>
    <xf borderId="15" fillId="3" fontId="14" numFmtId="164" xfId="0" applyAlignment="1" applyBorder="1" applyFont="1" applyNumberFormat="1">
      <alignment horizontal="center" vertical="center"/>
    </xf>
    <xf borderId="16" fillId="3" fontId="14" numFmtId="164" xfId="0" applyAlignment="1" applyBorder="1" applyFont="1" applyNumberFormat="1">
      <alignment horizontal="center" vertical="center"/>
    </xf>
    <xf borderId="10" fillId="0" fontId="36" numFmtId="0" xfId="0" applyAlignment="1" applyBorder="1" applyFont="1">
      <alignment horizontal="left" shrinkToFit="0" vertical="center" wrapText="1"/>
    </xf>
    <xf borderId="9" fillId="4" fontId="41" numFmtId="0" xfId="0" applyAlignment="1" applyBorder="1" applyFont="1">
      <alignment horizontal="left"/>
    </xf>
    <xf borderId="10" fillId="4" fontId="41" numFmtId="0" xfId="0" applyAlignment="1" applyBorder="1" applyFont="1">
      <alignment horizontal="left"/>
    </xf>
    <xf borderId="12" fillId="4" fontId="41" numFmtId="0" xfId="0" applyAlignment="1" applyBorder="1" applyFont="1">
      <alignment horizontal="left"/>
    </xf>
    <xf borderId="14" fillId="8" fontId="37" numFmtId="0" xfId="0" applyAlignment="1" applyBorder="1" applyFont="1">
      <alignment horizontal="center" vertical="center"/>
    </xf>
    <xf borderId="14" fillId="8" fontId="37" numFmtId="0" xfId="0" applyAlignment="1" applyBorder="1" applyFont="1">
      <alignment horizontal="center"/>
    </xf>
    <xf borderId="9" fillId="8" fontId="22" numFmtId="0" xfId="0" applyAlignment="1" applyBorder="1" applyFont="1">
      <alignment horizontal="left" vertical="center"/>
    </xf>
    <xf borderId="14" fillId="3" fontId="14" numFmtId="164" xfId="0" applyAlignment="1" applyBorder="1" applyFont="1" applyNumberFormat="1">
      <alignment horizontal="center"/>
    </xf>
    <xf borderId="10" fillId="0" fontId="14" numFmtId="0" xfId="0" applyAlignment="1" applyBorder="1" applyFont="1">
      <alignment horizontal="left"/>
    </xf>
    <xf borderId="12" fillId="0" fontId="14" numFmtId="0" xfId="0" applyAlignment="1" applyBorder="1" applyFont="1">
      <alignment horizontal="left"/>
    </xf>
    <xf borderId="0" fillId="0" fontId="14" numFmtId="0" xfId="0" applyAlignment="1" applyFont="1">
      <alignment horizontal="left"/>
    </xf>
    <xf borderId="0" fillId="0" fontId="14" numFmtId="164" xfId="0" applyAlignment="1" applyFont="1" applyNumberFormat="1">
      <alignment horizontal="left"/>
    </xf>
    <xf borderId="0" fillId="6" fontId="37" numFmtId="164" xfId="0" applyAlignment="1" applyFont="1" applyNumberFormat="1">
      <alignment horizontal="left" vertical="top"/>
    </xf>
    <xf borderId="9" fillId="4" fontId="41" numFmtId="0" xfId="0" applyAlignment="1" applyBorder="1" applyFont="1">
      <alignment horizontal="left" vertical="center"/>
    </xf>
    <xf borderId="10" fillId="4" fontId="41" numFmtId="164" xfId="0" applyAlignment="1" applyBorder="1" applyFont="1" applyNumberFormat="1">
      <alignment horizontal="left" vertical="center"/>
    </xf>
    <xf borderId="12" fillId="4" fontId="41" numFmtId="0" xfId="0" applyAlignment="1" applyBorder="1" applyFont="1">
      <alignment horizontal="left" vertical="center"/>
    </xf>
    <xf borderId="14" fillId="8" fontId="37" numFmtId="164" xfId="0" applyAlignment="1" applyBorder="1" applyFont="1" applyNumberFormat="1">
      <alignment horizontal="center"/>
    </xf>
    <xf borderId="9" fillId="9" fontId="41" numFmtId="0" xfId="0" applyAlignment="1" applyBorder="1" applyFont="1">
      <alignment horizontal="left" vertical="center"/>
    </xf>
    <xf borderId="10" fillId="9" fontId="41" numFmtId="164" xfId="0" applyAlignment="1" applyBorder="1" applyFont="1" applyNumberFormat="1">
      <alignment horizontal="left" vertical="center"/>
    </xf>
    <xf borderId="10" fillId="9" fontId="41" numFmtId="0" xfId="0" applyAlignment="1" applyBorder="1" applyFont="1">
      <alignment horizontal="left" vertical="center"/>
    </xf>
    <xf borderId="12" fillId="9" fontId="41" numFmtId="0" xfId="0" applyAlignment="1" applyBorder="1" applyFont="1">
      <alignment horizontal="left" vertical="center"/>
    </xf>
  </cellXfs>
  <cellStyles count="1">
    <cellStyle xfId="0" name="Normal" builtinId="0"/>
  </cellStyles>
  <dxfs count="20">
    <dxf>
      <font/>
      <fill>
        <patternFill patternType="solid">
          <fgColor rgb="FFD8D8D8"/>
          <bgColor rgb="FFD8D8D8"/>
        </patternFill>
      </fill>
      <border/>
    </dxf>
    <dxf>
      <font/>
      <fill>
        <patternFill patternType="solid">
          <fgColor rgb="FFD9F1F3"/>
          <bgColor rgb="FFD9F1F3"/>
        </patternFill>
      </fill>
      <border/>
    </dxf>
    <dxf>
      <font/>
      <fill>
        <patternFill patternType="solid">
          <fgColor rgb="FFCCCCCC"/>
          <bgColor rgb="FFCCCCCC"/>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EFEFEF"/>
          <bgColor rgb="FFEFEFEF"/>
        </patternFill>
      </fill>
      <border/>
    </dxf>
    <dxf>
      <font/>
      <fill>
        <patternFill patternType="solid">
          <fgColor rgb="FFEA9999"/>
          <bgColor rgb="FFEA9999"/>
        </patternFill>
      </fill>
      <border/>
    </dxf>
    <dxf>
      <font>
        <color rgb="FF000000"/>
      </font>
      <fill>
        <patternFill patternType="solid">
          <fgColor rgb="FFF1C232"/>
          <bgColor rgb="FFF1C232"/>
        </patternFill>
      </fill>
      <border/>
    </dxf>
    <dxf>
      <font/>
      <fill>
        <patternFill patternType="solid">
          <fgColor rgb="FFFFFF00"/>
          <bgColor rgb="FFFFFF00"/>
        </patternFill>
      </fill>
      <border/>
    </dxf>
    <dxf>
      <font/>
      <fill>
        <patternFill patternType="solid">
          <fgColor rgb="FF93C47D"/>
          <bgColor rgb="FF93C47D"/>
        </patternFill>
      </fill>
      <border/>
    </dxf>
    <dxf>
      <font>
        <color rgb="FF000000"/>
      </font>
      <fill>
        <patternFill patternType="solid">
          <fgColor rgb="FFF4CCCC"/>
          <bgColor rgb="FFF4CCCC"/>
        </patternFill>
      </fill>
      <border/>
    </dxf>
    <dxf>
      <font>
        <color rgb="FF000000"/>
      </font>
      <fill>
        <patternFill patternType="solid">
          <fgColor rgb="FFB7E1CD"/>
          <bgColor rgb="FFB7E1CD"/>
        </patternFill>
      </fill>
      <border/>
    </dxf>
    <dxf>
      <font>
        <color rgb="FF980000"/>
      </font>
      <fill>
        <patternFill patternType="solid">
          <fgColor rgb="FFF4CCCC"/>
          <bgColor rgb="FFF4CCCC"/>
        </patternFill>
      </fill>
      <border/>
    </dxf>
    <dxf>
      <font>
        <b/>
        <color rgb="FFFF6D01"/>
      </font>
      <fill>
        <patternFill patternType="solid">
          <fgColor rgb="FFFCE5CD"/>
          <bgColor rgb="FFFCE5CD"/>
        </patternFill>
      </fill>
      <border/>
    </dxf>
    <dxf>
      <font>
        <color rgb="FF434343"/>
      </font>
      <fill>
        <patternFill patternType="solid">
          <fgColor rgb="FFFFFF00"/>
          <bgColor rgb="FFFFFF00"/>
        </patternFill>
      </fill>
      <border/>
    </dxf>
    <dxf>
      <font>
        <b/>
        <color rgb="FF274E13"/>
      </font>
      <fill>
        <patternFill patternType="solid">
          <fgColor rgb="FFB6D7A8"/>
          <bgColor rgb="FFB6D7A8"/>
        </patternFill>
      </fill>
      <border/>
    </dxf>
    <dxf>
      <font>
        <b/>
        <color rgb="FF980000"/>
      </font>
      <fill>
        <patternFill patternType="solid">
          <fgColor rgb="FFF4CCCC"/>
          <bgColor rgb="FFF4CCCC"/>
        </patternFill>
      </fill>
      <border/>
    </dxf>
    <dxf>
      <font>
        <color rgb="FFFF6D01"/>
      </font>
      <fill>
        <patternFill patternType="solid">
          <fgColor rgb="FFFCE5CD"/>
          <bgColor rgb="FFFCE5CD"/>
        </patternFill>
      </fill>
      <border/>
    </dxf>
    <dxf>
      <font>
        <b/>
        <color rgb="FF666666"/>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POR DESCRITORES - EM %</a:t>
            </a:r>
          </a:p>
        </c:rich>
      </c:tx>
      <c:overlay val="0"/>
    </c:title>
    <c:plotArea>
      <c:layout/>
      <c:barChart>
        <c:barDir val="col"/>
        <c:grouping val="stacked"/>
        <c:ser>
          <c:idx val="0"/>
          <c:order val="0"/>
          <c:spPr>
            <a:solidFill>
              <a:srgbClr val="FF9900"/>
            </a:solidFill>
            <a:ln cmpd="sng">
              <a:solidFill>
                <a:srgbClr val="000000"/>
              </a:solidFill>
            </a:ln>
          </c:spPr>
          <c:dPt>
            <c:idx val="21"/>
            <c:spPr>
              <a:solidFill>
                <a:srgbClr val="674EA7"/>
              </a:solidFill>
              <a:ln cmpd="sng">
                <a:solidFill>
                  <a:srgbClr val="000000"/>
                </a:solidFill>
              </a:ln>
            </c:spPr>
          </c:dPt>
          <c:dPt>
            <c:idx val="22"/>
            <c:spPr>
              <a:solidFill>
                <a:srgbClr val="674EA7"/>
              </a:solidFill>
              <a:ln cmpd="sng">
                <a:solidFill>
                  <a:srgbClr val="000000"/>
                </a:solidFill>
              </a:ln>
            </c:spPr>
          </c:dPt>
          <c:dPt>
            <c:idx val="23"/>
            <c:spPr>
              <a:solidFill>
                <a:srgbClr val="674EA7"/>
              </a:solidFill>
              <a:ln cmpd="sng">
                <a:solidFill>
                  <a:srgbClr val="000000"/>
                </a:solidFill>
              </a:ln>
            </c:spPr>
          </c:dPt>
          <c:dPt>
            <c:idx val="24"/>
            <c:spPr>
              <a:solidFill>
                <a:srgbClr val="674EA7"/>
              </a:solidFill>
              <a:ln cmpd="sng">
                <a:solidFill>
                  <a:srgbClr val="000000"/>
                </a:solidFill>
              </a:ln>
            </c:spPr>
          </c:dPt>
          <c:dPt>
            <c:idx val="25"/>
            <c:spPr>
              <a:solidFill>
                <a:srgbClr val="674EA7"/>
              </a:solidFill>
              <a:ln cmpd="sng">
                <a:solidFill>
                  <a:srgbClr val="000000"/>
                </a:solidFill>
              </a:ln>
            </c:spPr>
          </c:dPt>
          <c:dPt>
            <c:idx val="26"/>
            <c:spPr>
              <a:solidFill>
                <a:srgbClr val="674EA7"/>
              </a:solidFill>
              <a:ln cmpd="sng">
                <a:solidFill>
                  <a:srgbClr val="000000"/>
                </a:solidFill>
              </a:ln>
            </c:spPr>
          </c:dPt>
          <c:dPt>
            <c:idx val="27"/>
            <c:spPr>
              <a:solidFill>
                <a:srgbClr val="674EA7"/>
              </a:solidFill>
              <a:ln cmpd="sng">
                <a:solidFill>
                  <a:srgbClr val="000000"/>
                </a:solidFill>
              </a:ln>
            </c:spPr>
          </c:dPt>
          <c:dPt>
            <c:idx val="28"/>
            <c:spPr>
              <a:solidFill>
                <a:srgbClr val="674EA7"/>
              </a:solidFill>
              <a:ln cmpd="sng">
                <a:solidFill>
                  <a:srgbClr val="000000"/>
                </a:solidFill>
              </a:ln>
            </c:spPr>
          </c:dPt>
          <c:dPt>
            <c:idx val="29"/>
            <c:spPr>
              <a:solidFill>
                <a:srgbClr val="674EA7"/>
              </a:solidFill>
              <a:ln cmpd="sng">
                <a:solidFill>
                  <a:srgbClr val="000000"/>
                </a:solidFill>
              </a:ln>
            </c:spPr>
          </c:dPt>
          <c:dPt>
            <c:idx val="30"/>
            <c:spPr>
              <a:solidFill>
                <a:srgbClr val="674EA7"/>
              </a:solidFill>
              <a:ln cmpd="sng">
                <a:solidFill>
                  <a:srgbClr val="000000"/>
                </a:solidFill>
              </a:ln>
            </c:spPr>
          </c:dPt>
          <c:dPt>
            <c:idx val="31"/>
            <c:spPr>
              <a:solidFill>
                <a:srgbClr val="674EA7"/>
              </a:solidFill>
              <a:ln cmpd="sng">
                <a:solidFill>
                  <a:srgbClr val="000000"/>
                </a:solidFill>
              </a:ln>
            </c:spPr>
          </c:dPt>
          <c:dPt>
            <c:idx val="32"/>
            <c:spPr>
              <a:solidFill>
                <a:srgbClr val="674EA7"/>
              </a:solidFill>
              <a:ln cmpd="sng">
                <a:solidFill>
                  <a:srgbClr val="000000"/>
                </a:solidFill>
              </a:ln>
            </c:spPr>
          </c:dPt>
          <c:dPt>
            <c:idx val="33"/>
            <c:spPr>
              <a:solidFill>
                <a:srgbClr val="674EA7"/>
              </a:solidFill>
              <a:ln cmpd="sng">
                <a:solidFill>
                  <a:srgbClr val="000000"/>
                </a:solidFill>
              </a:ln>
            </c:spPr>
          </c:dPt>
          <c:dPt>
            <c:idx val="34"/>
            <c:spPr>
              <a:solidFill>
                <a:srgbClr val="674EA7"/>
              </a:solidFill>
              <a:ln cmpd="sng">
                <a:solidFill>
                  <a:srgbClr val="000000"/>
                </a:solidFill>
              </a:ln>
            </c:spPr>
          </c:dPt>
          <c:dPt>
            <c:idx val="35"/>
            <c:spPr>
              <a:solidFill>
                <a:srgbClr val="674EA7"/>
              </a:solidFill>
              <a:ln cmpd="sng">
                <a:solidFill>
                  <a:srgbClr val="000000"/>
                </a:solidFill>
              </a:ln>
            </c:spPr>
          </c:dPt>
          <c:dPt>
            <c:idx val="36"/>
            <c:spPr>
              <a:solidFill>
                <a:srgbClr val="674EA7"/>
              </a:solidFill>
              <a:ln cmpd="sng">
                <a:solidFill>
                  <a:srgbClr val="000000"/>
                </a:solidFill>
              </a:ln>
            </c:spPr>
          </c:dPt>
          <c:dPt>
            <c:idx val="37"/>
            <c:spPr>
              <a:solidFill>
                <a:srgbClr val="674EA7"/>
              </a:solidFill>
              <a:ln cmpd="sng">
                <a:solidFill>
                  <a:srgbClr val="000000"/>
                </a:solidFill>
              </a:ln>
            </c:spPr>
          </c:dPt>
          <c:dPt>
            <c:idx val="38"/>
            <c:spPr>
              <a:solidFill>
                <a:srgbClr val="674EA7"/>
              </a:solidFill>
              <a:ln cmpd="sng">
                <a:solidFill>
                  <a:srgbClr val="000000"/>
                </a:solidFill>
              </a:ln>
            </c:spPr>
          </c:dPt>
          <c:dPt>
            <c:idx val="39"/>
            <c:spPr>
              <a:solidFill>
                <a:srgbClr val="674EA7"/>
              </a:solidFill>
              <a:ln cmpd="sng">
                <a:solidFill>
                  <a:srgbClr val="000000"/>
                </a:solidFill>
              </a:ln>
            </c:spPr>
          </c:dPt>
          <c:dPt>
            <c:idx val="40"/>
            <c:spPr>
              <a:solidFill>
                <a:srgbClr val="674EA7"/>
              </a:solidFill>
              <a:ln cmpd="sng">
                <a:solidFill>
                  <a:srgbClr val="000000"/>
                </a:solidFill>
              </a:ln>
            </c:spPr>
          </c:dPt>
          <c:dPt>
            <c:idx val="41"/>
            <c:spPr>
              <a:solidFill>
                <a:srgbClr val="674EA7"/>
              </a:solidFill>
              <a:ln cmpd="sng">
                <a:solidFill>
                  <a:srgbClr val="000000"/>
                </a:solidFill>
              </a:ln>
            </c:spPr>
          </c:dPt>
          <c:dPt>
            <c:idx val="42"/>
            <c:spPr>
              <a:solidFill>
                <a:srgbClr val="674EA7"/>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'5º Ano - CONSOLIDADO'!$H$45:$H$87</c:f>
            </c:strRef>
          </c:cat>
          <c:val>
            <c:numRef>
              <c:f>'5º Ano - CONSOLIDADO'!$J$45:$J$87</c:f>
              <c:numCache/>
            </c:numRef>
          </c:val>
        </c:ser>
        <c:overlap val="100"/>
        <c:axId val="506341950"/>
        <c:axId val="1278876686"/>
      </c:barChart>
      <c:catAx>
        <c:axId val="5063419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1278876686"/>
      </c:catAx>
      <c:valAx>
        <c:axId val="127887668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50634195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73763"/>
                </a:solidFill>
                <a:latin typeface="+mn-lt"/>
              </a:defRPr>
            </a:pPr>
            <a:r>
              <a:rPr b="1" i="0" sz="2000">
                <a:solidFill>
                  <a:srgbClr val="073763"/>
                </a:solidFill>
                <a:latin typeface="+mn-lt"/>
              </a:rPr>
              <a:t>PERFIL DA TURMA - EM NÚMEROS</a:t>
            </a:r>
          </a:p>
        </c:rich>
      </c:tx>
      <c:overlay val="0"/>
    </c:title>
    <c:plotArea>
      <c:layout/>
      <c:barChart>
        <c:barDir val="col"/>
        <c:grouping val="stacked"/>
        <c:ser>
          <c:idx val="0"/>
          <c:order val="0"/>
          <c:spPr>
            <a:solidFill>
              <a:srgbClr val="073763"/>
            </a:solidFill>
            <a:ln cmpd="sng">
              <a:solidFill>
                <a:srgbClr val="000000"/>
              </a:solidFill>
            </a:ln>
          </c:spPr>
          <c:dPt>
            <c:idx val="0"/>
            <c:spPr>
              <a:solidFill>
                <a:srgbClr val="073763"/>
              </a:solidFill>
              <a:ln cmpd="sng">
                <a:solidFill>
                  <a:srgbClr val="000000"/>
                </a:solidFill>
              </a:ln>
            </c:spPr>
          </c:dPt>
          <c:dPt>
            <c:idx val="1"/>
            <c:spPr>
              <a:solidFill>
                <a:srgbClr val="073763"/>
              </a:solidFill>
              <a:ln cmpd="sng">
                <a:solidFill>
                  <a:srgbClr val="000000"/>
                </a:solidFill>
              </a:ln>
            </c:spPr>
          </c:dPt>
          <c:dPt>
            <c:idx val="2"/>
            <c:spPr>
              <a:solidFill>
                <a:srgbClr val="073763"/>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'5º Ano - CONSOLIDADO'!$A$18:$A$21</c:f>
            </c:strRef>
          </c:cat>
          <c:val>
            <c:numRef>
              <c:f>'5º Ano - CONSOLIDADO'!$B$18:$B$21</c:f>
              <c:numCache/>
            </c:numRef>
          </c:val>
        </c:ser>
        <c:ser>
          <c:idx val="1"/>
          <c:order val="1"/>
          <c:cat>
            <c:strRef>
              <c:f>'5º Ano - CONSOLIDADO'!$A$18:$A$21</c:f>
            </c:strRef>
          </c:cat>
          <c:val>
            <c:numRef>
              <c:f>'5º Ano - CONSOLIDADO'!$F$18:$F$21</c:f>
              <c:numCache/>
            </c:numRef>
          </c:val>
        </c:ser>
        <c:overlap val="100"/>
        <c:axId val="1671928491"/>
        <c:axId val="1500290773"/>
      </c:barChart>
      <c:catAx>
        <c:axId val="16719284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a:solidFill>
                  <a:srgbClr val="000000"/>
                </a:solidFill>
                <a:latin typeface="+mn-lt"/>
              </a:defRPr>
            </a:pPr>
          </a:p>
        </c:txPr>
        <c:crossAx val="1500290773"/>
      </c:catAx>
      <c:valAx>
        <c:axId val="150029077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71928491"/>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'5º Ano - CONSOLIDADO'!$T$90</c:f>
            </c:strRef>
          </c:tx>
          <c:spPr>
            <a:solidFill>
              <a:schemeClr val="accent1"/>
            </a:solidFill>
            <a:ln cmpd="sng">
              <a:solidFill>
                <a:srgbClr val="000000"/>
              </a:solidFill>
            </a:ln>
          </c:spPr>
          <c:cat>
            <c:strRef>
              <c:f>'5º Ano - CONSOLIDADO'!$H$91:$H$133</c:f>
            </c:strRef>
          </c:cat>
          <c:val>
            <c:numRef>
              <c:f>'5º Ano - CONSOLIDADO'!$T$91:$T$133</c:f>
              <c:numCache/>
            </c:numRef>
          </c:val>
        </c:ser>
        <c:ser>
          <c:idx val="1"/>
          <c:order val="1"/>
          <c:tx>
            <c:strRef>
              <c:f>'5º Ano - CONSOLIDADO'!$AF$90</c:f>
            </c:strRef>
          </c:tx>
          <c:spPr>
            <a:solidFill>
              <a:schemeClr val="accent2"/>
            </a:solidFill>
            <a:ln cmpd="sng">
              <a:solidFill>
                <a:srgbClr val="000000"/>
              </a:solidFill>
            </a:ln>
          </c:spPr>
          <c:cat>
            <c:strRef>
              <c:f>'5º Ano - CONSOLIDADO'!$H$91:$H$133</c:f>
            </c:strRef>
          </c:cat>
          <c:val>
            <c:numRef>
              <c:f>'5º Ano - CONSOLIDADO'!$AF$91:$AF$133</c:f>
              <c:numCache/>
            </c:numRef>
          </c:val>
        </c:ser>
        <c:ser>
          <c:idx val="2"/>
          <c:order val="2"/>
          <c:tx>
            <c:strRef>
              <c:f>'5º Ano - CONSOLIDADO'!$AR$90</c:f>
            </c:strRef>
          </c:tx>
          <c:spPr>
            <a:solidFill>
              <a:schemeClr val="accent3"/>
            </a:solidFill>
            <a:ln cmpd="sng">
              <a:solidFill>
                <a:srgbClr val="000000"/>
              </a:solidFill>
            </a:ln>
          </c:spPr>
          <c:cat>
            <c:strRef>
              <c:f>'5º Ano - CONSOLIDADO'!$H$91:$H$133</c:f>
            </c:strRef>
          </c:cat>
          <c:val>
            <c:numRef>
              <c:f>'5º Ano - CONSOLIDADO'!$AR$91:$AR$133</c:f>
              <c:numCache/>
            </c:numRef>
          </c:val>
        </c:ser>
        <c:ser>
          <c:idx val="3"/>
          <c:order val="3"/>
          <c:tx>
            <c:strRef>
              <c:f>'5º Ano - CONSOLIDADO'!$BD$90</c:f>
            </c:strRef>
          </c:tx>
          <c:spPr>
            <a:solidFill>
              <a:schemeClr val="accent4"/>
            </a:solidFill>
            <a:ln cmpd="sng">
              <a:solidFill>
                <a:srgbClr val="000000"/>
              </a:solidFill>
            </a:ln>
          </c:spPr>
          <c:cat>
            <c:strRef>
              <c:f>'5º Ano - CONSOLIDADO'!$H$91:$H$133</c:f>
            </c:strRef>
          </c:cat>
          <c:val>
            <c:numRef>
              <c:f>'5º Ano - CONSOLIDADO'!$BD$91:$BD$133</c:f>
              <c:numCache/>
            </c:numRef>
          </c:val>
        </c:ser>
        <c:overlap val="100"/>
        <c:axId val="162615496"/>
        <c:axId val="1471696246"/>
      </c:barChart>
      <c:catAx>
        <c:axId val="1626154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471696246"/>
      </c:catAx>
      <c:valAx>
        <c:axId val="147169624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2615496"/>
      </c:valAx>
    </c:plotArea>
    <c:legend>
      <c:legendPos val="b"/>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9900"/>
                </a:solidFill>
                <a:latin typeface="+mn-lt"/>
              </a:defRPr>
            </a:pPr>
            <a:r>
              <a:rPr b="1" i="0" sz="2000">
                <a:solidFill>
                  <a:srgbClr val="FF9900"/>
                </a:solidFill>
                <a:latin typeface="+mn-lt"/>
              </a:rPr>
              <a:t>PADRÃO DE DESEMPENHO - PRODUÇÃO TEXTUAL - EM %</a:t>
            </a:r>
          </a:p>
        </c:rich>
      </c:tx>
      <c:overlay val="0"/>
    </c:title>
    <c:plotArea>
      <c:layout/>
      <c:barChart>
        <c:barDir val="col"/>
        <c:ser>
          <c:idx val="0"/>
          <c:order val="0"/>
          <c:spPr>
            <a:solidFill>
              <a:srgbClr val="274E13"/>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'5º Ano - CONSOLIDADO'!$S$137:$S$140</c:f>
            </c:strRef>
          </c:cat>
          <c:val>
            <c:numRef>
              <c:f>'5º Ano - CONSOLIDADO'!$R$137:$R$140</c:f>
              <c:numCache/>
            </c:numRef>
          </c:val>
        </c:ser>
        <c:axId val="932050238"/>
        <c:axId val="2092726595"/>
      </c:barChart>
      <c:catAx>
        <c:axId val="9320502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92726595"/>
      </c:catAx>
      <c:valAx>
        <c:axId val="2092726595"/>
        <c:scaling>
          <c:orientation val="minMax"/>
          <c:max val="1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32050238"/>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9900"/>
                </a:solidFill>
                <a:latin typeface="+mn-lt"/>
              </a:defRPr>
            </a:pPr>
            <a:r>
              <a:rPr b="1" i="0" sz="2000">
                <a:solidFill>
                  <a:srgbClr val="FF9900"/>
                </a:solidFill>
                <a:latin typeface="+mn-lt"/>
              </a:rPr>
              <a:t>PADRÃO DE DESEMPENHO - LINGUAGENS - EM%</a:t>
            </a:r>
          </a:p>
        </c:rich>
      </c:tx>
      <c:overlay val="0"/>
    </c:title>
    <c:plotArea>
      <c:layout/>
      <c:barChart>
        <c:barDir val="col"/>
        <c:ser>
          <c:idx val="0"/>
          <c:order val="0"/>
          <c:spPr>
            <a:solidFill>
              <a:srgbClr val="274E13"/>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'5º Ano - CONSOLIDADO'!$S$144:$S$147</c:f>
            </c:strRef>
          </c:cat>
          <c:val>
            <c:numRef>
              <c:f>'5º Ano - CONSOLIDADO'!$R$144:$R$147</c:f>
              <c:numCache/>
            </c:numRef>
          </c:val>
        </c:ser>
        <c:axId val="157859866"/>
        <c:axId val="1352613410"/>
      </c:barChart>
      <c:catAx>
        <c:axId val="1578598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52613410"/>
      </c:catAx>
      <c:valAx>
        <c:axId val="1352613410"/>
        <c:scaling>
          <c:orientation val="minMax"/>
          <c:max val="1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7859866"/>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674EA7"/>
                </a:solidFill>
                <a:latin typeface="+mn-lt"/>
              </a:defRPr>
            </a:pPr>
            <a:r>
              <a:rPr b="1" i="0" sz="1800">
                <a:solidFill>
                  <a:srgbClr val="674EA7"/>
                </a:solidFill>
                <a:latin typeface="+mn-lt"/>
              </a:rPr>
              <a:t>PADRÃO DE DESEMPENHO - MATEMÁTICA - EM %</a:t>
            </a:r>
          </a:p>
        </c:rich>
      </c:tx>
      <c:overlay val="0"/>
    </c:title>
    <c:plotArea>
      <c:layout/>
      <c:barChart>
        <c:barDir val="col"/>
        <c:ser>
          <c:idx val="0"/>
          <c:order val="0"/>
          <c:spPr>
            <a:solidFill>
              <a:srgbClr val="274E13"/>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Pt>
            <c:idx val="3"/>
          </c:dPt>
          <c:dLbls>
            <c:numFmt formatCode="General" sourceLinked="1"/>
            <c:txPr>
              <a:bodyPr/>
              <a:lstStyle/>
              <a:p>
                <a:pPr lvl="0">
                  <a:defRPr/>
                </a:pPr>
              </a:p>
            </c:txPr>
            <c:showLegendKey val="0"/>
            <c:showVal val="1"/>
            <c:showCatName val="0"/>
            <c:showSerName val="0"/>
            <c:showPercent val="0"/>
            <c:showBubbleSize val="0"/>
          </c:dLbls>
          <c:cat>
            <c:strRef>
              <c:f>'5º Ano - CONSOLIDADO'!$S$151:$S$154</c:f>
            </c:strRef>
          </c:cat>
          <c:val>
            <c:numRef>
              <c:f>'5º Ano - CONSOLIDADO'!$R$151:$R$154</c:f>
              <c:numCache/>
            </c:numRef>
          </c:val>
        </c:ser>
        <c:axId val="603739846"/>
        <c:axId val="2103942768"/>
      </c:barChart>
      <c:catAx>
        <c:axId val="6037398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03942768"/>
      </c:catAx>
      <c:valAx>
        <c:axId val="2103942768"/>
        <c:scaling>
          <c:orientation val="minMax"/>
          <c:max val="1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03739846"/>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 RELAÇÃO QUESTÕES X DESCRITORES - EM %</a:t>
            </a:r>
          </a:p>
        </c:rich>
      </c:tx>
      <c:layout>
        <c:manualLayout>
          <c:xMode val="edge"/>
          <c:yMode val="edge"/>
          <c:x val="0.016693531199150492"/>
          <c:y val="0.04130638305699021"/>
        </c:manualLayout>
      </c:layout>
      <c:overlay val="0"/>
    </c:title>
    <c:plotArea>
      <c:layout/>
      <c:barChart>
        <c:barDir val="col"/>
        <c:ser>
          <c:idx val="0"/>
          <c:order val="0"/>
          <c:spPr>
            <a:solidFill>
              <a:srgbClr val="FF9900"/>
            </a:solidFill>
            <a:ln cmpd="sng">
              <a:solidFill>
                <a:srgbClr val="000000"/>
              </a:solidFill>
            </a:ln>
          </c:spPr>
          <c:dPt>
            <c:idx val="25"/>
            <c:spPr>
              <a:solidFill>
                <a:srgbClr val="674EA7"/>
              </a:solidFill>
              <a:ln cmpd="sng">
                <a:solidFill>
                  <a:srgbClr val="000000"/>
                </a:solidFill>
              </a:ln>
            </c:spPr>
          </c:dPt>
          <c:dPt>
            <c:idx val="26"/>
            <c:spPr>
              <a:solidFill>
                <a:srgbClr val="674EA7"/>
              </a:solidFill>
              <a:ln cmpd="sng">
                <a:solidFill>
                  <a:srgbClr val="000000"/>
                </a:solidFill>
              </a:ln>
            </c:spPr>
          </c:dPt>
          <c:dPt>
            <c:idx val="27"/>
            <c:spPr>
              <a:solidFill>
                <a:srgbClr val="674EA7"/>
              </a:solidFill>
              <a:ln cmpd="sng">
                <a:solidFill>
                  <a:srgbClr val="000000"/>
                </a:solidFill>
              </a:ln>
            </c:spPr>
          </c:dPt>
          <c:dPt>
            <c:idx val="28"/>
            <c:spPr>
              <a:solidFill>
                <a:srgbClr val="674EA7"/>
              </a:solidFill>
              <a:ln cmpd="sng">
                <a:solidFill>
                  <a:srgbClr val="000000"/>
                </a:solidFill>
              </a:ln>
            </c:spPr>
          </c:dPt>
          <c:dPt>
            <c:idx val="29"/>
            <c:spPr>
              <a:solidFill>
                <a:srgbClr val="674EA7"/>
              </a:solidFill>
              <a:ln cmpd="sng">
                <a:solidFill>
                  <a:srgbClr val="000000"/>
                </a:solidFill>
              </a:ln>
            </c:spPr>
          </c:dPt>
          <c:dPt>
            <c:idx val="30"/>
            <c:spPr>
              <a:solidFill>
                <a:srgbClr val="674EA7"/>
              </a:solidFill>
              <a:ln cmpd="sng">
                <a:solidFill>
                  <a:srgbClr val="000000"/>
                </a:solidFill>
              </a:ln>
            </c:spPr>
          </c:dPt>
          <c:dPt>
            <c:idx val="31"/>
            <c:spPr>
              <a:solidFill>
                <a:srgbClr val="674EA7"/>
              </a:solidFill>
              <a:ln cmpd="sng">
                <a:solidFill>
                  <a:srgbClr val="000000"/>
                </a:solidFill>
              </a:ln>
            </c:spPr>
          </c:dPt>
          <c:dPt>
            <c:idx val="32"/>
            <c:spPr>
              <a:solidFill>
                <a:srgbClr val="674EA7"/>
              </a:solidFill>
              <a:ln cmpd="sng">
                <a:solidFill>
                  <a:srgbClr val="000000"/>
                </a:solidFill>
              </a:ln>
            </c:spPr>
          </c:dPt>
          <c:dPt>
            <c:idx val="33"/>
            <c:spPr>
              <a:solidFill>
                <a:srgbClr val="674EA7"/>
              </a:solidFill>
              <a:ln cmpd="sng">
                <a:solidFill>
                  <a:srgbClr val="000000"/>
                </a:solidFill>
              </a:ln>
            </c:spPr>
          </c:dPt>
          <c:dPt>
            <c:idx val="34"/>
            <c:spPr>
              <a:solidFill>
                <a:srgbClr val="674EA7"/>
              </a:solidFill>
              <a:ln cmpd="sng">
                <a:solidFill>
                  <a:srgbClr val="000000"/>
                </a:solidFill>
              </a:ln>
            </c:spPr>
          </c:dPt>
          <c:dPt>
            <c:idx val="35"/>
            <c:spPr>
              <a:solidFill>
                <a:srgbClr val="674EA7"/>
              </a:solidFill>
              <a:ln cmpd="sng">
                <a:solidFill>
                  <a:srgbClr val="000000"/>
                </a:solidFill>
              </a:ln>
            </c:spPr>
          </c:dPt>
          <c:dPt>
            <c:idx val="36"/>
            <c:spPr>
              <a:solidFill>
                <a:srgbClr val="674EA7"/>
              </a:solidFill>
              <a:ln cmpd="sng">
                <a:solidFill>
                  <a:srgbClr val="000000"/>
                </a:solidFill>
              </a:ln>
            </c:spPr>
          </c:dPt>
          <c:dPt>
            <c:idx val="37"/>
            <c:spPr>
              <a:solidFill>
                <a:srgbClr val="674EA7"/>
              </a:solidFill>
              <a:ln cmpd="sng">
                <a:solidFill>
                  <a:srgbClr val="000000"/>
                </a:solidFill>
              </a:ln>
            </c:spPr>
          </c:dPt>
          <c:dPt>
            <c:idx val="38"/>
            <c:spPr>
              <a:solidFill>
                <a:srgbClr val="674EA7"/>
              </a:solidFill>
              <a:ln cmpd="sng">
                <a:solidFill>
                  <a:srgbClr val="000000"/>
                </a:solidFill>
              </a:ln>
            </c:spPr>
          </c:dPt>
          <c:dPt>
            <c:idx val="39"/>
            <c:spPr>
              <a:solidFill>
                <a:srgbClr val="674EA7"/>
              </a:solidFill>
              <a:ln cmpd="sng">
                <a:solidFill>
                  <a:srgbClr val="000000"/>
                </a:solidFill>
              </a:ln>
            </c:spPr>
          </c:dPt>
          <c:dPt>
            <c:idx val="40"/>
            <c:spPr>
              <a:solidFill>
                <a:srgbClr val="674EA7"/>
              </a:solidFill>
              <a:ln cmpd="sng">
                <a:solidFill>
                  <a:srgbClr val="000000"/>
                </a:solidFill>
              </a:ln>
            </c:spPr>
          </c:dPt>
          <c:dPt>
            <c:idx val="41"/>
            <c:spPr>
              <a:solidFill>
                <a:srgbClr val="674EA7"/>
              </a:solidFill>
              <a:ln cmpd="sng">
                <a:solidFill>
                  <a:srgbClr val="000000"/>
                </a:solidFill>
              </a:ln>
            </c:spPr>
          </c:dPt>
          <c:dPt>
            <c:idx val="42"/>
            <c:spPr>
              <a:solidFill>
                <a:srgbClr val="674EA7"/>
              </a:solidFill>
              <a:ln cmpd="sng">
                <a:solidFill>
                  <a:srgbClr val="000000"/>
                </a:solidFill>
              </a:ln>
            </c:spPr>
          </c:dPt>
          <c:dPt>
            <c:idx val="43"/>
            <c:spPr>
              <a:solidFill>
                <a:srgbClr val="674EA7"/>
              </a:solidFill>
              <a:ln cmpd="sng">
                <a:solidFill>
                  <a:srgbClr val="000000"/>
                </a:solidFill>
              </a:ln>
            </c:spPr>
          </c:dPt>
          <c:dPt>
            <c:idx val="44"/>
            <c:spPr>
              <a:solidFill>
                <a:srgbClr val="674EA7"/>
              </a:solidFill>
              <a:ln cmpd="sng">
                <a:solidFill>
                  <a:srgbClr val="000000"/>
                </a:solidFill>
              </a:ln>
            </c:spPr>
          </c:dPt>
          <c:dPt>
            <c:idx val="45"/>
            <c:spPr>
              <a:solidFill>
                <a:srgbClr val="674EA7"/>
              </a:solidFill>
              <a:ln cmpd="sng">
                <a:solidFill>
                  <a:srgbClr val="000000"/>
                </a:solidFill>
              </a:ln>
            </c:spPr>
          </c:dPt>
          <c:dPt>
            <c:idx val="46"/>
            <c:spPr>
              <a:solidFill>
                <a:srgbClr val="674EA7"/>
              </a:solidFill>
              <a:ln cmpd="sng">
                <a:solidFill>
                  <a:srgbClr val="000000"/>
                </a:solidFill>
              </a:ln>
            </c:spPr>
          </c:dPt>
          <c:dPt>
            <c:idx val="47"/>
            <c:spPr>
              <a:solidFill>
                <a:srgbClr val="674EA7"/>
              </a:solidFill>
              <a:ln cmpd="sng">
                <a:solidFill>
                  <a:srgbClr val="000000"/>
                </a:solidFill>
              </a:ln>
            </c:spPr>
          </c:dPt>
          <c:dPt>
            <c:idx val="48"/>
            <c:spPr>
              <a:solidFill>
                <a:srgbClr val="674EA7"/>
              </a:solidFill>
              <a:ln cmpd="sng">
                <a:solidFill>
                  <a:srgbClr val="000000"/>
                </a:solidFill>
              </a:ln>
            </c:spPr>
          </c:dPt>
          <c:dPt>
            <c:idx val="49"/>
            <c:spPr>
              <a:solidFill>
                <a:srgbClr val="674EA7"/>
              </a:solidFill>
              <a:ln cmpd="sng">
                <a:solidFill>
                  <a:srgbClr val="000000"/>
                </a:solidFill>
              </a:ln>
            </c:spPr>
          </c:dPt>
          <c:dPt>
            <c:idx val="50"/>
            <c:spPr>
              <a:solidFill>
                <a:srgbClr val="674EA7"/>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'9º Ano - CONSOLIDADO'!$H$45:$H$95</c:f>
            </c:strRef>
          </c:cat>
          <c:val>
            <c:numRef>
              <c:f>'9º Ano - CONSOLIDADO'!$J$45:$J$95</c:f>
              <c:numCache/>
            </c:numRef>
          </c:val>
        </c:ser>
        <c:axId val="97856069"/>
        <c:axId val="1526472302"/>
      </c:barChart>
      <c:catAx>
        <c:axId val="978560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1526472302"/>
      </c:catAx>
      <c:valAx>
        <c:axId val="152647230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856069"/>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v>A</c:v>
          </c:tx>
          <c:spPr>
            <a:solidFill>
              <a:schemeClr val="accent1"/>
            </a:solidFill>
            <a:ln cmpd="sng">
              <a:solidFill>
                <a:srgbClr val="000000"/>
              </a:solidFill>
            </a:ln>
          </c:spPr>
          <c:cat>
            <c:strRef>
              <c:f>'9º Ano - CONSOLIDADO'!$AP$44:$AP$95</c:f>
            </c:strRef>
          </c:cat>
          <c:val>
            <c:numRef>
              <c:f>'9º Ano - CONSOLIDADO'!$AR$44:$AR$95</c:f>
              <c:numCache/>
            </c:numRef>
          </c:val>
        </c:ser>
        <c:ser>
          <c:idx val="1"/>
          <c:order val="1"/>
          <c:tx>
            <c:v>B</c:v>
          </c:tx>
          <c:spPr>
            <a:solidFill>
              <a:schemeClr val="accent2"/>
            </a:solidFill>
            <a:ln cmpd="sng">
              <a:solidFill>
                <a:srgbClr val="000000"/>
              </a:solidFill>
            </a:ln>
          </c:spPr>
          <c:cat>
            <c:strRef>
              <c:f>'9º Ano - CONSOLIDADO'!$AP$44:$AP$95</c:f>
            </c:strRef>
          </c:cat>
          <c:val>
            <c:numRef>
              <c:f>'9º Ano - CONSOLIDADO'!$AT$44:$AT$95</c:f>
              <c:numCache/>
            </c:numRef>
          </c:val>
        </c:ser>
        <c:ser>
          <c:idx val="2"/>
          <c:order val="2"/>
          <c:tx>
            <c:v>C</c:v>
          </c:tx>
          <c:spPr>
            <a:solidFill>
              <a:schemeClr val="accent3"/>
            </a:solidFill>
            <a:ln cmpd="sng">
              <a:solidFill>
                <a:srgbClr val="000000"/>
              </a:solidFill>
            </a:ln>
          </c:spPr>
          <c:cat>
            <c:strRef>
              <c:f>'9º Ano - CONSOLIDADO'!$AP$44:$AP$95</c:f>
            </c:strRef>
          </c:cat>
          <c:val>
            <c:numRef>
              <c:f>'9º Ano - CONSOLIDADO'!$AV$44:$AV$95</c:f>
              <c:numCache/>
            </c:numRef>
          </c:val>
        </c:ser>
        <c:ser>
          <c:idx val="3"/>
          <c:order val="3"/>
          <c:tx>
            <c:v>D</c:v>
          </c:tx>
          <c:spPr>
            <a:solidFill>
              <a:schemeClr val="accent4"/>
            </a:solidFill>
            <a:ln cmpd="sng">
              <a:solidFill>
                <a:srgbClr val="000000"/>
              </a:solidFill>
            </a:ln>
          </c:spPr>
          <c:cat>
            <c:strRef>
              <c:f>'9º Ano - CONSOLIDADO'!$AP$44:$AP$95</c:f>
            </c:strRef>
          </c:cat>
          <c:val>
            <c:numRef>
              <c:f>'9º Ano - CONSOLIDADO'!$AX$44:$AX$95</c:f>
              <c:numCache/>
            </c:numRef>
          </c:val>
        </c:ser>
        <c:ser>
          <c:idx val="4"/>
          <c:order val="4"/>
          <c:cat>
            <c:strRef>
              <c:f>'9º Ano - CONSOLIDADO'!$AP$44:$AP$95</c:f>
            </c:strRef>
          </c:cat>
          <c:val>
            <c:numRef>
              <c:f>'9º Ano - CONSOLIDADO'!$T$98:$T$149</c:f>
              <c:numCache/>
            </c:numRef>
          </c:val>
        </c:ser>
        <c:ser>
          <c:idx val="5"/>
          <c:order val="5"/>
          <c:cat>
            <c:strRef>
              <c:f>'9º Ano - CONSOLIDADO'!$AP$44:$AP$95</c:f>
            </c:strRef>
          </c:cat>
          <c:val>
            <c:numRef>
              <c:f>'9º Ano - CONSOLIDADO'!$AF$98:$AF$149</c:f>
              <c:numCache/>
            </c:numRef>
          </c:val>
        </c:ser>
        <c:ser>
          <c:idx val="6"/>
          <c:order val="6"/>
          <c:cat>
            <c:strRef>
              <c:f>'9º Ano - CONSOLIDADO'!$AP$44:$AP$95</c:f>
            </c:strRef>
          </c:cat>
          <c:val>
            <c:numRef>
              <c:f>'9º Ano - CONSOLIDADO'!$AR$98:$AR$149</c:f>
              <c:numCache/>
            </c:numRef>
          </c:val>
        </c:ser>
        <c:ser>
          <c:idx val="7"/>
          <c:order val="7"/>
          <c:cat>
            <c:strRef>
              <c:f>'9º Ano - CONSOLIDADO'!$AP$44:$AP$95</c:f>
            </c:strRef>
          </c:cat>
          <c:val>
            <c:numRef>
              <c:f>'9º Ano - CONSOLIDADO'!$BD$98:$BD$149</c:f>
              <c:numCache/>
            </c:numRef>
          </c:val>
        </c:ser>
        <c:overlap val="100"/>
        <c:axId val="1543373516"/>
        <c:axId val="1160464877"/>
      </c:barChart>
      <c:catAx>
        <c:axId val="15433735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60464877"/>
      </c:catAx>
      <c:valAx>
        <c:axId val="116046487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3373516"/>
      </c:valAx>
    </c:plotArea>
    <c:legend>
      <c:legendPos val="b"/>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9900"/>
                </a:solidFill>
                <a:latin typeface="+mn-lt"/>
              </a:defRPr>
            </a:pPr>
            <a:r>
              <a:rPr b="1" i="0" sz="2000">
                <a:solidFill>
                  <a:srgbClr val="FF9900"/>
                </a:solidFill>
                <a:latin typeface="+mn-lt"/>
              </a:rPr>
              <a:t>PADRÃO DE DESEMPENHO - PRODUÇÃO TEXTUAL - EM %</a:t>
            </a:r>
          </a:p>
        </c:rich>
      </c:tx>
      <c:overlay val="0"/>
    </c:title>
    <c:plotArea>
      <c:layout/>
      <c:barChart>
        <c:barDir val="col"/>
        <c:ser>
          <c:idx val="0"/>
          <c:order val="0"/>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274E13"/>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'9º Ano - CONSOLIDADO'!$S$153:$S$156</c:f>
            </c:strRef>
          </c:cat>
          <c:val>
            <c:numRef>
              <c:f>'9º Ano - CONSOLIDADO'!$R$153:$R$156</c:f>
              <c:numCache/>
            </c:numRef>
          </c:val>
        </c:ser>
        <c:axId val="2127908232"/>
        <c:axId val="165088138"/>
      </c:barChart>
      <c:catAx>
        <c:axId val="21279082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65088138"/>
      </c:catAx>
      <c:valAx>
        <c:axId val="1650881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7908232"/>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9900"/>
                </a:solidFill>
                <a:latin typeface="+mn-lt"/>
              </a:defRPr>
            </a:pPr>
            <a:r>
              <a:rPr b="1" i="0" sz="2000">
                <a:solidFill>
                  <a:srgbClr val="FF9900"/>
                </a:solidFill>
                <a:latin typeface="+mn-lt"/>
              </a:rPr>
              <a:t>PADRÃO DE DESEMPENHO - LINGUAGENS - EM %</a:t>
            </a:r>
          </a:p>
        </c:rich>
      </c:tx>
      <c:overlay val="0"/>
    </c:title>
    <c:plotArea>
      <c:layout/>
      <c:barChart>
        <c:barDir val="col"/>
        <c:ser>
          <c:idx val="0"/>
          <c:order val="0"/>
          <c:spPr>
            <a:solidFill>
              <a:srgbClr val="274E13"/>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'9º Ano - CONSOLIDADO'!$S$160:$S$163</c:f>
            </c:strRef>
          </c:cat>
          <c:val>
            <c:numRef>
              <c:f>'9º Ano - CONSOLIDADO'!$R$160:$R$163</c:f>
              <c:numCache/>
            </c:numRef>
          </c:val>
        </c:ser>
        <c:axId val="649454087"/>
        <c:axId val="862388074"/>
      </c:barChart>
      <c:catAx>
        <c:axId val="6494540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862388074"/>
      </c:catAx>
      <c:valAx>
        <c:axId val="86238807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9454087"/>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674EA7"/>
                </a:solidFill>
                <a:latin typeface="+mn-lt"/>
              </a:defRPr>
            </a:pPr>
            <a:r>
              <a:rPr b="1" i="0">
                <a:solidFill>
                  <a:srgbClr val="674EA7"/>
                </a:solidFill>
                <a:latin typeface="+mn-lt"/>
              </a:rPr>
              <a:t>PADRÃO DE DESEMPENHO - MATEMÁTICA - EM %</a:t>
            </a:r>
          </a:p>
        </c:rich>
      </c:tx>
      <c:overlay val="0"/>
    </c:title>
    <c:plotArea>
      <c:layout/>
      <c:barChart>
        <c:barDir val="col"/>
        <c:ser>
          <c:idx val="0"/>
          <c:order val="0"/>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dPt>
          <c:dPt>
            <c:idx val="3"/>
            <c:spPr>
              <a:solidFill>
                <a:srgbClr val="274E13"/>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'9º Ano - CONSOLIDADO'!$S$167:$S$170</c:f>
            </c:strRef>
          </c:cat>
          <c:val>
            <c:numRef>
              <c:f>'9º Ano - CONSOLIDADO'!$R$167:$R$170</c:f>
              <c:numCache/>
            </c:numRef>
          </c:val>
        </c:ser>
        <c:axId val="1832232098"/>
        <c:axId val="520581379"/>
      </c:barChart>
      <c:catAx>
        <c:axId val="18322320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20581379"/>
      </c:catAx>
      <c:valAx>
        <c:axId val="5205813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2232098"/>
      </c:valAx>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73763"/>
                </a:solidFill>
                <a:latin typeface="+mn-lt"/>
              </a:defRPr>
            </a:pPr>
            <a:r>
              <a:rPr b="1" i="0" sz="2000">
                <a:solidFill>
                  <a:srgbClr val="073763"/>
                </a:solidFill>
                <a:latin typeface="+mn-lt"/>
              </a:rPr>
              <a:t>PERFIL DA TURMA - EM NÚMEROS</a:t>
            </a:r>
          </a:p>
        </c:rich>
      </c:tx>
      <c:layout>
        <c:manualLayout>
          <c:xMode val="edge"/>
          <c:yMode val="edge"/>
          <c:x val="0.022127329192546584"/>
          <c:y val="0.05598159509202454"/>
        </c:manualLayout>
      </c:layout>
      <c:overlay val="0"/>
    </c:title>
    <c:plotArea>
      <c:layout/>
      <c:barChart>
        <c:barDir val="col"/>
        <c:ser>
          <c:idx val="0"/>
          <c:order val="0"/>
          <c:spPr>
            <a:solidFill>
              <a:srgbClr val="07376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'9º Ano - CONSOLIDADO'!$A$17:$A$20</c:f>
            </c:strRef>
          </c:cat>
          <c:val>
            <c:numRef>
              <c:f>'9º Ano - CONSOLIDADO'!$B$17:$B$20</c:f>
              <c:numCache/>
            </c:numRef>
          </c:val>
        </c:ser>
        <c:ser>
          <c:idx val="1"/>
          <c:order val="1"/>
          <c:cat>
            <c:strRef>
              <c:f>'9º Ano - CONSOLIDADO'!$A$17:$A$20</c:f>
            </c:strRef>
          </c:cat>
          <c:val>
            <c:numRef>
              <c:f>'9º Ano - CONSOLIDADO'!$C$17:$C$20</c:f>
              <c:numCache/>
            </c:numRef>
          </c:val>
        </c:ser>
        <c:ser>
          <c:idx val="2"/>
          <c:order val="2"/>
          <c:cat>
            <c:strRef>
              <c:f>'9º Ano - CONSOLIDADO'!$A$17:$A$20</c:f>
            </c:strRef>
          </c:cat>
          <c:val>
            <c:numRef>
              <c:f>'9º Ano - CONSOLIDADO'!$D$17:$D$20</c:f>
              <c:numCache/>
            </c:numRef>
          </c:val>
        </c:ser>
        <c:ser>
          <c:idx val="3"/>
          <c:order val="3"/>
          <c:cat>
            <c:strRef>
              <c:f>'9º Ano - CONSOLIDADO'!$A$17:$A$20</c:f>
            </c:strRef>
          </c:cat>
          <c:val>
            <c:numRef>
              <c:f>'9º Ano - CONSOLIDADO'!$E$17:$E$20</c:f>
              <c:numCache/>
            </c:numRef>
          </c:val>
        </c:ser>
        <c:ser>
          <c:idx val="4"/>
          <c:order val="4"/>
          <c:cat>
            <c:strRef>
              <c:f>'9º Ano - CONSOLIDADO'!$A$17:$A$20</c:f>
            </c:strRef>
          </c:cat>
          <c:val>
            <c:numRef>
              <c:f>'9º Ano - CONSOLIDADO'!$F$17:$F$20</c:f>
              <c:numCache/>
            </c:numRef>
          </c:val>
        </c:ser>
        <c:axId val="2026055293"/>
        <c:axId val="1806430986"/>
      </c:barChart>
      <c:catAx>
        <c:axId val="20260552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06430986"/>
      </c:catAx>
      <c:valAx>
        <c:axId val="180643098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6055293"/>
      </c:valAx>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POR DESCRITORES - EM %</a:t>
            </a:r>
          </a:p>
        </c:rich>
      </c:tx>
      <c:overlay val="0"/>
    </c:title>
    <c:plotArea>
      <c:layout/>
      <c:barChart>
        <c:barDir val="col"/>
        <c:grouping val="stacked"/>
        <c:ser>
          <c:idx val="0"/>
          <c:order val="0"/>
          <c:spPr>
            <a:solidFill>
              <a:srgbClr val="F1C232"/>
            </a:solidFill>
            <a:ln cmpd="sng">
              <a:solidFill>
                <a:srgbClr val="000000"/>
              </a:solidFill>
            </a:ln>
          </c:spPr>
          <c:dPt>
            <c:idx val="21"/>
            <c:spPr>
              <a:solidFill>
                <a:srgbClr val="8E7CC3"/>
              </a:solidFill>
              <a:ln cmpd="sng">
                <a:solidFill>
                  <a:srgbClr val="000000"/>
                </a:solidFill>
              </a:ln>
            </c:spPr>
          </c:dPt>
          <c:dPt>
            <c:idx val="22"/>
            <c:spPr>
              <a:solidFill>
                <a:srgbClr val="8E7CC3"/>
              </a:solidFill>
              <a:ln cmpd="sng">
                <a:solidFill>
                  <a:srgbClr val="000000"/>
                </a:solidFill>
              </a:ln>
            </c:spPr>
          </c:dPt>
          <c:dPt>
            <c:idx val="23"/>
            <c:spPr>
              <a:solidFill>
                <a:srgbClr val="8E7CC3"/>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'5º Ano - 501'!$E$75:$E$117</c:f>
            </c:strRef>
          </c:cat>
          <c:val>
            <c:numRef>
              <c:f>'5º Ano - 501'!$G$75:$G$117</c:f>
              <c:numCache/>
            </c:numRef>
          </c:val>
        </c:ser>
        <c:overlap val="100"/>
        <c:axId val="1071340542"/>
        <c:axId val="664712213"/>
      </c:barChart>
      <c:catAx>
        <c:axId val="10713405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664712213"/>
      </c:catAx>
      <c:valAx>
        <c:axId val="664712213"/>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071340542"/>
      </c:valAx>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PERFIL DA TURMA - EM NÚMEROS</a:t>
            </a:r>
          </a:p>
        </c:rich>
      </c:tx>
      <c:overlay val="0"/>
    </c:title>
    <c:plotArea>
      <c:layout/>
      <c:barChart>
        <c:barDir val="col"/>
        <c:grouping val="stacked"/>
        <c:ser>
          <c:idx val="0"/>
          <c:order val="0"/>
          <c:spPr>
            <a:solidFill>
              <a:srgbClr val="073763"/>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'5º Ano - 501'!$A$18:$A$21</c:f>
            </c:strRef>
          </c:cat>
          <c:val>
            <c:numRef>
              <c:f>'5º Ano - 501'!$B$18:$B$21</c:f>
              <c:numCache/>
            </c:numRef>
          </c:val>
        </c:ser>
        <c:ser>
          <c:idx val="1"/>
          <c:order val="1"/>
          <c:cat>
            <c:strRef>
              <c:f>'5º Ano - 501'!$A$18:$A$21</c:f>
            </c:strRef>
          </c:cat>
          <c:val>
            <c:numRef>
              <c:f>'5º Ano - 501'!$C$18:$C$21</c:f>
              <c:numCache/>
            </c:numRef>
          </c:val>
        </c:ser>
        <c:overlap val="100"/>
        <c:axId val="1694818636"/>
        <c:axId val="1536070239"/>
      </c:barChart>
      <c:catAx>
        <c:axId val="16948186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a:solidFill>
                  <a:srgbClr val="000000"/>
                </a:solidFill>
                <a:latin typeface="+mn-lt"/>
              </a:defRPr>
            </a:pPr>
          </a:p>
        </c:txPr>
        <c:crossAx val="1536070239"/>
      </c:catAx>
      <c:valAx>
        <c:axId val="15360702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sz="1000">
                <a:solidFill>
                  <a:srgbClr val="000000"/>
                </a:solidFill>
                <a:latin typeface="Arial"/>
              </a:defRPr>
            </a:pPr>
          </a:p>
        </c:txPr>
        <c:crossAx val="1694818636"/>
      </c:valAx>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'5º Ano - 501'!$AN$74</c:f>
            </c:strRef>
          </c:tx>
          <c:spPr>
            <a:solidFill>
              <a:schemeClr val="accent1"/>
            </a:solidFill>
            <a:ln cmpd="sng">
              <a:solidFill>
                <a:srgbClr val="000000"/>
              </a:solidFill>
            </a:ln>
          </c:spPr>
          <c:cat>
            <c:strRef>
              <c:f>'5º Ano - 501'!$AL$75:$AL$117</c:f>
            </c:strRef>
          </c:cat>
          <c:val>
            <c:numRef>
              <c:f>'5º Ano - 501'!$AN$75:$AN$117</c:f>
              <c:numCache/>
            </c:numRef>
          </c:val>
        </c:ser>
        <c:ser>
          <c:idx val="1"/>
          <c:order val="1"/>
          <c:tx>
            <c:strRef>
              <c:f>'5º Ano - 501'!$AP$74</c:f>
            </c:strRef>
          </c:tx>
          <c:spPr>
            <a:solidFill>
              <a:schemeClr val="accent2"/>
            </a:solidFill>
            <a:ln cmpd="sng">
              <a:solidFill>
                <a:srgbClr val="000000"/>
              </a:solidFill>
            </a:ln>
          </c:spPr>
          <c:cat>
            <c:strRef>
              <c:f>'5º Ano - 501'!$AL$75:$AL$117</c:f>
            </c:strRef>
          </c:cat>
          <c:val>
            <c:numRef>
              <c:f>'5º Ano - 501'!$AP$75:$AP$117</c:f>
              <c:numCache/>
            </c:numRef>
          </c:val>
        </c:ser>
        <c:ser>
          <c:idx val="2"/>
          <c:order val="2"/>
          <c:tx>
            <c:strRef>
              <c:f>'5º Ano - 501'!$AR$74</c:f>
            </c:strRef>
          </c:tx>
          <c:spPr>
            <a:solidFill>
              <a:schemeClr val="accent3"/>
            </a:solidFill>
            <a:ln cmpd="sng">
              <a:solidFill>
                <a:srgbClr val="000000"/>
              </a:solidFill>
            </a:ln>
          </c:spPr>
          <c:cat>
            <c:strRef>
              <c:f>'5º Ano - 501'!$AL$75:$AL$117</c:f>
            </c:strRef>
          </c:cat>
          <c:val>
            <c:numRef>
              <c:f>'5º Ano - 501'!$AR$75:$AR$117</c:f>
              <c:numCache/>
            </c:numRef>
          </c:val>
        </c:ser>
        <c:ser>
          <c:idx val="3"/>
          <c:order val="3"/>
          <c:tx>
            <c:strRef>
              <c:f>'5º Ano - 501'!$AT$74</c:f>
            </c:strRef>
          </c:tx>
          <c:spPr>
            <a:solidFill>
              <a:schemeClr val="accent4"/>
            </a:solidFill>
            <a:ln cmpd="sng">
              <a:solidFill>
                <a:srgbClr val="000000"/>
              </a:solidFill>
            </a:ln>
          </c:spPr>
          <c:cat>
            <c:strRef>
              <c:f>'5º Ano - 501'!$AL$75:$AL$117</c:f>
            </c:strRef>
          </c:cat>
          <c:val>
            <c:numRef>
              <c:f>'5º Ano - 501'!$AT$75:$AT$117</c:f>
              <c:numCache/>
            </c:numRef>
          </c:val>
        </c:ser>
        <c:overlap val="100"/>
        <c:axId val="9056747"/>
        <c:axId val="1966761887"/>
      </c:barChart>
      <c:catAx>
        <c:axId val="9056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966761887"/>
      </c:catAx>
      <c:valAx>
        <c:axId val="196676188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i="0">
                <a:solidFill>
                  <a:srgbClr val="000000"/>
                </a:solidFill>
                <a:latin typeface="+mn-lt"/>
              </a:defRPr>
            </a:pPr>
          </a:p>
        </c:txPr>
        <c:crossAx val="9056747"/>
      </c:valAx>
    </c:plotArea>
    <c:legend>
      <c:legendPos val="b"/>
      <c:overlay val="0"/>
      <c:txPr>
        <a:bodyPr/>
        <a:lstStyle/>
        <a:p>
          <a:pPr lvl="0">
            <a:defRPr b="0" i="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FF9900"/>
                </a:solidFill>
                <a:latin typeface="+mn-lt"/>
              </a:defRPr>
            </a:pPr>
            <a:r>
              <a:rPr b="1" i="0" sz="1800">
                <a:solidFill>
                  <a:srgbClr val="FF9900"/>
                </a:solidFill>
                <a:latin typeface="+mn-lt"/>
              </a:rPr>
              <a:t>PADRÃO DE DESEMPENHO - PRODUÇÃO TEXTUAL - EM %</a:t>
            </a:r>
          </a:p>
        </c:rich>
      </c:tx>
      <c:overlay val="0"/>
    </c:title>
    <c:plotArea>
      <c:layout>
        <c:manualLayout>
          <c:xMode val="edge"/>
          <c:yMode val="edge"/>
          <c:x val="0.07284981312473648"/>
          <c:y val="0.14156626506024098"/>
          <c:w val="0.8980128629316017"/>
          <c:h val="0.751355421686747"/>
        </c:manualLayout>
      </c:layout>
      <c:barChart>
        <c:barDir val="col"/>
        <c:ser>
          <c:idx val="0"/>
          <c:order val="0"/>
          <c:tx>
            <c:strRef>
              <c:f>'5º Ano - 501'!$E$119:$E$120</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- 501'!$F$121:$F$124</c:f>
            </c:strRef>
          </c:cat>
          <c:val>
            <c:numRef>
              <c:f>'5º Ano - 501'!$E$121:$E$124</c:f>
              <c:numCache/>
            </c:numRef>
          </c:val>
        </c:ser>
        <c:ser>
          <c:idx val="1"/>
          <c:order val="1"/>
          <c:tx>
            <c:strRef>
              <c:f>'5º Ano - 501'!$F$119:$F$120</c:f>
            </c:strRef>
          </c:tx>
          <c:cat>
            <c:strRef>
              <c:f>'5º Ano - 501'!$F$121:$F$124</c:f>
            </c:strRef>
          </c:cat>
          <c:val>
            <c:numRef>
              <c:f>'5º Ano - 501'!$F$121:$F$124</c:f>
              <c:numCache/>
            </c:numRef>
          </c:val>
        </c:ser>
        <c:ser>
          <c:idx val="2"/>
          <c:order val="2"/>
          <c:tx>
            <c:strRef>
              <c:f>'5º Ano - 501'!$G$119:$G$120</c:f>
            </c:strRef>
          </c:tx>
          <c:cat>
            <c:strRef>
              <c:f>'5º Ano - 501'!$F$121:$F$124</c:f>
            </c:strRef>
          </c:cat>
          <c:val>
            <c:numRef>
              <c:f>'5º Ano - 501'!$G$121:$G$124</c:f>
              <c:numCache/>
            </c:numRef>
          </c:val>
        </c:ser>
        <c:ser>
          <c:idx val="3"/>
          <c:order val="3"/>
          <c:tx>
            <c:strRef>
              <c:f>'5º Ano - 501'!$H$119:$H$120</c:f>
            </c:strRef>
          </c:tx>
          <c:cat>
            <c:strRef>
              <c:f>'5º Ano - 501'!$F$121:$F$124</c:f>
            </c:strRef>
          </c:cat>
          <c:val>
            <c:numRef>
              <c:f>'5º Ano - 501'!$H$121:$H$124</c:f>
              <c:numCache/>
            </c:numRef>
          </c:val>
        </c:ser>
        <c:ser>
          <c:idx val="4"/>
          <c:order val="4"/>
          <c:tx>
            <c:strRef>
              <c:f>'5º Ano - 501'!$I$119:$I$120</c:f>
            </c:strRef>
          </c:tx>
          <c:cat>
            <c:strRef>
              <c:f>'5º Ano - 501'!$F$121:$F$124</c:f>
            </c:strRef>
          </c:cat>
          <c:val>
            <c:numRef>
              <c:f>'5º Ano - 501'!$I$121:$I$124</c:f>
              <c:numCache/>
            </c:numRef>
          </c:val>
        </c:ser>
        <c:axId val="2036105618"/>
        <c:axId val="1574250299"/>
      </c:barChart>
      <c:catAx>
        <c:axId val="20361056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74250299"/>
      </c:catAx>
      <c:valAx>
        <c:axId val="1574250299"/>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36105618"/>
      </c:valAx>
    </c:plotArea>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 EM %</a:t>
            </a:r>
          </a:p>
        </c:rich>
      </c:tx>
      <c:overlay val="0"/>
    </c:title>
    <c:plotArea>
      <c:layout/>
      <c:barChart>
        <c:barDir val="col"/>
        <c:ser>
          <c:idx val="0"/>
          <c:order val="0"/>
          <c:tx>
            <c:strRef>
              <c:f>'5º Ano - 501'!$E$126:$E$127</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- 501'!$F$128:$F$131</c:f>
            </c:strRef>
          </c:cat>
          <c:val>
            <c:numRef>
              <c:f>'5º Ano - 501'!$E$128:$E$131</c:f>
              <c:numCache/>
            </c:numRef>
          </c:val>
        </c:ser>
        <c:axId val="1021662536"/>
        <c:axId val="410195275"/>
      </c:barChart>
      <c:catAx>
        <c:axId val="10216625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10195275"/>
      </c:catAx>
      <c:valAx>
        <c:axId val="410195275"/>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021662536"/>
      </c:valAx>
    </c:plotArea>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overlay val="0"/>
    </c:title>
    <c:plotArea>
      <c:layout/>
      <c:barChart>
        <c:barDir val="col"/>
        <c:ser>
          <c:idx val="0"/>
          <c:order val="0"/>
          <c:tx>
            <c:strRef>
              <c:f>'5º Ano - 501'!$E$133:$E$134</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- 501'!$F$135:$F$138</c:f>
            </c:strRef>
          </c:cat>
          <c:val>
            <c:numRef>
              <c:f>'5º Ano - 501'!$E$135:$E$138</c:f>
              <c:numCache/>
            </c:numRef>
          </c:val>
        </c:ser>
        <c:axId val="1443753752"/>
        <c:axId val="691571902"/>
      </c:barChart>
      <c:catAx>
        <c:axId val="1443753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91571902"/>
      </c:catAx>
      <c:valAx>
        <c:axId val="691571902"/>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43753752"/>
      </c:valAx>
    </c:plotArea>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POR DESCRITORES - EM %</a:t>
            </a:r>
          </a:p>
        </c:rich>
      </c:tx>
      <c:overlay val="0"/>
    </c:title>
    <c:plotArea>
      <c:layout/>
      <c:barChart>
        <c:barDir val="col"/>
        <c:grouping val="stacked"/>
        <c:ser>
          <c:idx val="0"/>
          <c:order val="0"/>
          <c:spPr>
            <a:solidFill>
              <a:srgbClr val="F1C232"/>
            </a:solidFill>
            <a:ln cmpd="sng">
              <a:solidFill>
                <a:srgbClr val="000000"/>
              </a:solidFill>
            </a:ln>
          </c:spPr>
          <c:dPt>
            <c:idx val="21"/>
            <c:spPr>
              <a:solidFill>
                <a:srgbClr val="8E7CC3"/>
              </a:solidFill>
              <a:ln cmpd="sng">
                <a:solidFill>
                  <a:srgbClr val="000000"/>
                </a:solidFill>
              </a:ln>
            </c:spPr>
          </c:dPt>
          <c:dPt>
            <c:idx val="22"/>
            <c:spPr>
              <a:solidFill>
                <a:srgbClr val="8E7CC3"/>
              </a:solidFill>
              <a:ln cmpd="sng">
                <a:solidFill>
                  <a:srgbClr val="000000"/>
                </a:solidFill>
              </a:ln>
            </c:spPr>
          </c:dPt>
          <c:dPt>
            <c:idx val="23"/>
            <c:spPr>
              <a:solidFill>
                <a:srgbClr val="8E7CC3"/>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'5º Ano - 502'!$E$75:$E$117</c:f>
            </c:strRef>
          </c:cat>
          <c:val>
            <c:numRef>
              <c:f>'5º Ano - 502'!$G$75:$G$117</c:f>
              <c:numCache/>
            </c:numRef>
          </c:val>
        </c:ser>
        <c:overlap val="100"/>
        <c:axId val="177660033"/>
        <c:axId val="1743327614"/>
      </c:barChart>
      <c:catAx>
        <c:axId val="1776600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1743327614"/>
      </c:catAx>
      <c:valAx>
        <c:axId val="1743327614"/>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77660033"/>
      </c:valAx>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PERFIL DA TURMA - EM NÚMEROS</a:t>
            </a:r>
          </a:p>
        </c:rich>
      </c:tx>
      <c:overlay val="0"/>
    </c:title>
    <c:plotArea>
      <c:layout/>
      <c:barChart>
        <c:barDir val="col"/>
        <c:grouping val="stacked"/>
        <c:ser>
          <c:idx val="0"/>
          <c:order val="0"/>
          <c:spPr>
            <a:solidFill>
              <a:srgbClr val="073763"/>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'5º Ano - 502'!$A$18:$A$21</c:f>
            </c:strRef>
          </c:cat>
          <c:val>
            <c:numRef>
              <c:f>'5º Ano - 502'!$B$18:$B$21</c:f>
              <c:numCache/>
            </c:numRef>
          </c:val>
        </c:ser>
        <c:ser>
          <c:idx val="1"/>
          <c:order val="1"/>
          <c:cat>
            <c:strRef>
              <c:f>'5º Ano - 502'!$A$18:$A$21</c:f>
            </c:strRef>
          </c:cat>
          <c:val>
            <c:numRef>
              <c:f>'5º Ano - 502'!$C$18:$C$21</c:f>
              <c:numCache/>
            </c:numRef>
          </c:val>
        </c:ser>
        <c:overlap val="100"/>
        <c:axId val="988577796"/>
        <c:axId val="996454521"/>
      </c:barChart>
      <c:catAx>
        <c:axId val="9885777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a:solidFill>
                  <a:srgbClr val="000000"/>
                </a:solidFill>
                <a:latin typeface="+mn-lt"/>
              </a:defRPr>
            </a:pPr>
          </a:p>
        </c:txPr>
        <c:crossAx val="996454521"/>
      </c:catAx>
      <c:valAx>
        <c:axId val="996454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sz="1000">
                <a:solidFill>
                  <a:srgbClr val="000000"/>
                </a:solidFill>
                <a:latin typeface="Arial"/>
              </a:defRPr>
            </a:pPr>
          </a:p>
        </c:txPr>
        <c:crossAx val="988577796"/>
      </c:valAx>
    </c:plotArea>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'5º Ano - 502'!$AN$74</c:f>
            </c:strRef>
          </c:tx>
          <c:spPr>
            <a:solidFill>
              <a:schemeClr val="accent1"/>
            </a:solidFill>
            <a:ln cmpd="sng">
              <a:solidFill>
                <a:srgbClr val="000000"/>
              </a:solidFill>
            </a:ln>
          </c:spPr>
          <c:cat>
            <c:strRef>
              <c:f>'5º Ano - 502'!$AL$75:$AL$117</c:f>
            </c:strRef>
          </c:cat>
          <c:val>
            <c:numRef>
              <c:f>'5º Ano - 502'!$AN$75:$AN$117</c:f>
              <c:numCache/>
            </c:numRef>
          </c:val>
        </c:ser>
        <c:ser>
          <c:idx val="1"/>
          <c:order val="1"/>
          <c:tx>
            <c:strRef>
              <c:f>'5º Ano - 502'!$AP$74</c:f>
            </c:strRef>
          </c:tx>
          <c:spPr>
            <a:solidFill>
              <a:schemeClr val="accent2"/>
            </a:solidFill>
            <a:ln cmpd="sng">
              <a:solidFill>
                <a:srgbClr val="000000"/>
              </a:solidFill>
            </a:ln>
          </c:spPr>
          <c:cat>
            <c:strRef>
              <c:f>'5º Ano - 502'!$AL$75:$AL$117</c:f>
            </c:strRef>
          </c:cat>
          <c:val>
            <c:numRef>
              <c:f>'5º Ano - 502'!$AP$75:$AP$117</c:f>
              <c:numCache/>
            </c:numRef>
          </c:val>
        </c:ser>
        <c:ser>
          <c:idx val="2"/>
          <c:order val="2"/>
          <c:tx>
            <c:strRef>
              <c:f>'5º Ano - 502'!$AR$74</c:f>
            </c:strRef>
          </c:tx>
          <c:spPr>
            <a:solidFill>
              <a:schemeClr val="accent3"/>
            </a:solidFill>
            <a:ln cmpd="sng">
              <a:solidFill>
                <a:srgbClr val="000000"/>
              </a:solidFill>
            </a:ln>
          </c:spPr>
          <c:cat>
            <c:strRef>
              <c:f>'5º Ano - 502'!$AL$75:$AL$117</c:f>
            </c:strRef>
          </c:cat>
          <c:val>
            <c:numRef>
              <c:f>'5º Ano - 502'!$AR$75:$AR$117</c:f>
              <c:numCache/>
            </c:numRef>
          </c:val>
        </c:ser>
        <c:ser>
          <c:idx val="3"/>
          <c:order val="3"/>
          <c:tx>
            <c:strRef>
              <c:f>'5º Ano - 502'!$AT$74</c:f>
            </c:strRef>
          </c:tx>
          <c:spPr>
            <a:solidFill>
              <a:schemeClr val="accent4"/>
            </a:solidFill>
            <a:ln cmpd="sng">
              <a:solidFill>
                <a:srgbClr val="000000"/>
              </a:solidFill>
            </a:ln>
          </c:spPr>
          <c:cat>
            <c:strRef>
              <c:f>'5º Ano - 502'!$AL$75:$AL$117</c:f>
            </c:strRef>
          </c:cat>
          <c:val>
            <c:numRef>
              <c:f>'5º Ano - 502'!$AT$75:$AT$117</c:f>
              <c:numCache/>
            </c:numRef>
          </c:val>
        </c:ser>
        <c:overlap val="100"/>
        <c:axId val="1940271421"/>
        <c:axId val="1860623305"/>
      </c:barChart>
      <c:catAx>
        <c:axId val="1940271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60623305"/>
      </c:catAx>
      <c:valAx>
        <c:axId val="1860623305"/>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i="0">
                <a:solidFill>
                  <a:srgbClr val="000000"/>
                </a:solidFill>
                <a:latin typeface="+mn-lt"/>
              </a:defRPr>
            </a:pPr>
          </a:p>
        </c:txPr>
        <c:crossAx val="1940271421"/>
      </c:valAx>
    </c:plotArea>
    <c:legend>
      <c:legendPos val="b"/>
      <c:overlay val="0"/>
      <c:txPr>
        <a:bodyPr/>
        <a:lstStyle/>
        <a:p>
          <a:pPr lvl="0">
            <a:defRPr b="0" i="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FF9900"/>
                </a:solidFill>
                <a:latin typeface="+mn-lt"/>
              </a:defRPr>
            </a:pPr>
            <a:r>
              <a:rPr b="1" i="0" sz="1800">
                <a:solidFill>
                  <a:srgbClr val="FF9900"/>
                </a:solidFill>
                <a:latin typeface="+mn-lt"/>
              </a:rPr>
              <a:t>PADRÃO DE DESEMPENHO - PRODUÇÃO TEXTUAL - EM %</a:t>
            </a:r>
          </a:p>
        </c:rich>
      </c:tx>
      <c:overlay val="0"/>
    </c:title>
    <c:plotArea>
      <c:layout>
        <c:manualLayout>
          <c:xMode val="edge"/>
          <c:yMode val="edge"/>
          <c:x val="0.07284981312473648"/>
          <c:y val="0.14156626506024098"/>
          <c:w val="0.8980128629316017"/>
          <c:h val="0.751355421686747"/>
        </c:manualLayout>
      </c:layout>
      <c:barChart>
        <c:barDir val="col"/>
        <c:ser>
          <c:idx val="0"/>
          <c:order val="0"/>
          <c:tx>
            <c:strRef>
              <c:f>'5º Ano - 502'!$E$119:$E$120</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- 502'!$F$121:$F$124</c:f>
            </c:strRef>
          </c:cat>
          <c:val>
            <c:numRef>
              <c:f>'5º Ano - 502'!$E$121:$E$124</c:f>
              <c:numCache/>
            </c:numRef>
          </c:val>
        </c:ser>
        <c:ser>
          <c:idx val="1"/>
          <c:order val="1"/>
          <c:tx>
            <c:strRef>
              <c:f>'5º Ano - 502'!$F$119:$F$120</c:f>
            </c:strRef>
          </c:tx>
          <c:cat>
            <c:strRef>
              <c:f>'5º Ano - 502'!$F$121:$F$124</c:f>
            </c:strRef>
          </c:cat>
          <c:val>
            <c:numRef>
              <c:f>'5º Ano - 502'!$F$121:$F$124</c:f>
              <c:numCache/>
            </c:numRef>
          </c:val>
        </c:ser>
        <c:ser>
          <c:idx val="2"/>
          <c:order val="2"/>
          <c:tx>
            <c:strRef>
              <c:f>'5º Ano - 502'!$G$119:$G$120</c:f>
            </c:strRef>
          </c:tx>
          <c:cat>
            <c:strRef>
              <c:f>'5º Ano - 502'!$F$121:$F$124</c:f>
            </c:strRef>
          </c:cat>
          <c:val>
            <c:numRef>
              <c:f>'5º Ano - 502'!$G$121:$G$124</c:f>
              <c:numCache/>
            </c:numRef>
          </c:val>
        </c:ser>
        <c:ser>
          <c:idx val="3"/>
          <c:order val="3"/>
          <c:tx>
            <c:strRef>
              <c:f>'5º Ano - 502'!$H$119:$H$120</c:f>
            </c:strRef>
          </c:tx>
          <c:cat>
            <c:strRef>
              <c:f>'5º Ano - 502'!$F$121:$F$124</c:f>
            </c:strRef>
          </c:cat>
          <c:val>
            <c:numRef>
              <c:f>'5º Ano - 502'!$H$121:$H$124</c:f>
              <c:numCache/>
            </c:numRef>
          </c:val>
        </c:ser>
        <c:ser>
          <c:idx val="4"/>
          <c:order val="4"/>
          <c:tx>
            <c:strRef>
              <c:f>'5º Ano - 502'!$I$119:$I$120</c:f>
            </c:strRef>
          </c:tx>
          <c:cat>
            <c:strRef>
              <c:f>'5º Ano - 502'!$F$121:$F$124</c:f>
            </c:strRef>
          </c:cat>
          <c:val>
            <c:numRef>
              <c:f>'5º Ano - 502'!$I$121:$I$124</c:f>
              <c:numCache/>
            </c:numRef>
          </c:val>
        </c:ser>
        <c:axId val="570491638"/>
        <c:axId val="502940703"/>
      </c:barChart>
      <c:catAx>
        <c:axId val="5704916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02940703"/>
      </c:catAx>
      <c:valAx>
        <c:axId val="502940703"/>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570491638"/>
      </c:valAx>
    </c:plotArea>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 EM %</a:t>
            </a:r>
          </a:p>
        </c:rich>
      </c:tx>
      <c:overlay val="0"/>
    </c:title>
    <c:plotArea>
      <c:layout/>
      <c:barChart>
        <c:barDir val="col"/>
        <c:ser>
          <c:idx val="0"/>
          <c:order val="0"/>
          <c:tx>
            <c:strRef>
              <c:f>'5º Ano - 502'!$E$126:$E$127</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- 502'!$F$128:$F$131</c:f>
            </c:strRef>
          </c:cat>
          <c:val>
            <c:numRef>
              <c:f>'5º Ano - 502'!$E$128:$E$131</c:f>
              <c:numCache/>
            </c:numRef>
          </c:val>
        </c:ser>
        <c:axId val="299423370"/>
        <c:axId val="1911983356"/>
      </c:barChart>
      <c:catAx>
        <c:axId val="299423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911983356"/>
      </c:catAx>
      <c:valAx>
        <c:axId val="1911983356"/>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299423370"/>
      </c:valAx>
    </c:plotArea>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overlay val="0"/>
    </c:title>
    <c:plotArea>
      <c:layout/>
      <c:barChart>
        <c:barDir val="col"/>
        <c:ser>
          <c:idx val="0"/>
          <c:order val="0"/>
          <c:tx>
            <c:strRef>
              <c:f>'5º Ano - 502'!$E$133:$E$134</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- 502'!$F$135:$F$138</c:f>
            </c:strRef>
          </c:cat>
          <c:val>
            <c:numRef>
              <c:f>'5º Ano - 502'!$E$135:$E$138</c:f>
              <c:numCache/>
            </c:numRef>
          </c:val>
        </c:ser>
        <c:axId val="1966636543"/>
        <c:axId val="1896767124"/>
      </c:barChart>
      <c:catAx>
        <c:axId val="19666365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96767124"/>
      </c:catAx>
      <c:valAx>
        <c:axId val="1896767124"/>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66636543"/>
      </c:valAx>
    </c:plotArea>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POR DESCRITORES - EM %</a:t>
            </a:r>
          </a:p>
        </c:rich>
      </c:tx>
      <c:overlay val="0"/>
    </c:title>
    <c:plotArea>
      <c:layout/>
      <c:barChart>
        <c:barDir val="col"/>
        <c:grouping val="stacked"/>
        <c:ser>
          <c:idx val="0"/>
          <c:order val="0"/>
          <c:spPr>
            <a:solidFill>
              <a:srgbClr val="F1C232"/>
            </a:solidFill>
            <a:ln cmpd="sng">
              <a:solidFill>
                <a:srgbClr val="000000"/>
              </a:solidFill>
            </a:ln>
          </c:spPr>
          <c:dPt>
            <c:idx val="21"/>
            <c:spPr>
              <a:solidFill>
                <a:srgbClr val="8E7CC3"/>
              </a:solidFill>
              <a:ln cmpd="sng">
                <a:solidFill>
                  <a:srgbClr val="000000"/>
                </a:solidFill>
              </a:ln>
            </c:spPr>
          </c:dPt>
          <c:dPt>
            <c:idx val="22"/>
            <c:spPr>
              <a:solidFill>
                <a:srgbClr val="8E7CC3"/>
              </a:solidFill>
              <a:ln cmpd="sng">
                <a:solidFill>
                  <a:srgbClr val="000000"/>
                </a:solidFill>
              </a:ln>
            </c:spPr>
          </c:dPt>
          <c:dPt>
            <c:idx val="23"/>
            <c:spPr>
              <a:solidFill>
                <a:srgbClr val="8E7CC3"/>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'5º Ano - 503'!$E$75:$E$117</c:f>
            </c:strRef>
          </c:cat>
          <c:val>
            <c:numRef>
              <c:f>'5º Ano - 503'!$G$75:$G$117</c:f>
              <c:numCache/>
            </c:numRef>
          </c:val>
        </c:ser>
        <c:overlap val="100"/>
        <c:axId val="718878280"/>
        <c:axId val="229604900"/>
      </c:barChart>
      <c:catAx>
        <c:axId val="718878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229604900"/>
      </c:catAx>
      <c:valAx>
        <c:axId val="229604900"/>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718878280"/>
      </c:valAx>
    </c:plotArea>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PERFIL DA TURMA - EM NÚMEROS</a:t>
            </a:r>
          </a:p>
        </c:rich>
      </c:tx>
      <c:overlay val="0"/>
    </c:title>
    <c:plotArea>
      <c:layout/>
      <c:barChart>
        <c:barDir val="col"/>
        <c:grouping val="stacked"/>
        <c:ser>
          <c:idx val="0"/>
          <c:order val="0"/>
          <c:spPr>
            <a:solidFill>
              <a:srgbClr val="073763"/>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'5º Ano - 503'!$A$18:$A$21</c:f>
            </c:strRef>
          </c:cat>
          <c:val>
            <c:numRef>
              <c:f>'5º Ano - 503'!$B$18:$B$21</c:f>
              <c:numCache/>
            </c:numRef>
          </c:val>
        </c:ser>
        <c:ser>
          <c:idx val="1"/>
          <c:order val="1"/>
          <c:cat>
            <c:strRef>
              <c:f>'5º Ano - 503'!$A$18:$A$21</c:f>
            </c:strRef>
          </c:cat>
          <c:val>
            <c:numRef>
              <c:f>'5º Ano - 503'!$C$18:$C$21</c:f>
              <c:numCache/>
            </c:numRef>
          </c:val>
        </c:ser>
        <c:overlap val="100"/>
        <c:axId val="1257111098"/>
        <c:axId val="704869302"/>
      </c:barChart>
      <c:catAx>
        <c:axId val="12571110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a:solidFill>
                  <a:srgbClr val="000000"/>
                </a:solidFill>
                <a:latin typeface="+mn-lt"/>
              </a:defRPr>
            </a:pPr>
          </a:p>
        </c:txPr>
        <c:crossAx val="704869302"/>
      </c:catAx>
      <c:valAx>
        <c:axId val="7048693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sz="1000">
                <a:solidFill>
                  <a:srgbClr val="000000"/>
                </a:solidFill>
                <a:latin typeface="Arial"/>
              </a:defRPr>
            </a:pPr>
          </a:p>
        </c:txPr>
        <c:crossAx val="1257111098"/>
      </c:valAx>
    </c:plotArea>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'5º Ano - 503'!$AN$74</c:f>
            </c:strRef>
          </c:tx>
          <c:spPr>
            <a:solidFill>
              <a:schemeClr val="accent1"/>
            </a:solidFill>
            <a:ln cmpd="sng">
              <a:solidFill>
                <a:srgbClr val="000000"/>
              </a:solidFill>
            </a:ln>
          </c:spPr>
          <c:cat>
            <c:strRef>
              <c:f>'5º Ano - 503'!$AL$75:$AL$117</c:f>
            </c:strRef>
          </c:cat>
          <c:val>
            <c:numRef>
              <c:f>'5º Ano - 503'!$AN$75:$AN$117</c:f>
              <c:numCache/>
            </c:numRef>
          </c:val>
        </c:ser>
        <c:ser>
          <c:idx val="1"/>
          <c:order val="1"/>
          <c:tx>
            <c:strRef>
              <c:f>'5º Ano - 503'!$AP$74</c:f>
            </c:strRef>
          </c:tx>
          <c:spPr>
            <a:solidFill>
              <a:schemeClr val="accent2"/>
            </a:solidFill>
            <a:ln cmpd="sng">
              <a:solidFill>
                <a:srgbClr val="000000"/>
              </a:solidFill>
            </a:ln>
          </c:spPr>
          <c:cat>
            <c:strRef>
              <c:f>'5º Ano - 503'!$AL$75:$AL$117</c:f>
            </c:strRef>
          </c:cat>
          <c:val>
            <c:numRef>
              <c:f>'5º Ano - 503'!$AP$75:$AP$117</c:f>
              <c:numCache/>
            </c:numRef>
          </c:val>
        </c:ser>
        <c:ser>
          <c:idx val="2"/>
          <c:order val="2"/>
          <c:tx>
            <c:strRef>
              <c:f>'5º Ano - 503'!$AR$74</c:f>
            </c:strRef>
          </c:tx>
          <c:spPr>
            <a:solidFill>
              <a:schemeClr val="accent3"/>
            </a:solidFill>
            <a:ln cmpd="sng">
              <a:solidFill>
                <a:srgbClr val="000000"/>
              </a:solidFill>
            </a:ln>
          </c:spPr>
          <c:cat>
            <c:strRef>
              <c:f>'5º Ano - 503'!$AL$75:$AL$117</c:f>
            </c:strRef>
          </c:cat>
          <c:val>
            <c:numRef>
              <c:f>'5º Ano - 503'!$AR$75:$AR$117</c:f>
              <c:numCache/>
            </c:numRef>
          </c:val>
        </c:ser>
        <c:ser>
          <c:idx val="3"/>
          <c:order val="3"/>
          <c:tx>
            <c:strRef>
              <c:f>'5º Ano - 503'!$AT$74</c:f>
            </c:strRef>
          </c:tx>
          <c:spPr>
            <a:solidFill>
              <a:schemeClr val="accent4"/>
            </a:solidFill>
            <a:ln cmpd="sng">
              <a:solidFill>
                <a:srgbClr val="000000"/>
              </a:solidFill>
            </a:ln>
          </c:spPr>
          <c:cat>
            <c:strRef>
              <c:f>'5º Ano - 503'!$AL$75:$AL$117</c:f>
            </c:strRef>
          </c:cat>
          <c:val>
            <c:numRef>
              <c:f>'5º Ano - 503'!$AT$75:$AT$117</c:f>
              <c:numCache/>
            </c:numRef>
          </c:val>
        </c:ser>
        <c:overlap val="100"/>
        <c:axId val="1560520475"/>
        <c:axId val="1360878950"/>
      </c:barChart>
      <c:catAx>
        <c:axId val="15605204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60878950"/>
      </c:catAx>
      <c:valAx>
        <c:axId val="1360878950"/>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i="0">
                <a:solidFill>
                  <a:srgbClr val="000000"/>
                </a:solidFill>
                <a:latin typeface="+mn-lt"/>
              </a:defRPr>
            </a:pPr>
          </a:p>
        </c:txPr>
        <c:crossAx val="1560520475"/>
      </c:valAx>
    </c:plotArea>
    <c:legend>
      <c:legendPos val="b"/>
      <c:overlay val="0"/>
      <c:txPr>
        <a:bodyPr/>
        <a:lstStyle/>
        <a:p>
          <a:pPr lvl="0">
            <a:defRPr b="0" i="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FF9900"/>
                </a:solidFill>
                <a:latin typeface="+mn-lt"/>
              </a:defRPr>
            </a:pPr>
            <a:r>
              <a:rPr b="1" i="0" sz="1800">
                <a:solidFill>
                  <a:srgbClr val="FF9900"/>
                </a:solidFill>
                <a:latin typeface="+mn-lt"/>
              </a:rPr>
              <a:t>PADRÃO DE DESEMPENHO - PRODUÇÃO TEXTUAL - EM %</a:t>
            </a:r>
          </a:p>
        </c:rich>
      </c:tx>
      <c:overlay val="0"/>
    </c:title>
    <c:plotArea>
      <c:layout>
        <c:manualLayout>
          <c:xMode val="edge"/>
          <c:yMode val="edge"/>
          <c:x val="0.07284981312473648"/>
          <c:y val="0.14156626506024098"/>
          <c:w val="0.8980128629316017"/>
          <c:h val="0.751355421686747"/>
        </c:manualLayout>
      </c:layout>
      <c:barChart>
        <c:barDir val="col"/>
        <c:ser>
          <c:idx val="0"/>
          <c:order val="0"/>
          <c:tx>
            <c:strRef>
              <c:f>'5º Ano - 503'!$E$119:$E$120</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- 503'!$F$121:$F$124</c:f>
            </c:strRef>
          </c:cat>
          <c:val>
            <c:numRef>
              <c:f>'5º Ano - 503'!$E$121:$E$124</c:f>
              <c:numCache/>
            </c:numRef>
          </c:val>
        </c:ser>
        <c:ser>
          <c:idx val="1"/>
          <c:order val="1"/>
          <c:tx>
            <c:strRef>
              <c:f>'5º Ano - 503'!$F$119:$F$120</c:f>
            </c:strRef>
          </c:tx>
          <c:cat>
            <c:strRef>
              <c:f>'5º Ano - 503'!$F$121:$F$124</c:f>
            </c:strRef>
          </c:cat>
          <c:val>
            <c:numRef>
              <c:f>'5º Ano - 503'!$F$121:$F$124</c:f>
              <c:numCache/>
            </c:numRef>
          </c:val>
        </c:ser>
        <c:ser>
          <c:idx val="2"/>
          <c:order val="2"/>
          <c:tx>
            <c:strRef>
              <c:f>'5º Ano - 503'!$G$119:$G$120</c:f>
            </c:strRef>
          </c:tx>
          <c:cat>
            <c:strRef>
              <c:f>'5º Ano - 503'!$F$121:$F$124</c:f>
            </c:strRef>
          </c:cat>
          <c:val>
            <c:numRef>
              <c:f>'5º Ano - 503'!$G$121:$G$124</c:f>
              <c:numCache/>
            </c:numRef>
          </c:val>
        </c:ser>
        <c:ser>
          <c:idx val="3"/>
          <c:order val="3"/>
          <c:tx>
            <c:strRef>
              <c:f>'5º Ano - 503'!$H$119:$H$120</c:f>
            </c:strRef>
          </c:tx>
          <c:cat>
            <c:strRef>
              <c:f>'5º Ano - 503'!$F$121:$F$124</c:f>
            </c:strRef>
          </c:cat>
          <c:val>
            <c:numRef>
              <c:f>'5º Ano - 503'!$H$121:$H$124</c:f>
              <c:numCache/>
            </c:numRef>
          </c:val>
        </c:ser>
        <c:ser>
          <c:idx val="4"/>
          <c:order val="4"/>
          <c:tx>
            <c:strRef>
              <c:f>'5º Ano - 503'!$I$119:$I$120</c:f>
            </c:strRef>
          </c:tx>
          <c:cat>
            <c:strRef>
              <c:f>'5º Ano - 503'!$F$121:$F$124</c:f>
            </c:strRef>
          </c:cat>
          <c:val>
            <c:numRef>
              <c:f>'5º Ano - 503'!$I$121:$I$124</c:f>
              <c:numCache/>
            </c:numRef>
          </c:val>
        </c:ser>
        <c:axId val="1103058956"/>
        <c:axId val="673983677"/>
      </c:barChart>
      <c:catAx>
        <c:axId val="11030589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73983677"/>
      </c:catAx>
      <c:valAx>
        <c:axId val="673983677"/>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03058956"/>
      </c:valAx>
    </c:plotArea>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 EM %</a:t>
            </a:r>
          </a:p>
        </c:rich>
      </c:tx>
      <c:overlay val="0"/>
    </c:title>
    <c:plotArea>
      <c:layout/>
      <c:barChart>
        <c:barDir val="col"/>
        <c:ser>
          <c:idx val="0"/>
          <c:order val="0"/>
          <c:tx>
            <c:strRef>
              <c:f>'5º Ano - 503'!$E$126:$E$127</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- 503'!$F$128:$F$131</c:f>
            </c:strRef>
          </c:cat>
          <c:val>
            <c:numRef>
              <c:f>'5º Ano - 503'!$E$128:$E$131</c:f>
              <c:numCache/>
            </c:numRef>
          </c:val>
        </c:ser>
        <c:axId val="1031650073"/>
        <c:axId val="20277308"/>
      </c:barChart>
      <c:catAx>
        <c:axId val="1031650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277308"/>
      </c:catAx>
      <c:valAx>
        <c:axId val="20277308"/>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031650073"/>
      </c:valAx>
    </c:plotArea>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overlay val="0"/>
    </c:title>
    <c:plotArea>
      <c:layout/>
      <c:barChart>
        <c:barDir val="col"/>
        <c:ser>
          <c:idx val="0"/>
          <c:order val="0"/>
          <c:tx>
            <c:strRef>
              <c:f>'5º Ano - 503'!$E$133:$E$134</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- 503'!$F$135:$F$138</c:f>
            </c:strRef>
          </c:cat>
          <c:val>
            <c:numRef>
              <c:f>'5º Ano - 503'!$E$135:$E$138</c:f>
              <c:numCache/>
            </c:numRef>
          </c:val>
        </c:ser>
        <c:axId val="335585281"/>
        <c:axId val="60260346"/>
      </c:barChart>
      <c:catAx>
        <c:axId val="335585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0260346"/>
      </c:catAx>
      <c:valAx>
        <c:axId val="60260346"/>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35585281"/>
      </c:valAx>
    </c:plotArea>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POR DESCRITORES - EM %</a:t>
            </a:r>
          </a:p>
        </c:rich>
      </c:tx>
      <c:overlay val="0"/>
    </c:title>
    <c:plotArea>
      <c:layout/>
      <c:barChart>
        <c:barDir val="col"/>
        <c:grouping val="stacked"/>
        <c:ser>
          <c:idx val="0"/>
          <c:order val="0"/>
          <c:spPr>
            <a:solidFill>
              <a:srgbClr val="F1C232"/>
            </a:solidFill>
            <a:ln cmpd="sng">
              <a:solidFill>
                <a:srgbClr val="000000"/>
              </a:solidFill>
            </a:ln>
          </c:spPr>
          <c:dPt>
            <c:idx val="21"/>
            <c:spPr>
              <a:solidFill>
                <a:srgbClr val="8E7CC3"/>
              </a:solidFill>
              <a:ln cmpd="sng">
                <a:solidFill>
                  <a:srgbClr val="000000"/>
                </a:solidFill>
              </a:ln>
            </c:spPr>
          </c:dPt>
          <c:dPt>
            <c:idx val="22"/>
            <c:spPr>
              <a:solidFill>
                <a:srgbClr val="8E7CC3"/>
              </a:solidFill>
              <a:ln cmpd="sng">
                <a:solidFill>
                  <a:srgbClr val="000000"/>
                </a:solidFill>
              </a:ln>
            </c:spPr>
          </c:dPt>
          <c:dPt>
            <c:idx val="23"/>
            <c:spPr>
              <a:solidFill>
                <a:srgbClr val="8E7CC3"/>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'5º Ano - 504'!$E$75:$E$117</c:f>
            </c:strRef>
          </c:cat>
          <c:val>
            <c:numRef>
              <c:f>'5º Ano - 504'!$G$75:$G$117</c:f>
              <c:numCache/>
            </c:numRef>
          </c:val>
        </c:ser>
        <c:overlap val="100"/>
        <c:axId val="2002703710"/>
        <c:axId val="1112566481"/>
      </c:barChart>
      <c:catAx>
        <c:axId val="20027037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1112566481"/>
      </c:catAx>
      <c:valAx>
        <c:axId val="1112566481"/>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2002703710"/>
      </c:valAx>
    </c:plotArea>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PERFIL DA TURMA - EM NÚMEROS</a:t>
            </a:r>
          </a:p>
        </c:rich>
      </c:tx>
      <c:overlay val="0"/>
    </c:title>
    <c:plotArea>
      <c:layout/>
      <c:barChart>
        <c:barDir val="col"/>
        <c:grouping val="stacked"/>
        <c:ser>
          <c:idx val="0"/>
          <c:order val="0"/>
          <c:spPr>
            <a:solidFill>
              <a:srgbClr val="073763"/>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'5º Ano - 504'!$A$18:$A$21</c:f>
            </c:strRef>
          </c:cat>
          <c:val>
            <c:numRef>
              <c:f>'5º Ano - 504'!$B$18:$B$21</c:f>
              <c:numCache/>
            </c:numRef>
          </c:val>
        </c:ser>
        <c:ser>
          <c:idx val="1"/>
          <c:order val="1"/>
          <c:cat>
            <c:strRef>
              <c:f>'5º Ano - 504'!$A$18:$A$21</c:f>
            </c:strRef>
          </c:cat>
          <c:val>
            <c:numRef>
              <c:f>'5º Ano - 504'!$C$18:$C$21</c:f>
              <c:numCache/>
            </c:numRef>
          </c:val>
        </c:ser>
        <c:overlap val="100"/>
        <c:axId val="1910506786"/>
        <c:axId val="1792710629"/>
      </c:barChart>
      <c:catAx>
        <c:axId val="1910506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a:solidFill>
                  <a:srgbClr val="000000"/>
                </a:solidFill>
                <a:latin typeface="+mn-lt"/>
              </a:defRPr>
            </a:pPr>
          </a:p>
        </c:txPr>
        <c:crossAx val="1792710629"/>
      </c:catAx>
      <c:valAx>
        <c:axId val="17927106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sz="1000">
                <a:solidFill>
                  <a:srgbClr val="000000"/>
                </a:solidFill>
                <a:latin typeface="Arial"/>
              </a:defRPr>
            </a:pPr>
          </a:p>
        </c:txPr>
        <c:crossAx val="1910506786"/>
      </c:valAx>
    </c:plotArea>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'5º Ano - 504'!$AN$74</c:f>
            </c:strRef>
          </c:tx>
          <c:spPr>
            <a:solidFill>
              <a:schemeClr val="accent1"/>
            </a:solidFill>
            <a:ln cmpd="sng">
              <a:solidFill>
                <a:srgbClr val="000000"/>
              </a:solidFill>
            </a:ln>
          </c:spPr>
          <c:cat>
            <c:strRef>
              <c:f>'5º Ano - 504'!$AL$75:$AL$117</c:f>
            </c:strRef>
          </c:cat>
          <c:val>
            <c:numRef>
              <c:f>'5º Ano - 504'!$AN$75:$AN$117</c:f>
              <c:numCache/>
            </c:numRef>
          </c:val>
        </c:ser>
        <c:ser>
          <c:idx val="1"/>
          <c:order val="1"/>
          <c:tx>
            <c:strRef>
              <c:f>'5º Ano - 504'!$AP$74</c:f>
            </c:strRef>
          </c:tx>
          <c:spPr>
            <a:solidFill>
              <a:schemeClr val="accent2"/>
            </a:solidFill>
            <a:ln cmpd="sng">
              <a:solidFill>
                <a:srgbClr val="000000"/>
              </a:solidFill>
            </a:ln>
          </c:spPr>
          <c:cat>
            <c:strRef>
              <c:f>'5º Ano - 504'!$AL$75:$AL$117</c:f>
            </c:strRef>
          </c:cat>
          <c:val>
            <c:numRef>
              <c:f>'5º Ano - 504'!$AP$75:$AP$117</c:f>
              <c:numCache/>
            </c:numRef>
          </c:val>
        </c:ser>
        <c:ser>
          <c:idx val="2"/>
          <c:order val="2"/>
          <c:tx>
            <c:strRef>
              <c:f>'5º Ano - 504'!$AR$74</c:f>
            </c:strRef>
          </c:tx>
          <c:spPr>
            <a:solidFill>
              <a:schemeClr val="accent3"/>
            </a:solidFill>
            <a:ln cmpd="sng">
              <a:solidFill>
                <a:srgbClr val="000000"/>
              </a:solidFill>
            </a:ln>
          </c:spPr>
          <c:cat>
            <c:strRef>
              <c:f>'5º Ano - 504'!$AL$75:$AL$117</c:f>
            </c:strRef>
          </c:cat>
          <c:val>
            <c:numRef>
              <c:f>'5º Ano - 504'!$AR$75:$AR$117</c:f>
              <c:numCache/>
            </c:numRef>
          </c:val>
        </c:ser>
        <c:ser>
          <c:idx val="3"/>
          <c:order val="3"/>
          <c:tx>
            <c:strRef>
              <c:f>'5º Ano - 504'!$AT$74</c:f>
            </c:strRef>
          </c:tx>
          <c:spPr>
            <a:solidFill>
              <a:schemeClr val="accent4"/>
            </a:solidFill>
            <a:ln cmpd="sng">
              <a:solidFill>
                <a:srgbClr val="000000"/>
              </a:solidFill>
            </a:ln>
          </c:spPr>
          <c:cat>
            <c:strRef>
              <c:f>'5º Ano - 504'!$AL$75:$AL$117</c:f>
            </c:strRef>
          </c:cat>
          <c:val>
            <c:numRef>
              <c:f>'5º Ano - 504'!$AT$75:$AT$117</c:f>
              <c:numCache/>
            </c:numRef>
          </c:val>
        </c:ser>
        <c:overlap val="100"/>
        <c:axId val="87866473"/>
        <c:axId val="1449688529"/>
      </c:barChart>
      <c:catAx>
        <c:axId val="878664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449688529"/>
      </c:catAx>
      <c:valAx>
        <c:axId val="144968852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i="0">
                <a:solidFill>
                  <a:srgbClr val="000000"/>
                </a:solidFill>
                <a:latin typeface="+mn-lt"/>
              </a:defRPr>
            </a:pPr>
          </a:p>
        </c:txPr>
        <c:crossAx val="87866473"/>
      </c:valAx>
    </c:plotArea>
    <c:legend>
      <c:legendPos val="b"/>
      <c:overlay val="0"/>
      <c:txPr>
        <a:bodyPr/>
        <a:lstStyle/>
        <a:p>
          <a:pPr lvl="0">
            <a:defRPr b="0" i="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FF9900"/>
                </a:solidFill>
                <a:latin typeface="+mn-lt"/>
              </a:defRPr>
            </a:pPr>
            <a:r>
              <a:rPr b="1" i="0" sz="1800">
                <a:solidFill>
                  <a:srgbClr val="FF9900"/>
                </a:solidFill>
                <a:latin typeface="+mn-lt"/>
              </a:rPr>
              <a:t>PADRÃO DE DESEMPENHO - PRODUÇÃO TEXTUAL - EM %</a:t>
            </a:r>
          </a:p>
        </c:rich>
      </c:tx>
      <c:overlay val="0"/>
    </c:title>
    <c:plotArea>
      <c:layout>
        <c:manualLayout>
          <c:xMode val="edge"/>
          <c:yMode val="edge"/>
          <c:x val="0.07284981312473648"/>
          <c:y val="0.14156626506024098"/>
          <c:w val="0.8980128629316017"/>
          <c:h val="0.751355421686747"/>
        </c:manualLayout>
      </c:layout>
      <c:barChart>
        <c:barDir val="col"/>
        <c:ser>
          <c:idx val="0"/>
          <c:order val="0"/>
          <c:tx>
            <c:strRef>
              <c:f>'5º Ano - 504'!$E$119:$E$120</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- 504'!$F$121:$F$124</c:f>
            </c:strRef>
          </c:cat>
          <c:val>
            <c:numRef>
              <c:f>'5º Ano - 504'!$E$121:$E$124</c:f>
              <c:numCache/>
            </c:numRef>
          </c:val>
        </c:ser>
        <c:ser>
          <c:idx val="1"/>
          <c:order val="1"/>
          <c:tx>
            <c:strRef>
              <c:f>'5º Ano - 504'!$F$119:$F$120</c:f>
            </c:strRef>
          </c:tx>
          <c:cat>
            <c:strRef>
              <c:f>'5º Ano - 504'!$F$121:$F$124</c:f>
            </c:strRef>
          </c:cat>
          <c:val>
            <c:numRef>
              <c:f>'5º Ano - 504'!$F$121:$F$124</c:f>
              <c:numCache/>
            </c:numRef>
          </c:val>
        </c:ser>
        <c:ser>
          <c:idx val="2"/>
          <c:order val="2"/>
          <c:tx>
            <c:strRef>
              <c:f>'5º Ano - 504'!$G$119:$G$120</c:f>
            </c:strRef>
          </c:tx>
          <c:cat>
            <c:strRef>
              <c:f>'5º Ano - 504'!$F$121:$F$124</c:f>
            </c:strRef>
          </c:cat>
          <c:val>
            <c:numRef>
              <c:f>'5º Ano - 504'!$G$121:$G$124</c:f>
              <c:numCache/>
            </c:numRef>
          </c:val>
        </c:ser>
        <c:ser>
          <c:idx val="3"/>
          <c:order val="3"/>
          <c:tx>
            <c:strRef>
              <c:f>'5º Ano - 504'!$H$119:$H$120</c:f>
            </c:strRef>
          </c:tx>
          <c:cat>
            <c:strRef>
              <c:f>'5º Ano - 504'!$F$121:$F$124</c:f>
            </c:strRef>
          </c:cat>
          <c:val>
            <c:numRef>
              <c:f>'5º Ano - 504'!$H$121:$H$124</c:f>
              <c:numCache/>
            </c:numRef>
          </c:val>
        </c:ser>
        <c:ser>
          <c:idx val="4"/>
          <c:order val="4"/>
          <c:tx>
            <c:strRef>
              <c:f>'5º Ano - 504'!$I$119:$I$120</c:f>
            </c:strRef>
          </c:tx>
          <c:cat>
            <c:strRef>
              <c:f>'5º Ano - 504'!$F$121:$F$124</c:f>
            </c:strRef>
          </c:cat>
          <c:val>
            <c:numRef>
              <c:f>'5º Ano - 504'!$I$121:$I$124</c:f>
              <c:numCache/>
            </c:numRef>
          </c:val>
        </c:ser>
        <c:axId val="721832049"/>
        <c:axId val="1482124370"/>
      </c:barChart>
      <c:catAx>
        <c:axId val="7218320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482124370"/>
      </c:catAx>
      <c:valAx>
        <c:axId val="1482124370"/>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21832049"/>
      </c:valAx>
    </c:plotArea>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 EM %</a:t>
            </a:r>
          </a:p>
        </c:rich>
      </c:tx>
      <c:overlay val="0"/>
    </c:title>
    <c:plotArea>
      <c:layout/>
      <c:barChart>
        <c:barDir val="col"/>
        <c:ser>
          <c:idx val="0"/>
          <c:order val="0"/>
          <c:tx>
            <c:strRef>
              <c:f>'5º Ano - 504'!$E$126:$E$127</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- 504'!$F$128:$F$131</c:f>
            </c:strRef>
          </c:cat>
          <c:val>
            <c:numRef>
              <c:f>'5º Ano - 504'!$E$128:$E$131</c:f>
              <c:numCache/>
            </c:numRef>
          </c:val>
        </c:ser>
        <c:axId val="1683160904"/>
        <c:axId val="1842012369"/>
      </c:barChart>
      <c:catAx>
        <c:axId val="16831609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42012369"/>
      </c:catAx>
      <c:valAx>
        <c:axId val="1842012369"/>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683160904"/>
      </c:valAx>
    </c:plotArea>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overlay val="0"/>
    </c:title>
    <c:plotArea>
      <c:layout/>
      <c:barChart>
        <c:barDir val="col"/>
        <c:ser>
          <c:idx val="0"/>
          <c:order val="0"/>
          <c:tx>
            <c:strRef>
              <c:f>'5º Ano - 504'!$E$133:$E$134</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- 504'!$F$135:$F$138</c:f>
            </c:strRef>
          </c:cat>
          <c:val>
            <c:numRef>
              <c:f>'5º Ano - 504'!$E$135:$E$138</c:f>
              <c:numCache/>
            </c:numRef>
          </c:val>
        </c:ser>
        <c:axId val="1350896785"/>
        <c:axId val="381584538"/>
      </c:barChart>
      <c:catAx>
        <c:axId val="1350896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381584538"/>
      </c:catAx>
      <c:valAx>
        <c:axId val="381584538"/>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350896785"/>
      </c:valAx>
    </c:plotArea>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POR DESCRITORES - EM %</a:t>
            </a:r>
          </a:p>
        </c:rich>
      </c:tx>
      <c:overlay val="0"/>
    </c:title>
    <c:plotArea>
      <c:layout/>
      <c:barChart>
        <c:barDir val="col"/>
        <c:grouping val="stacked"/>
        <c:ser>
          <c:idx val="0"/>
          <c:order val="0"/>
          <c:spPr>
            <a:solidFill>
              <a:srgbClr val="F1C232"/>
            </a:solidFill>
            <a:ln cmpd="sng">
              <a:solidFill>
                <a:srgbClr val="000000"/>
              </a:solidFill>
            </a:ln>
          </c:spPr>
          <c:dPt>
            <c:idx val="21"/>
            <c:spPr>
              <a:solidFill>
                <a:srgbClr val="8E7CC3"/>
              </a:solidFill>
              <a:ln cmpd="sng">
                <a:solidFill>
                  <a:srgbClr val="000000"/>
                </a:solidFill>
              </a:ln>
            </c:spPr>
          </c:dPt>
          <c:dPt>
            <c:idx val="22"/>
            <c:spPr>
              <a:solidFill>
                <a:srgbClr val="8E7CC3"/>
              </a:solidFill>
              <a:ln cmpd="sng">
                <a:solidFill>
                  <a:srgbClr val="000000"/>
                </a:solidFill>
              </a:ln>
            </c:spPr>
          </c:dPt>
          <c:dPt>
            <c:idx val="23"/>
            <c:spPr>
              <a:solidFill>
                <a:srgbClr val="8E7CC3"/>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'5º Ano - 505'!$E$75:$E$117</c:f>
            </c:strRef>
          </c:cat>
          <c:val>
            <c:numRef>
              <c:f>'5º Ano - 505'!$G$75:$G$117</c:f>
              <c:numCache/>
            </c:numRef>
          </c:val>
        </c:ser>
        <c:overlap val="100"/>
        <c:axId val="1471258546"/>
        <c:axId val="1400221748"/>
      </c:barChart>
      <c:catAx>
        <c:axId val="14712585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1400221748"/>
      </c:catAx>
      <c:valAx>
        <c:axId val="1400221748"/>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471258546"/>
      </c:valAx>
    </c:plotArea>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PERFIL DA TURMA - EM NÚMEROS</a:t>
            </a:r>
          </a:p>
        </c:rich>
      </c:tx>
      <c:overlay val="0"/>
    </c:title>
    <c:plotArea>
      <c:layout/>
      <c:barChart>
        <c:barDir val="col"/>
        <c:grouping val="stacked"/>
        <c:ser>
          <c:idx val="0"/>
          <c:order val="0"/>
          <c:spPr>
            <a:solidFill>
              <a:srgbClr val="073763"/>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'5º Ano - 505'!$A$18:$A$21</c:f>
            </c:strRef>
          </c:cat>
          <c:val>
            <c:numRef>
              <c:f>'5º Ano - 505'!$B$18:$B$21</c:f>
              <c:numCache/>
            </c:numRef>
          </c:val>
        </c:ser>
        <c:ser>
          <c:idx val="1"/>
          <c:order val="1"/>
          <c:cat>
            <c:strRef>
              <c:f>'5º Ano - 505'!$A$18:$A$21</c:f>
            </c:strRef>
          </c:cat>
          <c:val>
            <c:numRef>
              <c:f>'5º Ano - 505'!$C$18:$C$21</c:f>
              <c:numCache/>
            </c:numRef>
          </c:val>
        </c:ser>
        <c:overlap val="100"/>
        <c:axId val="1310667215"/>
        <c:axId val="297541529"/>
      </c:barChart>
      <c:catAx>
        <c:axId val="13106672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a:solidFill>
                  <a:srgbClr val="000000"/>
                </a:solidFill>
                <a:latin typeface="+mn-lt"/>
              </a:defRPr>
            </a:pPr>
          </a:p>
        </c:txPr>
        <c:crossAx val="297541529"/>
      </c:catAx>
      <c:valAx>
        <c:axId val="2975415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sz="1000">
                <a:solidFill>
                  <a:srgbClr val="000000"/>
                </a:solidFill>
                <a:latin typeface="Arial"/>
              </a:defRPr>
            </a:pPr>
          </a:p>
        </c:txPr>
        <c:crossAx val="1310667215"/>
      </c:valAx>
    </c:plotArea>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'5º Ano - 505'!$AN$74</c:f>
            </c:strRef>
          </c:tx>
          <c:spPr>
            <a:solidFill>
              <a:schemeClr val="accent1"/>
            </a:solidFill>
            <a:ln cmpd="sng">
              <a:solidFill>
                <a:srgbClr val="000000"/>
              </a:solidFill>
            </a:ln>
          </c:spPr>
          <c:cat>
            <c:strRef>
              <c:f>'5º Ano - 505'!$AL$75:$AL$117</c:f>
            </c:strRef>
          </c:cat>
          <c:val>
            <c:numRef>
              <c:f>'5º Ano - 505'!$AN$75:$AN$117</c:f>
              <c:numCache/>
            </c:numRef>
          </c:val>
        </c:ser>
        <c:ser>
          <c:idx val="1"/>
          <c:order val="1"/>
          <c:tx>
            <c:strRef>
              <c:f>'5º Ano - 505'!$AP$74</c:f>
            </c:strRef>
          </c:tx>
          <c:spPr>
            <a:solidFill>
              <a:schemeClr val="accent2"/>
            </a:solidFill>
            <a:ln cmpd="sng">
              <a:solidFill>
                <a:srgbClr val="000000"/>
              </a:solidFill>
            </a:ln>
          </c:spPr>
          <c:cat>
            <c:strRef>
              <c:f>'5º Ano - 505'!$AL$75:$AL$117</c:f>
            </c:strRef>
          </c:cat>
          <c:val>
            <c:numRef>
              <c:f>'5º Ano - 505'!$AP$75:$AP$117</c:f>
              <c:numCache/>
            </c:numRef>
          </c:val>
        </c:ser>
        <c:ser>
          <c:idx val="2"/>
          <c:order val="2"/>
          <c:tx>
            <c:strRef>
              <c:f>'5º Ano - 505'!$AR$74</c:f>
            </c:strRef>
          </c:tx>
          <c:spPr>
            <a:solidFill>
              <a:schemeClr val="accent3"/>
            </a:solidFill>
            <a:ln cmpd="sng">
              <a:solidFill>
                <a:srgbClr val="000000"/>
              </a:solidFill>
            </a:ln>
          </c:spPr>
          <c:cat>
            <c:strRef>
              <c:f>'5º Ano - 505'!$AL$75:$AL$117</c:f>
            </c:strRef>
          </c:cat>
          <c:val>
            <c:numRef>
              <c:f>'5º Ano - 505'!$AR$75:$AR$117</c:f>
              <c:numCache/>
            </c:numRef>
          </c:val>
        </c:ser>
        <c:ser>
          <c:idx val="3"/>
          <c:order val="3"/>
          <c:tx>
            <c:strRef>
              <c:f>'5º Ano - 505'!$AT$74</c:f>
            </c:strRef>
          </c:tx>
          <c:spPr>
            <a:solidFill>
              <a:schemeClr val="accent4"/>
            </a:solidFill>
            <a:ln cmpd="sng">
              <a:solidFill>
                <a:srgbClr val="000000"/>
              </a:solidFill>
            </a:ln>
          </c:spPr>
          <c:cat>
            <c:strRef>
              <c:f>'5º Ano - 505'!$AL$75:$AL$117</c:f>
            </c:strRef>
          </c:cat>
          <c:val>
            <c:numRef>
              <c:f>'5º Ano - 505'!$AT$75:$AT$117</c:f>
              <c:numCache/>
            </c:numRef>
          </c:val>
        </c:ser>
        <c:overlap val="100"/>
        <c:axId val="1445688542"/>
        <c:axId val="1554851784"/>
      </c:barChart>
      <c:catAx>
        <c:axId val="14456885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54851784"/>
      </c:catAx>
      <c:valAx>
        <c:axId val="1554851784"/>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i="0">
                <a:solidFill>
                  <a:srgbClr val="000000"/>
                </a:solidFill>
                <a:latin typeface="+mn-lt"/>
              </a:defRPr>
            </a:pPr>
          </a:p>
        </c:txPr>
        <c:crossAx val="1445688542"/>
      </c:valAx>
    </c:plotArea>
    <c:legend>
      <c:legendPos val="b"/>
      <c:overlay val="0"/>
      <c:txPr>
        <a:bodyPr/>
        <a:lstStyle/>
        <a:p>
          <a:pPr lvl="0">
            <a:defRPr b="0" i="0">
              <a:solidFill>
                <a:srgbClr val="1A1A1A"/>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FF9900"/>
                </a:solidFill>
                <a:latin typeface="+mn-lt"/>
              </a:defRPr>
            </a:pPr>
            <a:r>
              <a:rPr b="1" i="0" sz="1800">
                <a:solidFill>
                  <a:srgbClr val="FF9900"/>
                </a:solidFill>
                <a:latin typeface="+mn-lt"/>
              </a:rPr>
              <a:t>PADRÃO DE DESEMPENHO - PRODUÇÃO TEXTUAL - EM %</a:t>
            </a:r>
          </a:p>
        </c:rich>
      </c:tx>
      <c:overlay val="0"/>
    </c:title>
    <c:plotArea>
      <c:layout>
        <c:manualLayout>
          <c:xMode val="edge"/>
          <c:yMode val="edge"/>
          <c:x val="0.07284981312473648"/>
          <c:y val="0.14156626506024098"/>
          <c:w val="0.8980128629316017"/>
          <c:h val="0.751355421686747"/>
        </c:manualLayout>
      </c:layout>
      <c:barChart>
        <c:barDir val="col"/>
        <c:ser>
          <c:idx val="0"/>
          <c:order val="0"/>
          <c:tx>
            <c:strRef>
              <c:f>'5º Ano - 505'!$E$119:$E$120</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- 505'!$F$121:$F$124</c:f>
            </c:strRef>
          </c:cat>
          <c:val>
            <c:numRef>
              <c:f>'5º Ano - 505'!$E$121:$E$124</c:f>
              <c:numCache/>
            </c:numRef>
          </c:val>
        </c:ser>
        <c:ser>
          <c:idx val="1"/>
          <c:order val="1"/>
          <c:tx>
            <c:strRef>
              <c:f>'5º Ano - 505'!$F$119:$F$120</c:f>
            </c:strRef>
          </c:tx>
          <c:cat>
            <c:strRef>
              <c:f>'5º Ano - 505'!$F$121:$F$124</c:f>
            </c:strRef>
          </c:cat>
          <c:val>
            <c:numRef>
              <c:f>'5º Ano - 505'!$F$121:$F$124</c:f>
              <c:numCache/>
            </c:numRef>
          </c:val>
        </c:ser>
        <c:ser>
          <c:idx val="2"/>
          <c:order val="2"/>
          <c:tx>
            <c:strRef>
              <c:f>'5º Ano - 505'!$G$119:$G$120</c:f>
            </c:strRef>
          </c:tx>
          <c:cat>
            <c:strRef>
              <c:f>'5º Ano - 505'!$F$121:$F$124</c:f>
            </c:strRef>
          </c:cat>
          <c:val>
            <c:numRef>
              <c:f>'5º Ano - 505'!$G$121:$G$124</c:f>
              <c:numCache/>
            </c:numRef>
          </c:val>
        </c:ser>
        <c:ser>
          <c:idx val="3"/>
          <c:order val="3"/>
          <c:tx>
            <c:strRef>
              <c:f>'5º Ano - 505'!$H$119:$H$120</c:f>
            </c:strRef>
          </c:tx>
          <c:cat>
            <c:strRef>
              <c:f>'5º Ano - 505'!$F$121:$F$124</c:f>
            </c:strRef>
          </c:cat>
          <c:val>
            <c:numRef>
              <c:f>'5º Ano - 505'!$H$121:$H$124</c:f>
              <c:numCache/>
            </c:numRef>
          </c:val>
        </c:ser>
        <c:ser>
          <c:idx val="4"/>
          <c:order val="4"/>
          <c:tx>
            <c:strRef>
              <c:f>'5º Ano - 505'!$I$119:$I$120</c:f>
            </c:strRef>
          </c:tx>
          <c:cat>
            <c:strRef>
              <c:f>'5º Ano - 505'!$F$121:$F$124</c:f>
            </c:strRef>
          </c:cat>
          <c:val>
            <c:numRef>
              <c:f>'5º Ano - 505'!$I$121:$I$124</c:f>
              <c:numCache/>
            </c:numRef>
          </c:val>
        </c:ser>
        <c:axId val="1157758719"/>
        <c:axId val="422794294"/>
      </c:barChart>
      <c:catAx>
        <c:axId val="1157758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22794294"/>
      </c:catAx>
      <c:valAx>
        <c:axId val="422794294"/>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57758719"/>
      </c:valAx>
    </c:plotArea>
    <c:plotVisOnly val="1"/>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 EM %</a:t>
            </a:r>
          </a:p>
        </c:rich>
      </c:tx>
      <c:overlay val="0"/>
    </c:title>
    <c:plotArea>
      <c:layout/>
      <c:barChart>
        <c:barDir val="col"/>
        <c:ser>
          <c:idx val="0"/>
          <c:order val="0"/>
          <c:tx>
            <c:strRef>
              <c:f>'5º Ano - 505'!$E$126:$E$127</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- 505'!$F$128:$F$131</c:f>
            </c:strRef>
          </c:cat>
          <c:val>
            <c:numRef>
              <c:f>'5º Ano - 505'!$E$128:$E$131</c:f>
              <c:numCache/>
            </c:numRef>
          </c:val>
        </c:ser>
        <c:axId val="1207375772"/>
        <c:axId val="2119362142"/>
      </c:barChart>
      <c:catAx>
        <c:axId val="12073757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19362142"/>
      </c:catAx>
      <c:valAx>
        <c:axId val="2119362142"/>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207375772"/>
      </c:valAx>
    </c:plotArea>
    <c:plotVisOnly val="1"/>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overlay val="0"/>
    </c:title>
    <c:plotArea>
      <c:layout/>
      <c:barChart>
        <c:barDir val="col"/>
        <c:ser>
          <c:idx val="0"/>
          <c:order val="0"/>
          <c:tx>
            <c:strRef>
              <c:f>'5º Ano - 505'!$E$133:$E$134</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- 505'!$F$135:$F$138</c:f>
            </c:strRef>
          </c:cat>
          <c:val>
            <c:numRef>
              <c:f>'5º Ano - 505'!$E$135:$E$138</c:f>
              <c:numCache/>
            </c:numRef>
          </c:val>
        </c:ser>
        <c:axId val="1388117156"/>
        <c:axId val="534691280"/>
      </c:barChart>
      <c:catAx>
        <c:axId val="1388117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34691280"/>
      </c:catAx>
      <c:valAx>
        <c:axId val="534691280"/>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388117156"/>
      </c:valAx>
    </c:plotArea>
    <c:plotVisOnly val="1"/>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POR DESCRITORES - EM %</a:t>
            </a:r>
          </a:p>
        </c:rich>
      </c:tx>
      <c:overlay val="0"/>
    </c:title>
    <c:plotArea>
      <c:layout/>
      <c:barChart>
        <c:barDir val="col"/>
        <c:grouping val="stacked"/>
        <c:ser>
          <c:idx val="0"/>
          <c:order val="0"/>
          <c:spPr>
            <a:solidFill>
              <a:srgbClr val="F1C232"/>
            </a:solidFill>
            <a:ln cmpd="sng">
              <a:solidFill>
                <a:srgbClr val="000000"/>
              </a:solidFill>
            </a:ln>
          </c:spPr>
          <c:dPt>
            <c:idx val="21"/>
            <c:spPr>
              <a:solidFill>
                <a:srgbClr val="8E7CC3"/>
              </a:solidFill>
              <a:ln cmpd="sng">
                <a:solidFill>
                  <a:srgbClr val="000000"/>
                </a:solidFill>
              </a:ln>
            </c:spPr>
          </c:dPt>
          <c:dPt>
            <c:idx val="22"/>
            <c:spPr>
              <a:solidFill>
                <a:srgbClr val="8E7CC3"/>
              </a:solidFill>
              <a:ln cmpd="sng">
                <a:solidFill>
                  <a:srgbClr val="000000"/>
                </a:solidFill>
              </a:ln>
            </c:spPr>
          </c:dPt>
          <c:dPt>
            <c:idx val="23"/>
            <c:spPr>
              <a:solidFill>
                <a:srgbClr val="8E7CC3"/>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'5º Ano - 506'!$E$75:$E$117</c:f>
            </c:strRef>
          </c:cat>
          <c:val>
            <c:numRef>
              <c:f>'5º Ano - 506'!$G$75:$G$117</c:f>
              <c:numCache/>
            </c:numRef>
          </c:val>
        </c:ser>
        <c:overlap val="100"/>
        <c:axId val="1704311212"/>
        <c:axId val="1676690091"/>
      </c:barChart>
      <c:catAx>
        <c:axId val="17043112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1676690091"/>
      </c:catAx>
      <c:valAx>
        <c:axId val="1676690091"/>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704311212"/>
      </c:valAx>
    </c:plotArea>
    <c:plotVisOnly val="1"/>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PERFIL DA TURMA - EM NÚMEROS</a:t>
            </a:r>
          </a:p>
        </c:rich>
      </c:tx>
      <c:overlay val="0"/>
    </c:title>
    <c:plotArea>
      <c:layout/>
      <c:barChart>
        <c:barDir val="col"/>
        <c:grouping val="stacked"/>
        <c:ser>
          <c:idx val="0"/>
          <c:order val="0"/>
          <c:spPr>
            <a:solidFill>
              <a:srgbClr val="073763"/>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'5º Ano - 506'!$A$18:$A$21</c:f>
            </c:strRef>
          </c:cat>
          <c:val>
            <c:numRef>
              <c:f>'5º Ano - 506'!$B$18:$B$21</c:f>
              <c:numCache/>
            </c:numRef>
          </c:val>
        </c:ser>
        <c:ser>
          <c:idx val="1"/>
          <c:order val="1"/>
          <c:cat>
            <c:strRef>
              <c:f>'5º Ano - 506'!$A$18:$A$21</c:f>
            </c:strRef>
          </c:cat>
          <c:val>
            <c:numRef>
              <c:f>'5º Ano - 506'!$C$18:$C$21</c:f>
              <c:numCache/>
            </c:numRef>
          </c:val>
        </c:ser>
        <c:overlap val="100"/>
        <c:axId val="1146840329"/>
        <c:axId val="623989481"/>
      </c:barChart>
      <c:catAx>
        <c:axId val="11468403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a:solidFill>
                  <a:srgbClr val="000000"/>
                </a:solidFill>
                <a:latin typeface="+mn-lt"/>
              </a:defRPr>
            </a:pPr>
          </a:p>
        </c:txPr>
        <c:crossAx val="623989481"/>
      </c:catAx>
      <c:valAx>
        <c:axId val="6239894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sz="1000">
                <a:solidFill>
                  <a:srgbClr val="000000"/>
                </a:solidFill>
                <a:latin typeface="Arial"/>
              </a:defRPr>
            </a:pPr>
          </a:p>
        </c:txPr>
        <c:crossAx val="1146840329"/>
      </c:valAx>
    </c:plotArea>
    <c:plotVisOnly val="1"/>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'5º Ano - 506'!$AN$74</c:f>
            </c:strRef>
          </c:tx>
          <c:spPr>
            <a:solidFill>
              <a:schemeClr val="accent1"/>
            </a:solidFill>
            <a:ln cmpd="sng">
              <a:solidFill>
                <a:srgbClr val="000000"/>
              </a:solidFill>
            </a:ln>
          </c:spPr>
          <c:cat>
            <c:strRef>
              <c:f>'5º Ano - 506'!$AL$75:$AL$117</c:f>
            </c:strRef>
          </c:cat>
          <c:val>
            <c:numRef>
              <c:f>'5º Ano - 506'!$AN$75:$AN$117</c:f>
              <c:numCache/>
            </c:numRef>
          </c:val>
        </c:ser>
        <c:ser>
          <c:idx val="1"/>
          <c:order val="1"/>
          <c:tx>
            <c:strRef>
              <c:f>'5º Ano - 506'!$AP$74</c:f>
            </c:strRef>
          </c:tx>
          <c:spPr>
            <a:solidFill>
              <a:schemeClr val="accent2"/>
            </a:solidFill>
            <a:ln cmpd="sng">
              <a:solidFill>
                <a:srgbClr val="000000"/>
              </a:solidFill>
            </a:ln>
          </c:spPr>
          <c:cat>
            <c:strRef>
              <c:f>'5º Ano - 506'!$AL$75:$AL$117</c:f>
            </c:strRef>
          </c:cat>
          <c:val>
            <c:numRef>
              <c:f>'5º Ano - 506'!$AP$75:$AP$117</c:f>
              <c:numCache/>
            </c:numRef>
          </c:val>
        </c:ser>
        <c:ser>
          <c:idx val="2"/>
          <c:order val="2"/>
          <c:tx>
            <c:strRef>
              <c:f>'5º Ano - 506'!$AR$74</c:f>
            </c:strRef>
          </c:tx>
          <c:spPr>
            <a:solidFill>
              <a:schemeClr val="accent3"/>
            </a:solidFill>
            <a:ln cmpd="sng">
              <a:solidFill>
                <a:srgbClr val="000000"/>
              </a:solidFill>
            </a:ln>
          </c:spPr>
          <c:cat>
            <c:strRef>
              <c:f>'5º Ano - 506'!$AL$75:$AL$117</c:f>
            </c:strRef>
          </c:cat>
          <c:val>
            <c:numRef>
              <c:f>'5º Ano - 506'!$AR$75:$AR$117</c:f>
              <c:numCache/>
            </c:numRef>
          </c:val>
        </c:ser>
        <c:ser>
          <c:idx val="3"/>
          <c:order val="3"/>
          <c:tx>
            <c:strRef>
              <c:f>'5º Ano - 506'!$AT$74</c:f>
            </c:strRef>
          </c:tx>
          <c:spPr>
            <a:solidFill>
              <a:schemeClr val="accent4"/>
            </a:solidFill>
            <a:ln cmpd="sng">
              <a:solidFill>
                <a:srgbClr val="000000"/>
              </a:solidFill>
            </a:ln>
          </c:spPr>
          <c:cat>
            <c:strRef>
              <c:f>'5º Ano - 506'!$AL$75:$AL$117</c:f>
            </c:strRef>
          </c:cat>
          <c:val>
            <c:numRef>
              <c:f>'5º Ano - 506'!$AT$75:$AT$117</c:f>
              <c:numCache/>
            </c:numRef>
          </c:val>
        </c:ser>
        <c:overlap val="100"/>
        <c:axId val="531599545"/>
        <c:axId val="1276957956"/>
      </c:barChart>
      <c:catAx>
        <c:axId val="5315995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76957956"/>
      </c:catAx>
      <c:valAx>
        <c:axId val="1276957956"/>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i="0">
                <a:solidFill>
                  <a:srgbClr val="000000"/>
                </a:solidFill>
                <a:latin typeface="+mn-lt"/>
              </a:defRPr>
            </a:pPr>
          </a:p>
        </c:txPr>
        <c:crossAx val="531599545"/>
      </c:valAx>
    </c:plotArea>
    <c:legend>
      <c:legendPos val="b"/>
      <c:overlay val="0"/>
      <c:txPr>
        <a:bodyPr/>
        <a:lstStyle/>
        <a:p>
          <a:pPr lvl="0">
            <a:defRPr b="0" i="0">
              <a:solidFill>
                <a:srgbClr val="1A1A1A"/>
              </a:solidFill>
              <a:latin typeface="+mn-lt"/>
            </a:defRPr>
          </a:pPr>
        </a:p>
      </c:txPr>
    </c:legend>
    <c:plotVisOnly val="1"/>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FF9900"/>
                </a:solidFill>
                <a:latin typeface="+mn-lt"/>
              </a:defRPr>
            </a:pPr>
            <a:r>
              <a:rPr b="1" i="0" sz="1800">
                <a:solidFill>
                  <a:srgbClr val="FF9900"/>
                </a:solidFill>
                <a:latin typeface="+mn-lt"/>
              </a:rPr>
              <a:t>PADRÃO DE DESEMPENHO - PRODUÇÃO TEXTUAL - EM %</a:t>
            </a:r>
          </a:p>
        </c:rich>
      </c:tx>
      <c:overlay val="0"/>
    </c:title>
    <c:plotArea>
      <c:layout>
        <c:manualLayout>
          <c:xMode val="edge"/>
          <c:yMode val="edge"/>
          <c:x val="0.07284981312473648"/>
          <c:y val="0.14156626506024098"/>
          <c:w val="0.8980128629316017"/>
          <c:h val="0.751355421686747"/>
        </c:manualLayout>
      </c:layout>
      <c:barChart>
        <c:barDir val="col"/>
        <c:ser>
          <c:idx val="0"/>
          <c:order val="0"/>
          <c:tx>
            <c:strRef>
              <c:f>'5º Ano - 506'!$E$119:$E$120</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- 506'!$F$121:$F$124</c:f>
            </c:strRef>
          </c:cat>
          <c:val>
            <c:numRef>
              <c:f>'5º Ano - 506'!$E$121:$E$124</c:f>
              <c:numCache/>
            </c:numRef>
          </c:val>
        </c:ser>
        <c:ser>
          <c:idx val="1"/>
          <c:order val="1"/>
          <c:tx>
            <c:strRef>
              <c:f>'5º Ano - 506'!$F$119:$F$120</c:f>
            </c:strRef>
          </c:tx>
          <c:cat>
            <c:strRef>
              <c:f>'5º Ano - 506'!$F$121:$F$124</c:f>
            </c:strRef>
          </c:cat>
          <c:val>
            <c:numRef>
              <c:f>'5º Ano - 506'!$F$121:$F$124</c:f>
              <c:numCache/>
            </c:numRef>
          </c:val>
        </c:ser>
        <c:ser>
          <c:idx val="2"/>
          <c:order val="2"/>
          <c:tx>
            <c:strRef>
              <c:f>'5º Ano - 506'!$G$119:$G$120</c:f>
            </c:strRef>
          </c:tx>
          <c:cat>
            <c:strRef>
              <c:f>'5º Ano - 506'!$F$121:$F$124</c:f>
            </c:strRef>
          </c:cat>
          <c:val>
            <c:numRef>
              <c:f>'5º Ano - 506'!$G$121:$G$124</c:f>
              <c:numCache/>
            </c:numRef>
          </c:val>
        </c:ser>
        <c:ser>
          <c:idx val="3"/>
          <c:order val="3"/>
          <c:tx>
            <c:strRef>
              <c:f>'5º Ano - 506'!$H$119:$H$120</c:f>
            </c:strRef>
          </c:tx>
          <c:cat>
            <c:strRef>
              <c:f>'5º Ano - 506'!$F$121:$F$124</c:f>
            </c:strRef>
          </c:cat>
          <c:val>
            <c:numRef>
              <c:f>'5º Ano - 506'!$H$121:$H$124</c:f>
              <c:numCache/>
            </c:numRef>
          </c:val>
        </c:ser>
        <c:ser>
          <c:idx val="4"/>
          <c:order val="4"/>
          <c:tx>
            <c:strRef>
              <c:f>'5º Ano - 506'!$I$119:$I$120</c:f>
            </c:strRef>
          </c:tx>
          <c:cat>
            <c:strRef>
              <c:f>'5º Ano - 506'!$F$121:$F$124</c:f>
            </c:strRef>
          </c:cat>
          <c:val>
            <c:numRef>
              <c:f>'5º Ano - 506'!$I$121:$I$124</c:f>
              <c:numCache/>
            </c:numRef>
          </c:val>
        </c:ser>
        <c:axId val="551888729"/>
        <c:axId val="726157387"/>
      </c:barChart>
      <c:catAx>
        <c:axId val="5518887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26157387"/>
      </c:catAx>
      <c:valAx>
        <c:axId val="726157387"/>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551888729"/>
      </c:valAx>
    </c:plotArea>
    <c:plotVisOnly val="1"/>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 EM %</a:t>
            </a:r>
          </a:p>
        </c:rich>
      </c:tx>
      <c:overlay val="0"/>
    </c:title>
    <c:plotArea>
      <c:layout/>
      <c:barChart>
        <c:barDir val="col"/>
        <c:ser>
          <c:idx val="0"/>
          <c:order val="0"/>
          <c:tx>
            <c:strRef>
              <c:f>'5º Ano - 506'!$E$126:$E$127</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- 506'!$F$128:$F$131</c:f>
            </c:strRef>
          </c:cat>
          <c:val>
            <c:numRef>
              <c:f>'5º Ano - 506'!$E$128:$E$131</c:f>
              <c:numCache/>
            </c:numRef>
          </c:val>
        </c:ser>
        <c:axId val="1540545715"/>
        <c:axId val="116830142"/>
      </c:barChart>
      <c:catAx>
        <c:axId val="15405457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6830142"/>
      </c:catAx>
      <c:valAx>
        <c:axId val="116830142"/>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540545715"/>
      </c:valAx>
    </c:plotArea>
    <c:plotVisOnly val="1"/>
  </c:chart>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overlay val="0"/>
    </c:title>
    <c:plotArea>
      <c:layout/>
      <c:barChart>
        <c:barDir val="col"/>
        <c:ser>
          <c:idx val="0"/>
          <c:order val="0"/>
          <c:tx>
            <c:strRef>
              <c:f>'5º Ano - 506'!$E$133:$E$134</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'5º Ano - 506'!$F$135:$F$138</c:f>
            </c:strRef>
          </c:cat>
          <c:val>
            <c:numRef>
              <c:f>'5º Ano - 506'!$E$135:$E$138</c:f>
              <c:numCache/>
            </c:numRef>
          </c:val>
        </c:ser>
        <c:axId val="704604901"/>
        <c:axId val="1130238568"/>
      </c:barChart>
      <c:catAx>
        <c:axId val="7046049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30238568"/>
      </c:catAx>
      <c:valAx>
        <c:axId val="1130238568"/>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04604901"/>
      </c:valAx>
    </c:plotArea>
    <c:plotVisOnly val="1"/>
  </c:chart>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 RELAÇÃO QUESTÕES X DESCRITORES - EM %</a:t>
            </a:r>
          </a:p>
        </c:rich>
      </c:tx>
      <c:layout>
        <c:manualLayout>
          <c:xMode val="edge"/>
          <c:yMode val="edge"/>
          <c:x val="0.016693531199150492"/>
          <c:y val="0.04130638305699021"/>
        </c:manualLayout>
      </c:layout>
      <c:overlay val="0"/>
    </c:title>
    <c:plotArea>
      <c:layout/>
      <c:barChart>
        <c:barDir val="col"/>
        <c:ser>
          <c:idx val="0"/>
          <c:order val="0"/>
          <c:spPr>
            <a:solidFill>
              <a:srgbClr val="8E7CC3"/>
            </a:solidFill>
            <a:ln cmpd="sng">
              <a:solidFill>
                <a:srgbClr val="000000"/>
              </a:solidFill>
            </a:ln>
          </c:spPr>
          <c:dPt>
            <c:idx val="0"/>
            <c:spPr>
              <a:solidFill>
                <a:srgbClr val="FF9900"/>
              </a:solidFill>
              <a:ln cmpd="sng">
                <a:solidFill>
                  <a:srgbClr val="000000"/>
                </a:solidFill>
              </a:ln>
            </c:spPr>
          </c:dPt>
          <c:dPt>
            <c:idx val="1"/>
            <c:spPr>
              <a:solidFill>
                <a:srgbClr val="FF9900"/>
              </a:solidFill>
              <a:ln cmpd="sng">
                <a:solidFill>
                  <a:srgbClr val="000000"/>
                </a:solidFill>
              </a:ln>
            </c:spPr>
          </c:dPt>
          <c:dPt>
            <c:idx val="2"/>
            <c:spPr>
              <a:solidFill>
                <a:srgbClr val="FF9900"/>
              </a:solidFill>
              <a:ln cmpd="sng">
                <a:solidFill>
                  <a:srgbClr val="000000"/>
                </a:solidFill>
              </a:ln>
            </c:spPr>
          </c:dPt>
          <c:dPt>
            <c:idx val="3"/>
            <c:spPr>
              <a:solidFill>
                <a:srgbClr val="FF9900"/>
              </a:solidFill>
              <a:ln cmpd="sng">
                <a:solidFill>
                  <a:srgbClr val="000000"/>
                </a:solidFill>
              </a:ln>
            </c:spPr>
          </c:dPt>
          <c:dPt>
            <c:idx val="4"/>
            <c:spPr>
              <a:solidFill>
                <a:srgbClr val="FF9900"/>
              </a:solidFill>
              <a:ln cmpd="sng">
                <a:solidFill>
                  <a:srgbClr val="000000"/>
                </a:solidFill>
              </a:ln>
            </c:spPr>
          </c:dPt>
          <c:dPt>
            <c:idx val="5"/>
            <c:spPr>
              <a:solidFill>
                <a:srgbClr val="FF9900"/>
              </a:solidFill>
              <a:ln cmpd="sng">
                <a:solidFill>
                  <a:srgbClr val="000000"/>
                </a:solidFill>
              </a:ln>
            </c:spPr>
          </c:dPt>
          <c:dPt>
            <c:idx val="6"/>
            <c:spPr>
              <a:solidFill>
                <a:srgbClr val="FF9900"/>
              </a:solidFill>
              <a:ln cmpd="sng">
                <a:solidFill>
                  <a:srgbClr val="000000"/>
                </a:solidFill>
              </a:ln>
            </c:spPr>
          </c:dPt>
          <c:dPt>
            <c:idx val="7"/>
            <c:spPr>
              <a:solidFill>
                <a:srgbClr val="FF9900"/>
              </a:solidFill>
              <a:ln cmpd="sng">
                <a:solidFill>
                  <a:srgbClr val="000000"/>
                </a:solidFill>
              </a:ln>
            </c:spPr>
          </c:dPt>
          <c:dPt>
            <c:idx val="8"/>
            <c:spPr>
              <a:solidFill>
                <a:srgbClr val="FF9900"/>
              </a:solidFill>
              <a:ln cmpd="sng">
                <a:solidFill>
                  <a:srgbClr val="000000"/>
                </a:solidFill>
              </a:ln>
            </c:spPr>
          </c:dPt>
          <c:dPt>
            <c:idx val="9"/>
            <c:spPr>
              <a:solidFill>
                <a:srgbClr val="FF9900"/>
              </a:solidFill>
              <a:ln cmpd="sng">
                <a:solidFill>
                  <a:srgbClr val="000000"/>
                </a:solidFill>
              </a:ln>
            </c:spPr>
          </c:dPt>
          <c:dPt>
            <c:idx val="10"/>
            <c:spPr>
              <a:solidFill>
                <a:srgbClr val="FF9900"/>
              </a:solidFill>
              <a:ln cmpd="sng">
                <a:solidFill>
                  <a:srgbClr val="000000"/>
                </a:solidFill>
              </a:ln>
            </c:spPr>
          </c:dPt>
          <c:dPt>
            <c:idx val="11"/>
            <c:spPr>
              <a:solidFill>
                <a:srgbClr val="FF9900"/>
              </a:solidFill>
              <a:ln cmpd="sng">
                <a:solidFill>
                  <a:srgbClr val="000000"/>
                </a:solidFill>
              </a:ln>
            </c:spPr>
          </c:dPt>
          <c:dPt>
            <c:idx val="12"/>
            <c:spPr>
              <a:solidFill>
                <a:srgbClr val="FF9900"/>
              </a:solidFill>
              <a:ln cmpd="sng">
                <a:solidFill>
                  <a:srgbClr val="000000"/>
                </a:solidFill>
              </a:ln>
            </c:spPr>
          </c:dPt>
          <c:dPt>
            <c:idx val="13"/>
            <c:spPr>
              <a:solidFill>
                <a:srgbClr val="FF9900"/>
              </a:solidFill>
              <a:ln cmpd="sng">
                <a:solidFill>
                  <a:srgbClr val="000000"/>
                </a:solidFill>
              </a:ln>
            </c:spPr>
          </c:dPt>
          <c:dPt>
            <c:idx val="14"/>
            <c:spPr>
              <a:solidFill>
                <a:srgbClr val="FF9900"/>
              </a:solidFill>
              <a:ln cmpd="sng">
                <a:solidFill>
                  <a:srgbClr val="000000"/>
                </a:solidFill>
              </a:ln>
            </c:spPr>
          </c:dPt>
          <c:dPt>
            <c:idx val="15"/>
            <c:spPr>
              <a:solidFill>
                <a:srgbClr val="FF9900"/>
              </a:solidFill>
              <a:ln cmpd="sng">
                <a:solidFill>
                  <a:srgbClr val="000000"/>
                </a:solidFill>
              </a:ln>
            </c:spPr>
          </c:dPt>
          <c:dPt>
            <c:idx val="16"/>
            <c:spPr>
              <a:solidFill>
                <a:srgbClr val="FF9900"/>
              </a:solidFill>
              <a:ln cmpd="sng">
                <a:solidFill>
                  <a:srgbClr val="000000"/>
                </a:solidFill>
              </a:ln>
            </c:spPr>
          </c:dPt>
          <c:dPt>
            <c:idx val="17"/>
            <c:spPr>
              <a:solidFill>
                <a:srgbClr val="FF9900"/>
              </a:solidFill>
              <a:ln cmpd="sng">
                <a:solidFill>
                  <a:srgbClr val="000000"/>
                </a:solidFill>
              </a:ln>
            </c:spPr>
          </c:dPt>
          <c:dPt>
            <c:idx val="18"/>
            <c:spPr>
              <a:solidFill>
                <a:srgbClr val="FF9900"/>
              </a:solidFill>
              <a:ln cmpd="sng">
                <a:solidFill>
                  <a:srgbClr val="000000"/>
                </a:solidFill>
              </a:ln>
            </c:spPr>
          </c:dPt>
          <c:dPt>
            <c:idx val="19"/>
            <c:spPr>
              <a:solidFill>
                <a:srgbClr val="FF9900"/>
              </a:solidFill>
              <a:ln cmpd="sng">
                <a:solidFill>
                  <a:srgbClr val="000000"/>
                </a:solidFill>
              </a:ln>
            </c:spPr>
          </c:dPt>
          <c:dPt>
            <c:idx val="20"/>
            <c:spPr>
              <a:solidFill>
                <a:srgbClr val="FF9900"/>
              </a:solidFill>
              <a:ln cmpd="sng">
                <a:solidFill>
                  <a:srgbClr val="000000"/>
                </a:solidFill>
              </a:ln>
            </c:spPr>
          </c:dPt>
          <c:dPt>
            <c:idx val="21"/>
            <c:spPr>
              <a:solidFill>
                <a:srgbClr val="FF9900"/>
              </a:solidFill>
              <a:ln cmpd="sng">
                <a:solidFill>
                  <a:srgbClr val="000000"/>
                </a:solidFill>
              </a:ln>
            </c:spPr>
          </c:dPt>
          <c:dPt>
            <c:idx val="22"/>
            <c:spPr>
              <a:solidFill>
                <a:srgbClr val="FF9900"/>
              </a:solidFill>
              <a:ln cmpd="sng">
                <a:solidFill>
                  <a:srgbClr val="000000"/>
                </a:solidFill>
              </a:ln>
            </c:spPr>
          </c:dPt>
          <c:dPt>
            <c:idx val="23"/>
            <c:spPr>
              <a:solidFill>
                <a:srgbClr val="FF9900"/>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Pt>
            <c:idx val="43"/>
            <c:spPr>
              <a:solidFill>
                <a:srgbClr val="8E7CC3"/>
              </a:solidFill>
              <a:ln cmpd="sng">
                <a:solidFill>
                  <a:srgbClr val="000000"/>
                </a:solidFill>
              </a:ln>
            </c:spPr>
          </c:dPt>
          <c:dPt>
            <c:idx val="45"/>
            <c:spPr>
              <a:solidFill>
                <a:srgbClr val="8E7CC3"/>
              </a:solidFill>
              <a:ln cmpd="sng">
                <a:solidFill>
                  <a:srgbClr val="000000"/>
                </a:solidFill>
              </a:ln>
            </c:spPr>
          </c:dPt>
          <c:dPt>
            <c:idx val="46"/>
            <c:spPr>
              <a:solidFill>
                <a:srgbClr val="8E7CC3"/>
              </a:solidFill>
              <a:ln cmpd="sng">
                <a:solidFill>
                  <a:srgbClr val="000000"/>
                </a:solidFill>
              </a:ln>
            </c:spPr>
          </c:dPt>
          <c:dPt>
            <c:idx val="47"/>
            <c:spPr>
              <a:solidFill>
                <a:srgbClr val="8E7CC3"/>
              </a:solidFill>
              <a:ln cmpd="sng">
                <a:solidFill>
                  <a:srgbClr val="000000"/>
                </a:solidFill>
              </a:ln>
            </c:spPr>
          </c:dPt>
          <c:dPt>
            <c:idx val="48"/>
            <c:spPr>
              <a:solidFill>
                <a:srgbClr val="8E7CC3"/>
              </a:solidFill>
              <a:ln cmpd="sng">
                <a:solidFill>
                  <a:srgbClr val="000000"/>
                </a:solidFill>
              </a:ln>
            </c:spPr>
          </c:dPt>
          <c:dPt>
            <c:idx val="49"/>
            <c:spPr>
              <a:solidFill>
                <a:srgbClr val="8E7CC3"/>
              </a:solidFill>
              <a:ln cmpd="sng">
                <a:solidFill>
                  <a:srgbClr val="000000"/>
                </a:solidFill>
              </a:ln>
            </c:spPr>
          </c:dPt>
          <c:dPt>
            <c:idx val="50"/>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'9º Ano - 901'!$E$75:$E$125</c:f>
            </c:strRef>
          </c:cat>
          <c:val>
            <c:numRef>
              <c:f>'9º Ano - 901'!$G$75:$G$125</c:f>
              <c:numCache/>
            </c:numRef>
          </c:val>
        </c:ser>
        <c:axId val="903915913"/>
        <c:axId val="827017696"/>
      </c:barChart>
      <c:catAx>
        <c:axId val="903915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827017696"/>
      </c:catAx>
      <c:valAx>
        <c:axId val="827017696"/>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03915913"/>
      </c:valAx>
    </c:plotArea>
    <c:plotVisOnly val="1"/>
  </c:chart>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73763"/>
                </a:solidFill>
                <a:latin typeface="+mn-lt"/>
              </a:defRPr>
            </a:pPr>
            <a:r>
              <a:rPr b="1" i="0" sz="2000">
                <a:solidFill>
                  <a:srgbClr val="073763"/>
                </a:solidFill>
                <a:latin typeface="+mn-lt"/>
              </a:rPr>
              <a:t>PERFIL DA TURMA - EM NÚMEROS</a:t>
            </a:r>
          </a:p>
        </c:rich>
      </c:tx>
      <c:layout>
        <c:manualLayout>
          <c:xMode val="edge"/>
          <c:yMode val="edge"/>
          <c:x val="0.022127329192546584"/>
          <c:y val="0.05598159509202454"/>
        </c:manualLayout>
      </c:layout>
      <c:overlay val="0"/>
    </c:title>
    <c:plotArea>
      <c:layout/>
      <c:barChart>
        <c:barDir val="col"/>
        <c:ser>
          <c:idx val="0"/>
          <c:order val="0"/>
          <c:spPr>
            <a:solidFill>
              <a:srgbClr val="073763"/>
            </a:solidFill>
            <a:ln cmpd="sng">
              <a:solidFill>
                <a:srgbClr val="000000"/>
              </a:solidFill>
            </a:ln>
          </c:spPr>
          <c:dPt>
            <c:idx val="0"/>
            <c:spPr>
              <a:solidFill>
                <a:srgbClr val="073763"/>
              </a:solidFill>
              <a:ln cmpd="sng">
                <a:solidFill>
                  <a:srgbClr val="000000"/>
                </a:solidFill>
              </a:ln>
            </c:spPr>
          </c:dPt>
          <c:dPt>
            <c:idx val="1"/>
            <c:spPr>
              <a:solidFill>
                <a:srgbClr val="073763"/>
              </a:solidFill>
              <a:ln cmpd="sng">
                <a:solidFill>
                  <a:srgbClr val="000000"/>
                </a:solidFill>
              </a:ln>
            </c:spPr>
          </c:dPt>
          <c:dPt>
            <c:idx val="2"/>
            <c:spPr>
              <a:solidFill>
                <a:srgbClr val="073763"/>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- 901'!$A$17:$A$20</c:f>
            </c:strRef>
          </c:cat>
          <c:val>
            <c:numRef>
              <c:f>'9º Ano - 901'!$B$17:$B$20</c:f>
              <c:numCache/>
            </c:numRef>
          </c:val>
        </c:ser>
        <c:ser>
          <c:idx val="1"/>
          <c:order val="1"/>
          <c:cat>
            <c:strRef>
              <c:f>'9º Ano - 901'!$A$17:$A$20</c:f>
            </c:strRef>
          </c:cat>
          <c:val>
            <c:numRef>
              <c:f>'9º Ano - 901'!$C$17:$C$20</c:f>
              <c:numCache/>
            </c:numRef>
          </c:val>
        </c:ser>
        <c:axId val="1479785003"/>
        <c:axId val="1431489070"/>
      </c:barChart>
      <c:catAx>
        <c:axId val="1479785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431489070"/>
      </c:catAx>
      <c:valAx>
        <c:axId val="14314890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79785003"/>
      </c:valAx>
    </c:plotArea>
    <c:plotVisOnly val="1"/>
  </c:chart>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EM %</a:t>
            </a:r>
          </a:p>
        </c:rich>
      </c:tx>
      <c:overlay val="0"/>
    </c:title>
    <c:plotArea>
      <c:layout/>
      <c:barChart>
        <c:barDir val="col"/>
        <c:ser>
          <c:idx val="0"/>
          <c:order val="0"/>
          <c:tx>
            <c:strRef>
              <c:f>'9º Ano - 901'!$E$134:$E$135</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- 901'!$F$136:$F$139</c:f>
            </c:strRef>
          </c:cat>
          <c:val>
            <c:numRef>
              <c:f>'9º Ano - 901'!$E$136:$E$139</c:f>
              <c:numCache/>
            </c:numRef>
          </c:val>
        </c:ser>
        <c:axId val="29647411"/>
        <c:axId val="1348024916"/>
      </c:barChart>
      <c:catAx>
        <c:axId val="296474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48024916"/>
      </c:catAx>
      <c:valAx>
        <c:axId val="13480249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9647411"/>
      </c:valAx>
    </c:plotArea>
    <c:plotVisOnly val="1"/>
  </c:chart>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layout>
        <c:manualLayout>
          <c:xMode val="edge"/>
          <c:yMode val="edge"/>
          <c:x val="0.029192546583850933"/>
          <c:y val="0.055952380952380955"/>
        </c:manualLayout>
      </c:layout>
      <c:overlay val="0"/>
    </c:title>
    <c:plotArea>
      <c:layout/>
      <c:barChart>
        <c:barDir val="col"/>
        <c:ser>
          <c:idx val="0"/>
          <c:order val="0"/>
          <c:tx>
            <c:strRef>
              <c:f>'9º Ano - 901'!$E$141:$E$142</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- 901'!$F$143:$F$146</c:f>
            </c:strRef>
          </c:cat>
          <c:val>
            <c:numRef>
              <c:f>'9º Ano - 901'!$E$143:$E$146</c:f>
              <c:numCache/>
            </c:numRef>
          </c:val>
        </c:ser>
        <c:axId val="1368824677"/>
        <c:axId val="2052282420"/>
      </c:barChart>
      <c:catAx>
        <c:axId val="1368824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52282420"/>
      </c:catAx>
      <c:valAx>
        <c:axId val="2052282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368824677"/>
      </c:valAx>
    </c:plotArea>
    <c:plotVisOnly val="1"/>
  </c:chart>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9900"/>
                </a:solidFill>
                <a:latin typeface="+mn-lt"/>
              </a:defRPr>
            </a:pPr>
            <a:r>
              <a:rPr b="1" i="0" sz="2000">
                <a:solidFill>
                  <a:srgbClr val="FF9900"/>
                </a:solidFill>
                <a:latin typeface="+mn-lt"/>
              </a:rPr>
              <a:t>PADRÃO DE DESEMPENHO - PRODUÇÃO TEXTUAL - EM %</a:t>
            </a:r>
          </a:p>
        </c:rich>
      </c:tx>
      <c:overlay val="0"/>
    </c:title>
    <c:plotArea>
      <c:layout/>
      <c:barChart>
        <c:barDir val="col"/>
        <c:ser>
          <c:idx val="0"/>
          <c:order val="0"/>
          <c:tx>
            <c:strRef>
              <c:f>'9º Ano - 901'!$E$127:$E$128</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- 901'!$F$129:$F$132</c:f>
            </c:strRef>
          </c:cat>
          <c:val>
            <c:numRef>
              <c:f>'9º Ano - 901'!$E$129:$E$132</c:f>
              <c:numCache/>
            </c:numRef>
          </c:val>
        </c:ser>
        <c:ser>
          <c:idx val="1"/>
          <c:order val="1"/>
          <c:tx>
            <c:strRef>
              <c:f>'9º Ano - 901'!$F$127:$F$128</c:f>
            </c:strRef>
          </c:tx>
          <c:cat>
            <c:strRef>
              <c:f>'9º Ano - 901'!$F$129:$F$132</c:f>
            </c:strRef>
          </c:cat>
          <c:val>
            <c:numRef>
              <c:f>'9º Ano - 901'!$F$129:$F$132</c:f>
              <c:numCache/>
            </c:numRef>
          </c:val>
        </c:ser>
        <c:ser>
          <c:idx val="2"/>
          <c:order val="2"/>
          <c:tx>
            <c:strRef>
              <c:f>'9º Ano - 901'!$G$127:$G$128</c:f>
            </c:strRef>
          </c:tx>
          <c:cat>
            <c:strRef>
              <c:f>'9º Ano - 901'!$F$129:$F$132</c:f>
            </c:strRef>
          </c:cat>
          <c:val>
            <c:numRef>
              <c:f>'9º Ano - 901'!$G$129:$G$132</c:f>
              <c:numCache/>
            </c:numRef>
          </c:val>
        </c:ser>
        <c:ser>
          <c:idx val="3"/>
          <c:order val="3"/>
          <c:tx>
            <c:strRef>
              <c:f>'9º Ano - 901'!$H$127:$H$128</c:f>
            </c:strRef>
          </c:tx>
          <c:cat>
            <c:strRef>
              <c:f>'9º Ano - 901'!$F$129:$F$132</c:f>
            </c:strRef>
          </c:cat>
          <c:val>
            <c:numRef>
              <c:f>'9º Ano - 901'!$H$129:$H$132</c:f>
              <c:numCache/>
            </c:numRef>
          </c:val>
        </c:ser>
        <c:ser>
          <c:idx val="4"/>
          <c:order val="4"/>
          <c:tx>
            <c:strRef>
              <c:f>'9º Ano - 901'!$I$127:$I$128</c:f>
            </c:strRef>
          </c:tx>
          <c:cat>
            <c:strRef>
              <c:f>'9º Ano - 901'!$F$129:$F$132</c:f>
            </c:strRef>
          </c:cat>
          <c:val>
            <c:numRef>
              <c:f>'9º Ano - 901'!$I$129:$I$132</c:f>
              <c:numCache/>
            </c:numRef>
          </c:val>
        </c:ser>
        <c:axId val="159176861"/>
        <c:axId val="1881137559"/>
      </c:barChart>
      <c:catAx>
        <c:axId val="159176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81137559"/>
      </c:catAx>
      <c:valAx>
        <c:axId val="18811375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9176861"/>
      </c:valAx>
    </c:plotArea>
    <c:plotVisOnly val="1"/>
  </c:chart>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'9º Ano - 901'!$AO$74</c:f>
            </c:strRef>
          </c:tx>
          <c:spPr>
            <a:solidFill>
              <a:schemeClr val="accent1"/>
            </a:solidFill>
            <a:ln cmpd="sng">
              <a:solidFill>
                <a:srgbClr val="000000"/>
              </a:solidFill>
            </a:ln>
          </c:spPr>
          <c:cat>
            <c:strRef>
              <c:f>'9º Ano - 901'!$AM$75:$AM$125</c:f>
            </c:strRef>
          </c:cat>
          <c:val>
            <c:numRef>
              <c:f>'9º Ano - 901'!$AO$75:$AO$125</c:f>
              <c:numCache/>
            </c:numRef>
          </c:val>
        </c:ser>
        <c:ser>
          <c:idx val="1"/>
          <c:order val="1"/>
          <c:tx>
            <c:strRef>
              <c:f>'9º Ano - 901'!$AQ$74</c:f>
            </c:strRef>
          </c:tx>
          <c:spPr>
            <a:solidFill>
              <a:schemeClr val="accent2"/>
            </a:solidFill>
            <a:ln cmpd="sng">
              <a:solidFill>
                <a:srgbClr val="000000"/>
              </a:solidFill>
            </a:ln>
          </c:spPr>
          <c:cat>
            <c:strRef>
              <c:f>'9º Ano - 901'!$AM$75:$AM$125</c:f>
            </c:strRef>
          </c:cat>
          <c:val>
            <c:numRef>
              <c:f>'9º Ano - 901'!$AQ$75:$AQ$125</c:f>
              <c:numCache/>
            </c:numRef>
          </c:val>
        </c:ser>
        <c:ser>
          <c:idx val="2"/>
          <c:order val="2"/>
          <c:tx>
            <c:strRef>
              <c:f>'9º Ano - 901'!$AS$74</c:f>
            </c:strRef>
          </c:tx>
          <c:spPr>
            <a:solidFill>
              <a:schemeClr val="accent3"/>
            </a:solidFill>
            <a:ln cmpd="sng">
              <a:solidFill>
                <a:srgbClr val="000000"/>
              </a:solidFill>
            </a:ln>
          </c:spPr>
          <c:cat>
            <c:strRef>
              <c:f>'9º Ano - 901'!$AM$75:$AM$125</c:f>
            </c:strRef>
          </c:cat>
          <c:val>
            <c:numRef>
              <c:f>'9º Ano - 901'!$AS$75:$AS$125</c:f>
              <c:numCache/>
            </c:numRef>
          </c:val>
        </c:ser>
        <c:ser>
          <c:idx val="3"/>
          <c:order val="3"/>
          <c:tx>
            <c:strRef>
              <c:f>'9º Ano - 901'!$AU$74</c:f>
            </c:strRef>
          </c:tx>
          <c:spPr>
            <a:solidFill>
              <a:schemeClr val="accent4"/>
            </a:solidFill>
            <a:ln cmpd="sng">
              <a:solidFill>
                <a:srgbClr val="000000"/>
              </a:solidFill>
            </a:ln>
          </c:spPr>
          <c:cat>
            <c:strRef>
              <c:f>'9º Ano - 901'!$AM$75:$AM$125</c:f>
            </c:strRef>
          </c:cat>
          <c:val>
            <c:numRef>
              <c:f>'9º Ano - 901'!$AU$75:$AU$125</c:f>
              <c:numCache/>
            </c:numRef>
          </c:val>
        </c:ser>
        <c:overlap val="100"/>
        <c:axId val="1639331534"/>
        <c:axId val="179847505"/>
      </c:barChart>
      <c:catAx>
        <c:axId val="16393315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9847505"/>
      </c:catAx>
      <c:valAx>
        <c:axId val="179847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639331534"/>
      </c:valAx>
    </c:plotArea>
    <c:legend>
      <c:legendPos val="b"/>
      <c:overlay val="0"/>
      <c:txPr>
        <a:bodyPr/>
        <a:lstStyle/>
        <a:p>
          <a:pPr lvl="0">
            <a:defRPr b="0" i="0">
              <a:solidFill>
                <a:srgbClr val="1A1A1A"/>
              </a:solidFill>
              <a:latin typeface="+mn-lt"/>
            </a:defRPr>
          </a:pPr>
        </a:p>
      </c:txPr>
    </c:legend>
    <c:plotVisOnly val="1"/>
  </c:chart>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 RELAÇÃO QUESTÕES X DESCRITORES - EM %</a:t>
            </a:r>
          </a:p>
        </c:rich>
      </c:tx>
      <c:layout>
        <c:manualLayout>
          <c:xMode val="edge"/>
          <c:yMode val="edge"/>
          <c:x val="0.016693531199150492"/>
          <c:y val="0.04130638305699021"/>
        </c:manualLayout>
      </c:layout>
      <c:overlay val="0"/>
    </c:title>
    <c:plotArea>
      <c:layout/>
      <c:barChart>
        <c:barDir val="col"/>
        <c:ser>
          <c:idx val="0"/>
          <c:order val="0"/>
          <c:spPr>
            <a:solidFill>
              <a:srgbClr val="8E7CC3"/>
            </a:solidFill>
            <a:ln cmpd="sng">
              <a:solidFill>
                <a:srgbClr val="000000"/>
              </a:solidFill>
            </a:ln>
          </c:spPr>
          <c:dPt>
            <c:idx val="0"/>
            <c:spPr>
              <a:solidFill>
                <a:srgbClr val="FF9900"/>
              </a:solidFill>
              <a:ln cmpd="sng">
                <a:solidFill>
                  <a:srgbClr val="000000"/>
                </a:solidFill>
              </a:ln>
            </c:spPr>
          </c:dPt>
          <c:dPt>
            <c:idx val="1"/>
            <c:spPr>
              <a:solidFill>
                <a:srgbClr val="FF9900"/>
              </a:solidFill>
              <a:ln cmpd="sng">
                <a:solidFill>
                  <a:srgbClr val="000000"/>
                </a:solidFill>
              </a:ln>
            </c:spPr>
          </c:dPt>
          <c:dPt>
            <c:idx val="2"/>
            <c:spPr>
              <a:solidFill>
                <a:srgbClr val="FF9900"/>
              </a:solidFill>
              <a:ln cmpd="sng">
                <a:solidFill>
                  <a:srgbClr val="000000"/>
                </a:solidFill>
              </a:ln>
            </c:spPr>
          </c:dPt>
          <c:dPt>
            <c:idx val="3"/>
            <c:spPr>
              <a:solidFill>
                <a:srgbClr val="FF9900"/>
              </a:solidFill>
              <a:ln cmpd="sng">
                <a:solidFill>
                  <a:srgbClr val="000000"/>
                </a:solidFill>
              </a:ln>
            </c:spPr>
          </c:dPt>
          <c:dPt>
            <c:idx val="4"/>
            <c:spPr>
              <a:solidFill>
                <a:srgbClr val="FF9900"/>
              </a:solidFill>
              <a:ln cmpd="sng">
                <a:solidFill>
                  <a:srgbClr val="000000"/>
                </a:solidFill>
              </a:ln>
            </c:spPr>
          </c:dPt>
          <c:dPt>
            <c:idx val="5"/>
            <c:spPr>
              <a:solidFill>
                <a:srgbClr val="FF9900"/>
              </a:solidFill>
              <a:ln cmpd="sng">
                <a:solidFill>
                  <a:srgbClr val="000000"/>
                </a:solidFill>
              </a:ln>
            </c:spPr>
          </c:dPt>
          <c:dPt>
            <c:idx val="6"/>
            <c:spPr>
              <a:solidFill>
                <a:srgbClr val="FF9900"/>
              </a:solidFill>
              <a:ln cmpd="sng">
                <a:solidFill>
                  <a:srgbClr val="000000"/>
                </a:solidFill>
              </a:ln>
            </c:spPr>
          </c:dPt>
          <c:dPt>
            <c:idx val="7"/>
            <c:spPr>
              <a:solidFill>
                <a:srgbClr val="FF9900"/>
              </a:solidFill>
              <a:ln cmpd="sng">
                <a:solidFill>
                  <a:srgbClr val="000000"/>
                </a:solidFill>
              </a:ln>
            </c:spPr>
          </c:dPt>
          <c:dPt>
            <c:idx val="8"/>
            <c:spPr>
              <a:solidFill>
                <a:srgbClr val="FF9900"/>
              </a:solidFill>
              <a:ln cmpd="sng">
                <a:solidFill>
                  <a:srgbClr val="000000"/>
                </a:solidFill>
              </a:ln>
            </c:spPr>
          </c:dPt>
          <c:dPt>
            <c:idx val="9"/>
            <c:spPr>
              <a:solidFill>
                <a:srgbClr val="FF9900"/>
              </a:solidFill>
              <a:ln cmpd="sng">
                <a:solidFill>
                  <a:srgbClr val="000000"/>
                </a:solidFill>
              </a:ln>
            </c:spPr>
          </c:dPt>
          <c:dPt>
            <c:idx val="10"/>
            <c:spPr>
              <a:solidFill>
                <a:srgbClr val="FF9900"/>
              </a:solidFill>
              <a:ln cmpd="sng">
                <a:solidFill>
                  <a:srgbClr val="000000"/>
                </a:solidFill>
              </a:ln>
            </c:spPr>
          </c:dPt>
          <c:dPt>
            <c:idx val="11"/>
            <c:spPr>
              <a:solidFill>
                <a:srgbClr val="FF9900"/>
              </a:solidFill>
              <a:ln cmpd="sng">
                <a:solidFill>
                  <a:srgbClr val="000000"/>
                </a:solidFill>
              </a:ln>
            </c:spPr>
          </c:dPt>
          <c:dPt>
            <c:idx val="12"/>
            <c:spPr>
              <a:solidFill>
                <a:srgbClr val="FF9900"/>
              </a:solidFill>
              <a:ln cmpd="sng">
                <a:solidFill>
                  <a:srgbClr val="000000"/>
                </a:solidFill>
              </a:ln>
            </c:spPr>
          </c:dPt>
          <c:dPt>
            <c:idx val="13"/>
            <c:spPr>
              <a:solidFill>
                <a:srgbClr val="FF9900"/>
              </a:solidFill>
              <a:ln cmpd="sng">
                <a:solidFill>
                  <a:srgbClr val="000000"/>
                </a:solidFill>
              </a:ln>
            </c:spPr>
          </c:dPt>
          <c:dPt>
            <c:idx val="14"/>
            <c:spPr>
              <a:solidFill>
                <a:srgbClr val="FF9900"/>
              </a:solidFill>
              <a:ln cmpd="sng">
                <a:solidFill>
                  <a:srgbClr val="000000"/>
                </a:solidFill>
              </a:ln>
            </c:spPr>
          </c:dPt>
          <c:dPt>
            <c:idx val="15"/>
            <c:spPr>
              <a:solidFill>
                <a:srgbClr val="FF9900"/>
              </a:solidFill>
              <a:ln cmpd="sng">
                <a:solidFill>
                  <a:srgbClr val="000000"/>
                </a:solidFill>
              </a:ln>
            </c:spPr>
          </c:dPt>
          <c:dPt>
            <c:idx val="16"/>
            <c:spPr>
              <a:solidFill>
                <a:srgbClr val="FF9900"/>
              </a:solidFill>
              <a:ln cmpd="sng">
                <a:solidFill>
                  <a:srgbClr val="000000"/>
                </a:solidFill>
              </a:ln>
            </c:spPr>
          </c:dPt>
          <c:dPt>
            <c:idx val="17"/>
            <c:spPr>
              <a:solidFill>
                <a:srgbClr val="FF9900"/>
              </a:solidFill>
              <a:ln cmpd="sng">
                <a:solidFill>
                  <a:srgbClr val="000000"/>
                </a:solidFill>
              </a:ln>
            </c:spPr>
          </c:dPt>
          <c:dPt>
            <c:idx val="18"/>
            <c:spPr>
              <a:solidFill>
                <a:srgbClr val="FF9900"/>
              </a:solidFill>
              <a:ln cmpd="sng">
                <a:solidFill>
                  <a:srgbClr val="000000"/>
                </a:solidFill>
              </a:ln>
            </c:spPr>
          </c:dPt>
          <c:dPt>
            <c:idx val="19"/>
            <c:spPr>
              <a:solidFill>
                <a:srgbClr val="FF9900"/>
              </a:solidFill>
              <a:ln cmpd="sng">
                <a:solidFill>
                  <a:srgbClr val="000000"/>
                </a:solidFill>
              </a:ln>
            </c:spPr>
          </c:dPt>
          <c:dPt>
            <c:idx val="20"/>
            <c:spPr>
              <a:solidFill>
                <a:srgbClr val="FF9900"/>
              </a:solidFill>
              <a:ln cmpd="sng">
                <a:solidFill>
                  <a:srgbClr val="000000"/>
                </a:solidFill>
              </a:ln>
            </c:spPr>
          </c:dPt>
          <c:dPt>
            <c:idx val="21"/>
            <c:spPr>
              <a:solidFill>
                <a:srgbClr val="FF9900"/>
              </a:solidFill>
              <a:ln cmpd="sng">
                <a:solidFill>
                  <a:srgbClr val="000000"/>
                </a:solidFill>
              </a:ln>
            </c:spPr>
          </c:dPt>
          <c:dPt>
            <c:idx val="22"/>
            <c:spPr>
              <a:solidFill>
                <a:srgbClr val="FF9900"/>
              </a:solidFill>
              <a:ln cmpd="sng">
                <a:solidFill>
                  <a:srgbClr val="000000"/>
                </a:solidFill>
              </a:ln>
            </c:spPr>
          </c:dPt>
          <c:dPt>
            <c:idx val="23"/>
            <c:spPr>
              <a:solidFill>
                <a:srgbClr val="FF9900"/>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Pt>
            <c:idx val="43"/>
            <c:spPr>
              <a:solidFill>
                <a:srgbClr val="8E7CC3"/>
              </a:solidFill>
              <a:ln cmpd="sng">
                <a:solidFill>
                  <a:srgbClr val="000000"/>
                </a:solidFill>
              </a:ln>
            </c:spPr>
          </c:dPt>
          <c:dPt>
            <c:idx val="45"/>
            <c:spPr>
              <a:solidFill>
                <a:srgbClr val="8E7CC3"/>
              </a:solidFill>
              <a:ln cmpd="sng">
                <a:solidFill>
                  <a:srgbClr val="000000"/>
                </a:solidFill>
              </a:ln>
            </c:spPr>
          </c:dPt>
          <c:dPt>
            <c:idx val="46"/>
            <c:spPr>
              <a:solidFill>
                <a:srgbClr val="8E7CC3"/>
              </a:solidFill>
              <a:ln cmpd="sng">
                <a:solidFill>
                  <a:srgbClr val="000000"/>
                </a:solidFill>
              </a:ln>
            </c:spPr>
          </c:dPt>
          <c:dPt>
            <c:idx val="47"/>
            <c:spPr>
              <a:solidFill>
                <a:srgbClr val="8E7CC3"/>
              </a:solidFill>
              <a:ln cmpd="sng">
                <a:solidFill>
                  <a:srgbClr val="000000"/>
                </a:solidFill>
              </a:ln>
            </c:spPr>
          </c:dPt>
          <c:dPt>
            <c:idx val="48"/>
            <c:spPr>
              <a:solidFill>
                <a:srgbClr val="8E7CC3"/>
              </a:solidFill>
              <a:ln cmpd="sng">
                <a:solidFill>
                  <a:srgbClr val="000000"/>
                </a:solidFill>
              </a:ln>
            </c:spPr>
          </c:dPt>
          <c:dPt>
            <c:idx val="49"/>
            <c:spPr>
              <a:solidFill>
                <a:srgbClr val="8E7CC3"/>
              </a:solidFill>
              <a:ln cmpd="sng">
                <a:solidFill>
                  <a:srgbClr val="000000"/>
                </a:solidFill>
              </a:ln>
            </c:spPr>
          </c:dPt>
          <c:dPt>
            <c:idx val="50"/>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'9º Ano - 902'!$E$75:$E$125</c:f>
            </c:strRef>
          </c:cat>
          <c:val>
            <c:numRef>
              <c:f>'9º Ano - 902'!$G$75:$G$125</c:f>
              <c:numCache/>
            </c:numRef>
          </c:val>
        </c:ser>
        <c:axId val="674295048"/>
        <c:axId val="1337097781"/>
      </c:barChart>
      <c:catAx>
        <c:axId val="674295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1337097781"/>
      </c:catAx>
      <c:valAx>
        <c:axId val="1337097781"/>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74295048"/>
      </c:valAx>
    </c:plotArea>
    <c:plotVisOnly val="1"/>
  </c:chart>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73763"/>
                </a:solidFill>
                <a:latin typeface="+mn-lt"/>
              </a:defRPr>
            </a:pPr>
            <a:r>
              <a:rPr b="1" i="0" sz="2000">
                <a:solidFill>
                  <a:srgbClr val="073763"/>
                </a:solidFill>
                <a:latin typeface="+mn-lt"/>
              </a:rPr>
              <a:t>PERFIL DA TURMA - EM NÚMEROS</a:t>
            </a:r>
          </a:p>
        </c:rich>
      </c:tx>
      <c:layout>
        <c:manualLayout>
          <c:xMode val="edge"/>
          <c:yMode val="edge"/>
          <c:x val="0.022127329192546584"/>
          <c:y val="0.05598159509202454"/>
        </c:manualLayout>
      </c:layout>
      <c:overlay val="0"/>
    </c:title>
    <c:plotArea>
      <c:layout/>
      <c:barChart>
        <c:barDir val="col"/>
        <c:ser>
          <c:idx val="0"/>
          <c:order val="0"/>
          <c:spPr>
            <a:solidFill>
              <a:srgbClr val="073763"/>
            </a:solidFill>
            <a:ln cmpd="sng">
              <a:solidFill>
                <a:srgbClr val="000000"/>
              </a:solidFill>
            </a:ln>
          </c:spPr>
          <c:dPt>
            <c:idx val="0"/>
            <c:spPr>
              <a:solidFill>
                <a:srgbClr val="073763"/>
              </a:solidFill>
              <a:ln cmpd="sng">
                <a:solidFill>
                  <a:srgbClr val="000000"/>
                </a:solidFill>
              </a:ln>
            </c:spPr>
          </c:dPt>
          <c:dPt>
            <c:idx val="1"/>
            <c:spPr>
              <a:solidFill>
                <a:srgbClr val="073763"/>
              </a:solidFill>
              <a:ln cmpd="sng">
                <a:solidFill>
                  <a:srgbClr val="000000"/>
                </a:solidFill>
              </a:ln>
            </c:spPr>
          </c:dPt>
          <c:dPt>
            <c:idx val="2"/>
            <c:spPr>
              <a:solidFill>
                <a:srgbClr val="073763"/>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- 902'!$A$17:$A$20</c:f>
            </c:strRef>
          </c:cat>
          <c:val>
            <c:numRef>
              <c:f>'9º Ano - 902'!$B$17:$B$20</c:f>
              <c:numCache/>
            </c:numRef>
          </c:val>
        </c:ser>
        <c:ser>
          <c:idx val="1"/>
          <c:order val="1"/>
          <c:cat>
            <c:strRef>
              <c:f>'9º Ano - 902'!$A$17:$A$20</c:f>
            </c:strRef>
          </c:cat>
          <c:val>
            <c:numRef>
              <c:f>'9º Ano - 902'!$C$17:$C$20</c:f>
              <c:numCache/>
            </c:numRef>
          </c:val>
        </c:ser>
        <c:axId val="2109551611"/>
        <c:axId val="739003777"/>
      </c:barChart>
      <c:catAx>
        <c:axId val="2109551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39003777"/>
      </c:catAx>
      <c:valAx>
        <c:axId val="7390037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109551611"/>
      </c:valAx>
    </c:plotArea>
    <c:plotVisOnly val="1"/>
  </c:chart>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EM %</a:t>
            </a:r>
          </a:p>
        </c:rich>
      </c:tx>
      <c:overlay val="0"/>
    </c:title>
    <c:plotArea>
      <c:layout/>
      <c:barChart>
        <c:barDir val="col"/>
        <c:ser>
          <c:idx val="0"/>
          <c:order val="0"/>
          <c:tx>
            <c:strRef>
              <c:f>'9º Ano - 902'!$E$134:$E$135</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- 902'!$F$136:$F$139</c:f>
            </c:strRef>
          </c:cat>
          <c:val>
            <c:numRef>
              <c:f>'9º Ano - 902'!$E$136:$E$139</c:f>
              <c:numCache/>
            </c:numRef>
          </c:val>
        </c:ser>
        <c:axId val="1396192023"/>
        <c:axId val="1844242193"/>
      </c:barChart>
      <c:catAx>
        <c:axId val="13961920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44242193"/>
      </c:catAx>
      <c:valAx>
        <c:axId val="18442421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396192023"/>
      </c:valAx>
    </c:plotArea>
    <c:plotVisOnly val="1"/>
  </c:chart>
</c:chartSpace>
</file>

<file path=xl/charts/chart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layout>
        <c:manualLayout>
          <c:xMode val="edge"/>
          <c:yMode val="edge"/>
          <c:x val="0.029192546583850933"/>
          <c:y val="0.055952380952380955"/>
        </c:manualLayout>
      </c:layout>
      <c:overlay val="0"/>
    </c:title>
    <c:plotArea>
      <c:layout/>
      <c:barChart>
        <c:barDir val="col"/>
        <c:ser>
          <c:idx val="0"/>
          <c:order val="0"/>
          <c:tx>
            <c:strRef>
              <c:f>'9º Ano - 902'!$E$141:$E$142</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- 902'!$F$143:$F$146</c:f>
            </c:strRef>
          </c:cat>
          <c:val>
            <c:numRef>
              <c:f>'9º Ano - 902'!$E$143:$E$146</c:f>
              <c:numCache/>
            </c:numRef>
          </c:val>
        </c:ser>
        <c:axId val="1098276659"/>
        <c:axId val="46443876"/>
      </c:barChart>
      <c:catAx>
        <c:axId val="10982766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6443876"/>
      </c:catAx>
      <c:valAx>
        <c:axId val="464438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098276659"/>
      </c:valAx>
    </c:plotArea>
    <c:plotVisOnly val="1"/>
  </c:chart>
</c:chartSpace>
</file>

<file path=xl/charts/chart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9900"/>
                </a:solidFill>
                <a:latin typeface="+mn-lt"/>
              </a:defRPr>
            </a:pPr>
            <a:r>
              <a:rPr b="1" i="0" sz="2000">
                <a:solidFill>
                  <a:srgbClr val="FF9900"/>
                </a:solidFill>
                <a:latin typeface="+mn-lt"/>
              </a:rPr>
              <a:t>PADRÃO DE DESEMPENHO - PRODUÇÃO TEXTUAL - EM %</a:t>
            </a:r>
          </a:p>
        </c:rich>
      </c:tx>
      <c:overlay val="0"/>
    </c:title>
    <c:plotArea>
      <c:layout/>
      <c:barChart>
        <c:barDir val="col"/>
        <c:ser>
          <c:idx val="0"/>
          <c:order val="0"/>
          <c:tx>
            <c:strRef>
              <c:f>'9º Ano - 902'!$E$127:$E$128</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- 902'!$F$129:$F$132</c:f>
            </c:strRef>
          </c:cat>
          <c:val>
            <c:numRef>
              <c:f>'9º Ano - 902'!$E$129:$E$132</c:f>
              <c:numCache/>
            </c:numRef>
          </c:val>
        </c:ser>
        <c:ser>
          <c:idx val="1"/>
          <c:order val="1"/>
          <c:tx>
            <c:strRef>
              <c:f>'9º Ano - 902'!$F$127:$F$128</c:f>
            </c:strRef>
          </c:tx>
          <c:cat>
            <c:strRef>
              <c:f>'9º Ano - 902'!$F$129:$F$132</c:f>
            </c:strRef>
          </c:cat>
          <c:val>
            <c:numRef>
              <c:f>'9º Ano - 902'!$F$129:$F$132</c:f>
              <c:numCache/>
            </c:numRef>
          </c:val>
        </c:ser>
        <c:ser>
          <c:idx val="2"/>
          <c:order val="2"/>
          <c:tx>
            <c:strRef>
              <c:f>'9º Ano - 902'!$G$127:$G$128</c:f>
            </c:strRef>
          </c:tx>
          <c:cat>
            <c:strRef>
              <c:f>'9º Ano - 902'!$F$129:$F$132</c:f>
            </c:strRef>
          </c:cat>
          <c:val>
            <c:numRef>
              <c:f>'9º Ano - 902'!$G$129:$G$132</c:f>
              <c:numCache/>
            </c:numRef>
          </c:val>
        </c:ser>
        <c:ser>
          <c:idx val="3"/>
          <c:order val="3"/>
          <c:tx>
            <c:strRef>
              <c:f>'9º Ano - 902'!$H$127:$H$128</c:f>
            </c:strRef>
          </c:tx>
          <c:cat>
            <c:strRef>
              <c:f>'9º Ano - 902'!$F$129:$F$132</c:f>
            </c:strRef>
          </c:cat>
          <c:val>
            <c:numRef>
              <c:f>'9º Ano - 902'!$H$129:$H$132</c:f>
              <c:numCache/>
            </c:numRef>
          </c:val>
        </c:ser>
        <c:ser>
          <c:idx val="4"/>
          <c:order val="4"/>
          <c:tx>
            <c:strRef>
              <c:f>'9º Ano - 902'!$I$127:$I$128</c:f>
            </c:strRef>
          </c:tx>
          <c:cat>
            <c:strRef>
              <c:f>'9º Ano - 902'!$F$129:$F$132</c:f>
            </c:strRef>
          </c:cat>
          <c:val>
            <c:numRef>
              <c:f>'9º Ano - 902'!$I$129:$I$132</c:f>
              <c:numCache/>
            </c:numRef>
          </c:val>
        </c:ser>
        <c:axId val="1602924909"/>
        <c:axId val="1342715032"/>
      </c:barChart>
      <c:catAx>
        <c:axId val="16029249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42715032"/>
      </c:catAx>
      <c:valAx>
        <c:axId val="13427150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02924909"/>
      </c:valAx>
    </c:plotArea>
    <c:plotVisOnly val="1"/>
  </c:chart>
</c:chartSpace>
</file>

<file path=xl/charts/chart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'9º Ano - 902'!$AO$74</c:f>
            </c:strRef>
          </c:tx>
          <c:spPr>
            <a:solidFill>
              <a:schemeClr val="accent1"/>
            </a:solidFill>
            <a:ln cmpd="sng">
              <a:solidFill>
                <a:srgbClr val="000000"/>
              </a:solidFill>
            </a:ln>
          </c:spPr>
          <c:cat>
            <c:strRef>
              <c:f>'9º Ano - 902'!$AM$75:$AM$125</c:f>
            </c:strRef>
          </c:cat>
          <c:val>
            <c:numRef>
              <c:f>'9º Ano - 902'!$AO$75:$AO$125</c:f>
              <c:numCache/>
            </c:numRef>
          </c:val>
        </c:ser>
        <c:ser>
          <c:idx val="1"/>
          <c:order val="1"/>
          <c:tx>
            <c:strRef>
              <c:f>'9º Ano - 902'!$AQ$74</c:f>
            </c:strRef>
          </c:tx>
          <c:spPr>
            <a:solidFill>
              <a:schemeClr val="accent2"/>
            </a:solidFill>
            <a:ln cmpd="sng">
              <a:solidFill>
                <a:srgbClr val="000000"/>
              </a:solidFill>
            </a:ln>
          </c:spPr>
          <c:cat>
            <c:strRef>
              <c:f>'9º Ano - 902'!$AM$75:$AM$125</c:f>
            </c:strRef>
          </c:cat>
          <c:val>
            <c:numRef>
              <c:f>'9º Ano - 902'!$AQ$75:$AQ$125</c:f>
              <c:numCache/>
            </c:numRef>
          </c:val>
        </c:ser>
        <c:ser>
          <c:idx val="2"/>
          <c:order val="2"/>
          <c:tx>
            <c:strRef>
              <c:f>'9º Ano - 902'!$AS$74</c:f>
            </c:strRef>
          </c:tx>
          <c:spPr>
            <a:solidFill>
              <a:schemeClr val="accent3"/>
            </a:solidFill>
            <a:ln cmpd="sng">
              <a:solidFill>
                <a:srgbClr val="000000"/>
              </a:solidFill>
            </a:ln>
          </c:spPr>
          <c:cat>
            <c:strRef>
              <c:f>'9º Ano - 902'!$AM$75:$AM$125</c:f>
            </c:strRef>
          </c:cat>
          <c:val>
            <c:numRef>
              <c:f>'9º Ano - 902'!$AS$75:$AS$125</c:f>
              <c:numCache/>
            </c:numRef>
          </c:val>
        </c:ser>
        <c:ser>
          <c:idx val="3"/>
          <c:order val="3"/>
          <c:tx>
            <c:strRef>
              <c:f>'9º Ano - 902'!$AU$74</c:f>
            </c:strRef>
          </c:tx>
          <c:spPr>
            <a:solidFill>
              <a:schemeClr val="accent4"/>
            </a:solidFill>
            <a:ln cmpd="sng">
              <a:solidFill>
                <a:srgbClr val="000000"/>
              </a:solidFill>
            </a:ln>
          </c:spPr>
          <c:cat>
            <c:strRef>
              <c:f>'9º Ano - 902'!$AM$75:$AM$125</c:f>
            </c:strRef>
          </c:cat>
          <c:val>
            <c:numRef>
              <c:f>'9º Ano - 902'!$AU$75:$AU$125</c:f>
              <c:numCache/>
            </c:numRef>
          </c:val>
        </c:ser>
        <c:overlap val="100"/>
        <c:axId val="50772610"/>
        <c:axId val="1357147170"/>
      </c:barChart>
      <c:catAx>
        <c:axId val="507726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57147170"/>
      </c:catAx>
      <c:valAx>
        <c:axId val="13571471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50772610"/>
      </c:valAx>
    </c:plotArea>
    <c:legend>
      <c:legendPos val="b"/>
      <c:overlay val="0"/>
      <c:txPr>
        <a:bodyPr/>
        <a:lstStyle/>
        <a:p>
          <a:pPr lvl="0">
            <a:defRPr b="0" i="0">
              <a:solidFill>
                <a:srgbClr val="1A1A1A"/>
              </a:solidFill>
              <a:latin typeface="+mn-lt"/>
            </a:defRPr>
          </a:pPr>
        </a:p>
      </c:txPr>
    </c:legend>
    <c:plotVisOnly val="1"/>
  </c:chart>
</c:chartSpace>
</file>

<file path=xl/charts/chart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 RELAÇÃO QUESTÕES X DESCRITORES - EM %</a:t>
            </a:r>
          </a:p>
        </c:rich>
      </c:tx>
      <c:layout>
        <c:manualLayout>
          <c:xMode val="edge"/>
          <c:yMode val="edge"/>
          <c:x val="0.016693531199150492"/>
          <c:y val="0.04130638305699021"/>
        </c:manualLayout>
      </c:layout>
      <c:overlay val="0"/>
    </c:title>
    <c:plotArea>
      <c:layout/>
      <c:barChart>
        <c:barDir val="col"/>
        <c:ser>
          <c:idx val="0"/>
          <c:order val="0"/>
          <c:spPr>
            <a:solidFill>
              <a:srgbClr val="8E7CC3"/>
            </a:solidFill>
            <a:ln cmpd="sng">
              <a:solidFill>
                <a:srgbClr val="000000"/>
              </a:solidFill>
            </a:ln>
          </c:spPr>
          <c:dPt>
            <c:idx val="0"/>
            <c:spPr>
              <a:solidFill>
                <a:srgbClr val="FF9900"/>
              </a:solidFill>
              <a:ln cmpd="sng">
                <a:solidFill>
                  <a:srgbClr val="000000"/>
                </a:solidFill>
              </a:ln>
            </c:spPr>
          </c:dPt>
          <c:dPt>
            <c:idx val="1"/>
            <c:spPr>
              <a:solidFill>
                <a:srgbClr val="FF9900"/>
              </a:solidFill>
              <a:ln cmpd="sng">
                <a:solidFill>
                  <a:srgbClr val="000000"/>
                </a:solidFill>
              </a:ln>
            </c:spPr>
          </c:dPt>
          <c:dPt>
            <c:idx val="2"/>
            <c:spPr>
              <a:solidFill>
                <a:srgbClr val="FF9900"/>
              </a:solidFill>
              <a:ln cmpd="sng">
                <a:solidFill>
                  <a:srgbClr val="000000"/>
                </a:solidFill>
              </a:ln>
            </c:spPr>
          </c:dPt>
          <c:dPt>
            <c:idx val="3"/>
            <c:spPr>
              <a:solidFill>
                <a:srgbClr val="FF9900"/>
              </a:solidFill>
              <a:ln cmpd="sng">
                <a:solidFill>
                  <a:srgbClr val="000000"/>
                </a:solidFill>
              </a:ln>
            </c:spPr>
          </c:dPt>
          <c:dPt>
            <c:idx val="4"/>
            <c:spPr>
              <a:solidFill>
                <a:srgbClr val="FF9900"/>
              </a:solidFill>
              <a:ln cmpd="sng">
                <a:solidFill>
                  <a:srgbClr val="000000"/>
                </a:solidFill>
              </a:ln>
            </c:spPr>
          </c:dPt>
          <c:dPt>
            <c:idx val="5"/>
            <c:spPr>
              <a:solidFill>
                <a:srgbClr val="FF9900"/>
              </a:solidFill>
              <a:ln cmpd="sng">
                <a:solidFill>
                  <a:srgbClr val="000000"/>
                </a:solidFill>
              </a:ln>
            </c:spPr>
          </c:dPt>
          <c:dPt>
            <c:idx val="6"/>
            <c:spPr>
              <a:solidFill>
                <a:srgbClr val="FF9900"/>
              </a:solidFill>
              <a:ln cmpd="sng">
                <a:solidFill>
                  <a:srgbClr val="000000"/>
                </a:solidFill>
              </a:ln>
            </c:spPr>
          </c:dPt>
          <c:dPt>
            <c:idx val="7"/>
            <c:spPr>
              <a:solidFill>
                <a:srgbClr val="FF9900"/>
              </a:solidFill>
              <a:ln cmpd="sng">
                <a:solidFill>
                  <a:srgbClr val="000000"/>
                </a:solidFill>
              </a:ln>
            </c:spPr>
          </c:dPt>
          <c:dPt>
            <c:idx val="8"/>
            <c:spPr>
              <a:solidFill>
                <a:srgbClr val="FF9900"/>
              </a:solidFill>
              <a:ln cmpd="sng">
                <a:solidFill>
                  <a:srgbClr val="000000"/>
                </a:solidFill>
              </a:ln>
            </c:spPr>
          </c:dPt>
          <c:dPt>
            <c:idx val="9"/>
            <c:spPr>
              <a:solidFill>
                <a:srgbClr val="FF9900"/>
              </a:solidFill>
              <a:ln cmpd="sng">
                <a:solidFill>
                  <a:srgbClr val="000000"/>
                </a:solidFill>
              </a:ln>
            </c:spPr>
          </c:dPt>
          <c:dPt>
            <c:idx val="10"/>
            <c:spPr>
              <a:solidFill>
                <a:srgbClr val="FF9900"/>
              </a:solidFill>
              <a:ln cmpd="sng">
                <a:solidFill>
                  <a:srgbClr val="000000"/>
                </a:solidFill>
              </a:ln>
            </c:spPr>
          </c:dPt>
          <c:dPt>
            <c:idx val="11"/>
            <c:spPr>
              <a:solidFill>
                <a:srgbClr val="FF9900"/>
              </a:solidFill>
              <a:ln cmpd="sng">
                <a:solidFill>
                  <a:srgbClr val="000000"/>
                </a:solidFill>
              </a:ln>
            </c:spPr>
          </c:dPt>
          <c:dPt>
            <c:idx val="12"/>
            <c:spPr>
              <a:solidFill>
                <a:srgbClr val="FF9900"/>
              </a:solidFill>
              <a:ln cmpd="sng">
                <a:solidFill>
                  <a:srgbClr val="000000"/>
                </a:solidFill>
              </a:ln>
            </c:spPr>
          </c:dPt>
          <c:dPt>
            <c:idx val="13"/>
            <c:spPr>
              <a:solidFill>
                <a:srgbClr val="FF9900"/>
              </a:solidFill>
              <a:ln cmpd="sng">
                <a:solidFill>
                  <a:srgbClr val="000000"/>
                </a:solidFill>
              </a:ln>
            </c:spPr>
          </c:dPt>
          <c:dPt>
            <c:idx val="14"/>
            <c:spPr>
              <a:solidFill>
                <a:srgbClr val="FF9900"/>
              </a:solidFill>
              <a:ln cmpd="sng">
                <a:solidFill>
                  <a:srgbClr val="000000"/>
                </a:solidFill>
              </a:ln>
            </c:spPr>
          </c:dPt>
          <c:dPt>
            <c:idx val="15"/>
            <c:spPr>
              <a:solidFill>
                <a:srgbClr val="FF9900"/>
              </a:solidFill>
              <a:ln cmpd="sng">
                <a:solidFill>
                  <a:srgbClr val="000000"/>
                </a:solidFill>
              </a:ln>
            </c:spPr>
          </c:dPt>
          <c:dPt>
            <c:idx val="16"/>
            <c:spPr>
              <a:solidFill>
                <a:srgbClr val="FF9900"/>
              </a:solidFill>
              <a:ln cmpd="sng">
                <a:solidFill>
                  <a:srgbClr val="000000"/>
                </a:solidFill>
              </a:ln>
            </c:spPr>
          </c:dPt>
          <c:dPt>
            <c:idx val="17"/>
            <c:spPr>
              <a:solidFill>
                <a:srgbClr val="FF9900"/>
              </a:solidFill>
              <a:ln cmpd="sng">
                <a:solidFill>
                  <a:srgbClr val="000000"/>
                </a:solidFill>
              </a:ln>
            </c:spPr>
          </c:dPt>
          <c:dPt>
            <c:idx val="18"/>
            <c:spPr>
              <a:solidFill>
                <a:srgbClr val="FF9900"/>
              </a:solidFill>
              <a:ln cmpd="sng">
                <a:solidFill>
                  <a:srgbClr val="000000"/>
                </a:solidFill>
              </a:ln>
            </c:spPr>
          </c:dPt>
          <c:dPt>
            <c:idx val="19"/>
            <c:spPr>
              <a:solidFill>
                <a:srgbClr val="FF9900"/>
              </a:solidFill>
              <a:ln cmpd="sng">
                <a:solidFill>
                  <a:srgbClr val="000000"/>
                </a:solidFill>
              </a:ln>
            </c:spPr>
          </c:dPt>
          <c:dPt>
            <c:idx val="20"/>
            <c:spPr>
              <a:solidFill>
                <a:srgbClr val="FF9900"/>
              </a:solidFill>
              <a:ln cmpd="sng">
                <a:solidFill>
                  <a:srgbClr val="000000"/>
                </a:solidFill>
              </a:ln>
            </c:spPr>
          </c:dPt>
          <c:dPt>
            <c:idx val="21"/>
            <c:spPr>
              <a:solidFill>
                <a:srgbClr val="FF9900"/>
              </a:solidFill>
              <a:ln cmpd="sng">
                <a:solidFill>
                  <a:srgbClr val="000000"/>
                </a:solidFill>
              </a:ln>
            </c:spPr>
          </c:dPt>
          <c:dPt>
            <c:idx val="22"/>
            <c:spPr>
              <a:solidFill>
                <a:srgbClr val="FF9900"/>
              </a:solidFill>
              <a:ln cmpd="sng">
                <a:solidFill>
                  <a:srgbClr val="000000"/>
                </a:solidFill>
              </a:ln>
            </c:spPr>
          </c:dPt>
          <c:dPt>
            <c:idx val="23"/>
            <c:spPr>
              <a:solidFill>
                <a:srgbClr val="FF9900"/>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Pt>
            <c:idx val="43"/>
            <c:spPr>
              <a:solidFill>
                <a:srgbClr val="8E7CC3"/>
              </a:solidFill>
              <a:ln cmpd="sng">
                <a:solidFill>
                  <a:srgbClr val="000000"/>
                </a:solidFill>
              </a:ln>
            </c:spPr>
          </c:dPt>
          <c:dPt>
            <c:idx val="45"/>
            <c:spPr>
              <a:solidFill>
                <a:srgbClr val="8E7CC3"/>
              </a:solidFill>
              <a:ln cmpd="sng">
                <a:solidFill>
                  <a:srgbClr val="000000"/>
                </a:solidFill>
              </a:ln>
            </c:spPr>
          </c:dPt>
          <c:dPt>
            <c:idx val="46"/>
            <c:spPr>
              <a:solidFill>
                <a:srgbClr val="8E7CC3"/>
              </a:solidFill>
              <a:ln cmpd="sng">
                <a:solidFill>
                  <a:srgbClr val="000000"/>
                </a:solidFill>
              </a:ln>
            </c:spPr>
          </c:dPt>
          <c:dPt>
            <c:idx val="47"/>
            <c:spPr>
              <a:solidFill>
                <a:srgbClr val="8E7CC3"/>
              </a:solidFill>
              <a:ln cmpd="sng">
                <a:solidFill>
                  <a:srgbClr val="000000"/>
                </a:solidFill>
              </a:ln>
            </c:spPr>
          </c:dPt>
          <c:dPt>
            <c:idx val="48"/>
            <c:spPr>
              <a:solidFill>
                <a:srgbClr val="8E7CC3"/>
              </a:solidFill>
              <a:ln cmpd="sng">
                <a:solidFill>
                  <a:srgbClr val="000000"/>
                </a:solidFill>
              </a:ln>
            </c:spPr>
          </c:dPt>
          <c:dPt>
            <c:idx val="49"/>
            <c:spPr>
              <a:solidFill>
                <a:srgbClr val="8E7CC3"/>
              </a:solidFill>
              <a:ln cmpd="sng">
                <a:solidFill>
                  <a:srgbClr val="000000"/>
                </a:solidFill>
              </a:ln>
            </c:spPr>
          </c:dPt>
          <c:dPt>
            <c:idx val="50"/>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'9º Ano - 903'!$E$75:$E$125</c:f>
            </c:strRef>
          </c:cat>
          <c:val>
            <c:numRef>
              <c:f>'9º Ano - 903'!$G$75:$G$125</c:f>
              <c:numCache/>
            </c:numRef>
          </c:val>
        </c:ser>
        <c:axId val="1129363875"/>
        <c:axId val="474297993"/>
      </c:barChart>
      <c:catAx>
        <c:axId val="11293638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474297993"/>
      </c:catAx>
      <c:valAx>
        <c:axId val="474297993"/>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29363875"/>
      </c:valAx>
    </c:plotArea>
    <c:plotVisOnly val="1"/>
  </c:chart>
</c:chartSpace>
</file>

<file path=xl/charts/chart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73763"/>
                </a:solidFill>
                <a:latin typeface="+mn-lt"/>
              </a:defRPr>
            </a:pPr>
            <a:r>
              <a:rPr b="1" i="0" sz="2000">
                <a:solidFill>
                  <a:srgbClr val="073763"/>
                </a:solidFill>
                <a:latin typeface="+mn-lt"/>
              </a:rPr>
              <a:t>PERFIL DA TURMA - EM NÚMEROS</a:t>
            </a:r>
          </a:p>
        </c:rich>
      </c:tx>
      <c:layout>
        <c:manualLayout>
          <c:xMode val="edge"/>
          <c:yMode val="edge"/>
          <c:x val="0.022127329192546584"/>
          <c:y val="0.05598159509202454"/>
        </c:manualLayout>
      </c:layout>
      <c:overlay val="0"/>
    </c:title>
    <c:plotArea>
      <c:layout/>
      <c:barChart>
        <c:barDir val="col"/>
        <c:ser>
          <c:idx val="0"/>
          <c:order val="0"/>
          <c:spPr>
            <a:solidFill>
              <a:srgbClr val="073763"/>
            </a:solidFill>
            <a:ln cmpd="sng">
              <a:solidFill>
                <a:srgbClr val="000000"/>
              </a:solidFill>
            </a:ln>
          </c:spPr>
          <c:dPt>
            <c:idx val="0"/>
            <c:spPr>
              <a:solidFill>
                <a:srgbClr val="073763"/>
              </a:solidFill>
              <a:ln cmpd="sng">
                <a:solidFill>
                  <a:srgbClr val="000000"/>
                </a:solidFill>
              </a:ln>
            </c:spPr>
          </c:dPt>
          <c:dPt>
            <c:idx val="1"/>
            <c:spPr>
              <a:solidFill>
                <a:srgbClr val="073763"/>
              </a:solidFill>
              <a:ln cmpd="sng">
                <a:solidFill>
                  <a:srgbClr val="000000"/>
                </a:solidFill>
              </a:ln>
            </c:spPr>
          </c:dPt>
          <c:dPt>
            <c:idx val="2"/>
            <c:spPr>
              <a:solidFill>
                <a:srgbClr val="073763"/>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- 903'!$A$17:$A$20</c:f>
            </c:strRef>
          </c:cat>
          <c:val>
            <c:numRef>
              <c:f>'9º Ano - 903'!$B$17:$B$20</c:f>
              <c:numCache/>
            </c:numRef>
          </c:val>
        </c:ser>
        <c:ser>
          <c:idx val="1"/>
          <c:order val="1"/>
          <c:cat>
            <c:strRef>
              <c:f>'9º Ano - 903'!$A$17:$A$20</c:f>
            </c:strRef>
          </c:cat>
          <c:val>
            <c:numRef>
              <c:f>'9º Ano - 903'!$C$17:$C$20</c:f>
              <c:numCache/>
            </c:numRef>
          </c:val>
        </c:ser>
        <c:axId val="433411475"/>
        <c:axId val="1307808090"/>
      </c:barChart>
      <c:catAx>
        <c:axId val="4334114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07808090"/>
      </c:catAx>
      <c:valAx>
        <c:axId val="1307808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33411475"/>
      </c:valAx>
    </c:plotArea>
    <c:plotVisOnly val="1"/>
  </c:chart>
</c:chartSpace>
</file>

<file path=xl/charts/chart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EM %</a:t>
            </a:r>
          </a:p>
        </c:rich>
      </c:tx>
      <c:overlay val="0"/>
    </c:title>
    <c:plotArea>
      <c:layout/>
      <c:barChart>
        <c:barDir val="col"/>
        <c:ser>
          <c:idx val="0"/>
          <c:order val="0"/>
          <c:tx>
            <c:strRef>
              <c:f>'9º Ano - 903'!$E$134:$E$135</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- 903'!$F$136:$F$139</c:f>
            </c:strRef>
          </c:cat>
          <c:val>
            <c:numRef>
              <c:f>'9º Ano - 903'!$E$136:$E$139</c:f>
              <c:numCache/>
            </c:numRef>
          </c:val>
        </c:ser>
        <c:axId val="643089879"/>
        <c:axId val="965901032"/>
      </c:barChart>
      <c:catAx>
        <c:axId val="643089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965901032"/>
      </c:catAx>
      <c:valAx>
        <c:axId val="9659010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43089879"/>
      </c:valAx>
    </c:plotArea>
    <c:plotVisOnly val="1"/>
  </c:chart>
</c:chartSpace>
</file>

<file path=xl/charts/chart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layout>
        <c:manualLayout>
          <c:xMode val="edge"/>
          <c:yMode val="edge"/>
          <c:x val="0.029192546583850933"/>
          <c:y val="0.055952380952380955"/>
        </c:manualLayout>
      </c:layout>
      <c:overlay val="0"/>
    </c:title>
    <c:plotArea>
      <c:layout/>
      <c:barChart>
        <c:barDir val="col"/>
        <c:ser>
          <c:idx val="0"/>
          <c:order val="0"/>
          <c:tx>
            <c:strRef>
              <c:f>'9º Ano - 903'!$E$141:$E$142</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- 903'!$F$143:$F$146</c:f>
            </c:strRef>
          </c:cat>
          <c:val>
            <c:numRef>
              <c:f>'9º Ano - 903'!$E$143:$E$146</c:f>
              <c:numCache/>
            </c:numRef>
          </c:val>
        </c:ser>
        <c:axId val="1429817724"/>
        <c:axId val="719698062"/>
      </c:barChart>
      <c:catAx>
        <c:axId val="14298177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19698062"/>
      </c:catAx>
      <c:valAx>
        <c:axId val="719698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29817724"/>
      </c:valAx>
    </c:plotArea>
    <c:plotVisOnly val="1"/>
  </c:chart>
</c:chartSpace>
</file>

<file path=xl/charts/chart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9900"/>
                </a:solidFill>
                <a:latin typeface="+mn-lt"/>
              </a:defRPr>
            </a:pPr>
            <a:r>
              <a:rPr b="1" i="0" sz="2000">
                <a:solidFill>
                  <a:srgbClr val="FF9900"/>
                </a:solidFill>
                <a:latin typeface="+mn-lt"/>
              </a:rPr>
              <a:t>PADRÃO DE DESEMPENHO - PRODUÇÃO TEXTUAL - EM %</a:t>
            </a:r>
          </a:p>
        </c:rich>
      </c:tx>
      <c:overlay val="0"/>
    </c:title>
    <c:plotArea>
      <c:layout/>
      <c:barChart>
        <c:barDir val="col"/>
        <c:ser>
          <c:idx val="0"/>
          <c:order val="0"/>
          <c:tx>
            <c:strRef>
              <c:f>'9º Ano - 903'!$E$127:$E$128</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- 903'!$F$129:$F$132</c:f>
            </c:strRef>
          </c:cat>
          <c:val>
            <c:numRef>
              <c:f>'9º Ano - 903'!$E$129:$E$132</c:f>
              <c:numCache/>
            </c:numRef>
          </c:val>
        </c:ser>
        <c:ser>
          <c:idx val="1"/>
          <c:order val="1"/>
          <c:tx>
            <c:strRef>
              <c:f>'9º Ano - 903'!$F$127:$F$128</c:f>
            </c:strRef>
          </c:tx>
          <c:cat>
            <c:strRef>
              <c:f>'9º Ano - 903'!$F$129:$F$132</c:f>
            </c:strRef>
          </c:cat>
          <c:val>
            <c:numRef>
              <c:f>'9º Ano - 903'!$F$129:$F$132</c:f>
              <c:numCache/>
            </c:numRef>
          </c:val>
        </c:ser>
        <c:ser>
          <c:idx val="2"/>
          <c:order val="2"/>
          <c:tx>
            <c:strRef>
              <c:f>'9º Ano - 903'!$G$127:$G$128</c:f>
            </c:strRef>
          </c:tx>
          <c:cat>
            <c:strRef>
              <c:f>'9º Ano - 903'!$F$129:$F$132</c:f>
            </c:strRef>
          </c:cat>
          <c:val>
            <c:numRef>
              <c:f>'9º Ano - 903'!$G$129:$G$132</c:f>
              <c:numCache/>
            </c:numRef>
          </c:val>
        </c:ser>
        <c:ser>
          <c:idx val="3"/>
          <c:order val="3"/>
          <c:tx>
            <c:strRef>
              <c:f>'9º Ano - 903'!$H$127:$H$128</c:f>
            </c:strRef>
          </c:tx>
          <c:cat>
            <c:strRef>
              <c:f>'9º Ano - 903'!$F$129:$F$132</c:f>
            </c:strRef>
          </c:cat>
          <c:val>
            <c:numRef>
              <c:f>'9º Ano - 903'!$H$129:$H$132</c:f>
              <c:numCache/>
            </c:numRef>
          </c:val>
        </c:ser>
        <c:ser>
          <c:idx val="4"/>
          <c:order val="4"/>
          <c:tx>
            <c:strRef>
              <c:f>'9º Ano - 903'!$I$127:$I$128</c:f>
            </c:strRef>
          </c:tx>
          <c:cat>
            <c:strRef>
              <c:f>'9º Ano - 903'!$F$129:$F$132</c:f>
            </c:strRef>
          </c:cat>
          <c:val>
            <c:numRef>
              <c:f>'9º Ano - 903'!$I$129:$I$132</c:f>
              <c:numCache/>
            </c:numRef>
          </c:val>
        </c:ser>
        <c:axId val="2085026904"/>
        <c:axId val="536522174"/>
      </c:barChart>
      <c:catAx>
        <c:axId val="20850269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36522174"/>
      </c:catAx>
      <c:valAx>
        <c:axId val="536522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85026904"/>
      </c:valAx>
    </c:plotArea>
    <c:plotVisOnly val="1"/>
  </c:chart>
</c:chartSpace>
</file>

<file path=xl/charts/chart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'9º Ano - 903'!$AO$74</c:f>
            </c:strRef>
          </c:tx>
          <c:spPr>
            <a:solidFill>
              <a:schemeClr val="accent1"/>
            </a:solidFill>
            <a:ln cmpd="sng">
              <a:solidFill>
                <a:srgbClr val="000000"/>
              </a:solidFill>
            </a:ln>
          </c:spPr>
          <c:cat>
            <c:strRef>
              <c:f>'9º Ano - 903'!$AM$75:$AM$125</c:f>
            </c:strRef>
          </c:cat>
          <c:val>
            <c:numRef>
              <c:f>'9º Ano - 903'!$AO$75:$AO$125</c:f>
              <c:numCache/>
            </c:numRef>
          </c:val>
        </c:ser>
        <c:ser>
          <c:idx val="1"/>
          <c:order val="1"/>
          <c:tx>
            <c:strRef>
              <c:f>'9º Ano - 903'!$AQ$74</c:f>
            </c:strRef>
          </c:tx>
          <c:spPr>
            <a:solidFill>
              <a:schemeClr val="accent2"/>
            </a:solidFill>
            <a:ln cmpd="sng">
              <a:solidFill>
                <a:srgbClr val="000000"/>
              </a:solidFill>
            </a:ln>
          </c:spPr>
          <c:cat>
            <c:strRef>
              <c:f>'9º Ano - 903'!$AM$75:$AM$125</c:f>
            </c:strRef>
          </c:cat>
          <c:val>
            <c:numRef>
              <c:f>'9º Ano - 903'!$AQ$75:$AQ$125</c:f>
              <c:numCache/>
            </c:numRef>
          </c:val>
        </c:ser>
        <c:ser>
          <c:idx val="2"/>
          <c:order val="2"/>
          <c:tx>
            <c:strRef>
              <c:f>'9º Ano - 903'!$AS$74</c:f>
            </c:strRef>
          </c:tx>
          <c:spPr>
            <a:solidFill>
              <a:schemeClr val="accent3"/>
            </a:solidFill>
            <a:ln cmpd="sng">
              <a:solidFill>
                <a:srgbClr val="000000"/>
              </a:solidFill>
            </a:ln>
          </c:spPr>
          <c:cat>
            <c:strRef>
              <c:f>'9º Ano - 903'!$AM$75:$AM$125</c:f>
            </c:strRef>
          </c:cat>
          <c:val>
            <c:numRef>
              <c:f>'9º Ano - 903'!$AS$75:$AS$125</c:f>
              <c:numCache/>
            </c:numRef>
          </c:val>
        </c:ser>
        <c:ser>
          <c:idx val="3"/>
          <c:order val="3"/>
          <c:tx>
            <c:strRef>
              <c:f>'9º Ano - 903'!$AU$74</c:f>
            </c:strRef>
          </c:tx>
          <c:spPr>
            <a:solidFill>
              <a:schemeClr val="accent4"/>
            </a:solidFill>
            <a:ln cmpd="sng">
              <a:solidFill>
                <a:srgbClr val="000000"/>
              </a:solidFill>
            </a:ln>
          </c:spPr>
          <c:cat>
            <c:strRef>
              <c:f>'9º Ano - 903'!$AM$75:$AM$125</c:f>
            </c:strRef>
          </c:cat>
          <c:val>
            <c:numRef>
              <c:f>'9º Ano - 903'!$AU$75:$AU$125</c:f>
              <c:numCache/>
            </c:numRef>
          </c:val>
        </c:ser>
        <c:overlap val="100"/>
        <c:axId val="1022274472"/>
        <c:axId val="1804590717"/>
      </c:barChart>
      <c:catAx>
        <c:axId val="10222744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04590717"/>
      </c:catAx>
      <c:valAx>
        <c:axId val="18045907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022274472"/>
      </c:valAx>
    </c:plotArea>
    <c:legend>
      <c:legendPos val="b"/>
      <c:overlay val="0"/>
      <c:txPr>
        <a:bodyPr/>
        <a:lstStyle/>
        <a:p>
          <a:pPr lvl="0">
            <a:defRPr b="0" i="0">
              <a:solidFill>
                <a:srgbClr val="1A1A1A"/>
              </a:solidFill>
              <a:latin typeface="+mn-lt"/>
            </a:defRPr>
          </a:pPr>
        </a:p>
      </c:txPr>
    </c:legend>
    <c:plotVisOnly val="1"/>
  </c:chart>
</c:chartSpace>
</file>

<file path=xl/charts/chart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DESEMPENHO - RELAÇÃO QUESTÕES X DESCRITORES - EM %</a:t>
            </a:r>
          </a:p>
        </c:rich>
      </c:tx>
      <c:layout>
        <c:manualLayout>
          <c:xMode val="edge"/>
          <c:yMode val="edge"/>
          <c:x val="0.016693531199150492"/>
          <c:y val="0.04130638305699021"/>
        </c:manualLayout>
      </c:layout>
      <c:overlay val="0"/>
    </c:title>
    <c:plotArea>
      <c:layout/>
      <c:barChart>
        <c:barDir val="col"/>
        <c:ser>
          <c:idx val="0"/>
          <c:order val="0"/>
          <c:spPr>
            <a:solidFill>
              <a:srgbClr val="8E7CC3"/>
            </a:solidFill>
            <a:ln cmpd="sng">
              <a:solidFill>
                <a:srgbClr val="000000"/>
              </a:solidFill>
            </a:ln>
          </c:spPr>
          <c:dPt>
            <c:idx val="0"/>
            <c:spPr>
              <a:solidFill>
                <a:srgbClr val="FF9900"/>
              </a:solidFill>
              <a:ln cmpd="sng">
                <a:solidFill>
                  <a:srgbClr val="000000"/>
                </a:solidFill>
              </a:ln>
            </c:spPr>
          </c:dPt>
          <c:dPt>
            <c:idx val="1"/>
            <c:spPr>
              <a:solidFill>
                <a:srgbClr val="FF9900"/>
              </a:solidFill>
              <a:ln cmpd="sng">
                <a:solidFill>
                  <a:srgbClr val="000000"/>
                </a:solidFill>
              </a:ln>
            </c:spPr>
          </c:dPt>
          <c:dPt>
            <c:idx val="2"/>
            <c:spPr>
              <a:solidFill>
                <a:srgbClr val="FF9900"/>
              </a:solidFill>
              <a:ln cmpd="sng">
                <a:solidFill>
                  <a:srgbClr val="000000"/>
                </a:solidFill>
              </a:ln>
            </c:spPr>
          </c:dPt>
          <c:dPt>
            <c:idx val="3"/>
            <c:spPr>
              <a:solidFill>
                <a:srgbClr val="FF9900"/>
              </a:solidFill>
              <a:ln cmpd="sng">
                <a:solidFill>
                  <a:srgbClr val="000000"/>
                </a:solidFill>
              </a:ln>
            </c:spPr>
          </c:dPt>
          <c:dPt>
            <c:idx val="4"/>
            <c:spPr>
              <a:solidFill>
                <a:srgbClr val="FF9900"/>
              </a:solidFill>
              <a:ln cmpd="sng">
                <a:solidFill>
                  <a:srgbClr val="000000"/>
                </a:solidFill>
              </a:ln>
            </c:spPr>
          </c:dPt>
          <c:dPt>
            <c:idx val="5"/>
            <c:spPr>
              <a:solidFill>
                <a:srgbClr val="FF9900"/>
              </a:solidFill>
              <a:ln cmpd="sng">
                <a:solidFill>
                  <a:srgbClr val="000000"/>
                </a:solidFill>
              </a:ln>
            </c:spPr>
          </c:dPt>
          <c:dPt>
            <c:idx val="6"/>
            <c:spPr>
              <a:solidFill>
                <a:srgbClr val="FF9900"/>
              </a:solidFill>
              <a:ln cmpd="sng">
                <a:solidFill>
                  <a:srgbClr val="000000"/>
                </a:solidFill>
              </a:ln>
            </c:spPr>
          </c:dPt>
          <c:dPt>
            <c:idx val="7"/>
            <c:spPr>
              <a:solidFill>
                <a:srgbClr val="FF9900"/>
              </a:solidFill>
              <a:ln cmpd="sng">
                <a:solidFill>
                  <a:srgbClr val="000000"/>
                </a:solidFill>
              </a:ln>
            </c:spPr>
          </c:dPt>
          <c:dPt>
            <c:idx val="8"/>
            <c:spPr>
              <a:solidFill>
                <a:srgbClr val="FF9900"/>
              </a:solidFill>
              <a:ln cmpd="sng">
                <a:solidFill>
                  <a:srgbClr val="000000"/>
                </a:solidFill>
              </a:ln>
            </c:spPr>
          </c:dPt>
          <c:dPt>
            <c:idx val="9"/>
            <c:spPr>
              <a:solidFill>
                <a:srgbClr val="FF9900"/>
              </a:solidFill>
              <a:ln cmpd="sng">
                <a:solidFill>
                  <a:srgbClr val="000000"/>
                </a:solidFill>
              </a:ln>
            </c:spPr>
          </c:dPt>
          <c:dPt>
            <c:idx val="10"/>
            <c:spPr>
              <a:solidFill>
                <a:srgbClr val="FF9900"/>
              </a:solidFill>
              <a:ln cmpd="sng">
                <a:solidFill>
                  <a:srgbClr val="000000"/>
                </a:solidFill>
              </a:ln>
            </c:spPr>
          </c:dPt>
          <c:dPt>
            <c:idx val="11"/>
            <c:spPr>
              <a:solidFill>
                <a:srgbClr val="FF9900"/>
              </a:solidFill>
              <a:ln cmpd="sng">
                <a:solidFill>
                  <a:srgbClr val="000000"/>
                </a:solidFill>
              </a:ln>
            </c:spPr>
          </c:dPt>
          <c:dPt>
            <c:idx val="12"/>
            <c:spPr>
              <a:solidFill>
                <a:srgbClr val="FF9900"/>
              </a:solidFill>
              <a:ln cmpd="sng">
                <a:solidFill>
                  <a:srgbClr val="000000"/>
                </a:solidFill>
              </a:ln>
            </c:spPr>
          </c:dPt>
          <c:dPt>
            <c:idx val="13"/>
            <c:spPr>
              <a:solidFill>
                <a:srgbClr val="FF9900"/>
              </a:solidFill>
              <a:ln cmpd="sng">
                <a:solidFill>
                  <a:srgbClr val="000000"/>
                </a:solidFill>
              </a:ln>
            </c:spPr>
          </c:dPt>
          <c:dPt>
            <c:idx val="14"/>
            <c:spPr>
              <a:solidFill>
                <a:srgbClr val="FF9900"/>
              </a:solidFill>
              <a:ln cmpd="sng">
                <a:solidFill>
                  <a:srgbClr val="000000"/>
                </a:solidFill>
              </a:ln>
            </c:spPr>
          </c:dPt>
          <c:dPt>
            <c:idx val="15"/>
            <c:spPr>
              <a:solidFill>
                <a:srgbClr val="FF9900"/>
              </a:solidFill>
              <a:ln cmpd="sng">
                <a:solidFill>
                  <a:srgbClr val="000000"/>
                </a:solidFill>
              </a:ln>
            </c:spPr>
          </c:dPt>
          <c:dPt>
            <c:idx val="16"/>
            <c:spPr>
              <a:solidFill>
                <a:srgbClr val="FF9900"/>
              </a:solidFill>
              <a:ln cmpd="sng">
                <a:solidFill>
                  <a:srgbClr val="000000"/>
                </a:solidFill>
              </a:ln>
            </c:spPr>
          </c:dPt>
          <c:dPt>
            <c:idx val="17"/>
            <c:spPr>
              <a:solidFill>
                <a:srgbClr val="FF9900"/>
              </a:solidFill>
              <a:ln cmpd="sng">
                <a:solidFill>
                  <a:srgbClr val="000000"/>
                </a:solidFill>
              </a:ln>
            </c:spPr>
          </c:dPt>
          <c:dPt>
            <c:idx val="18"/>
            <c:spPr>
              <a:solidFill>
                <a:srgbClr val="FF9900"/>
              </a:solidFill>
              <a:ln cmpd="sng">
                <a:solidFill>
                  <a:srgbClr val="000000"/>
                </a:solidFill>
              </a:ln>
            </c:spPr>
          </c:dPt>
          <c:dPt>
            <c:idx val="19"/>
            <c:spPr>
              <a:solidFill>
                <a:srgbClr val="FF9900"/>
              </a:solidFill>
              <a:ln cmpd="sng">
                <a:solidFill>
                  <a:srgbClr val="000000"/>
                </a:solidFill>
              </a:ln>
            </c:spPr>
          </c:dPt>
          <c:dPt>
            <c:idx val="20"/>
            <c:spPr>
              <a:solidFill>
                <a:srgbClr val="FF9900"/>
              </a:solidFill>
              <a:ln cmpd="sng">
                <a:solidFill>
                  <a:srgbClr val="000000"/>
                </a:solidFill>
              </a:ln>
            </c:spPr>
          </c:dPt>
          <c:dPt>
            <c:idx val="21"/>
            <c:spPr>
              <a:solidFill>
                <a:srgbClr val="FF9900"/>
              </a:solidFill>
              <a:ln cmpd="sng">
                <a:solidFill>
                  <a:srgbClr val="000000"/>
                </a:solidFill>
              </a:ln>
            </c:spPr>
          </c:dPt>
          <c:dPt>
            <c:idx val="22"/>
            <c:spPr>
              <a:solidFill>
                <a:srgbClr val="FF9900"/>
              </a:solidFill>
              <a:ln cmpd="sng">
                <a:solidFill>
                  <a:srgbClr val="000000"/>
                </a:solidFill>
              </a:ln>
            </c:spPr>
          </c:dPt>
          <c:dPt>
            <c:idx val="23"/>
            <c:spPr>
              <a:solidFill>
                <a:srgbClr val="FF9900"/>
              </a:solidFill>
              <a:ln cmpd="sng">
                <a:solidFill>
                  <a:srgbClr val="000000"/>
                </a:solidFill>
              </a:ln>
            </c:spPr>
          </c:dPt>
          <c:dPt>
            <c:idx val="24"/>
            <c:spPr>
              <a:solidFill>
                <a:srgbClr val="8E7CC3"/>
              </a:solidFill>
              <a:ln cmpd="sng">
                <a:solidFill>
                  <a:srgbClr val="000000"/>
                </a:solidFill>
              </a:ln>
            </c:spPr>
          </c:dPt>
          <c:dPt>
            <c:idx val="25"/>
            <c:spPr>
              <a:solidFill>
                <a:srgbClr val="8E7CC3"/>
              </a:solidFill>
              <a:ln cmpd="sng">
                <a:solidFill>
                  <a:srgbClr val="000000"/>
                </a:solidFill>
              </a:ln>
            </c:spPr>
          </c:dPt>
          <c:dPt>
            <c:idx val="26"/>
            <c:spPr>
              <a:solidFill>
                <a:srgbClr val="8E7CC3"/>
              </a:solidFill>
              <a:ln cmpd="sng">
                <a:solidFill>
                  <a:srgbClr val="000000"/>
                </a:solidFill>
              </a:ln>
            </c:spPr>
          </c:dPt>
          <c:dPt>
            <c:idx val="27"/>
            <c:spPr>
              <a:solidFill>
                <a:srgbClr val="8E7CC3"/>
              </a:solidFill>
              <a:ln cmpd="sng">
                <a:solidFill>
                  <a:srgbClr val="000000"/>
                </a:solidFill>
              </a:ln>
            </c:spPr>
          </c:dPt>
          <c:dPt>
            <c:idx val="28"/>
            <c:spPr>
              <a:solidFill>
                <a:srgbClr val="8E7CC3"/>
              </a:solidFill>
              <a:ln cmpd="sng">
                <a:solidFill>
                  <a:srgbClr val="000000"/>
                </a:solidFill>
              </a:ln>
            </c:spPr>
          </c:dPt>
          <c:dPt>
            <c:idx val="29"/>
            <c:spPr>
              <a:solidFill>
                <a:srgbClr val="8E7CC3"/>
              </a:solidFill>
              <a:ln cmpd="sng">
                <a:solidFill>
                  <a:srgbClr val="000000"/>
                </a:solidFill>
              </a:ln>
            </c:spPr>
          </c:dPt>
          <c:dPt>
            <c:idx val="30"/>
            <c:spPr>
              <a:solidFill>
                <a:srgbClr val="8E7CC3"/>
              </a:solidFill>
              <a:ln cmpd="sng">
                <a:solidFill>
                  <a:srgbClr val="000000"/>
                </a:solidFill>
              </a:ln>
            </c:spPr>
          </c:dPt>
          <c:dPt>
            <c:idx val="31"/>
            <c:spPr>
              <a:solidFill>
                <a:srgbClr val="8E7CC3"/>
              </a:solidFill>
              <a:ln cmpd="sng">
                <a:solidFill>
                  <a:srgbClr val="000000"/>
                </a:solidFill>
              </a:ln>
            </c:spPr>
          </c:dPt>
          <c:dPt>
            <c:idx val="32"/>
            <c:spPr>
              <a:solidFill>
                <a:srgbClr val="8E7CC3"/>
              </a:solidFill>
              <a:ln cmpd="sng">
                <a:solidFill>
                  <a:srgbClr val="000000"/>
                </a:solidFill>
              </a:ln>
            </c:spPr>
          </c:dPt>
          <c:dPt>
            <c:idx val="33"/>
            <c:spPr>
              <a:solidFill>
                <a:srgbClr val="8E7CC3"/>
              </a:solidFill>
              <a:ln cmpd="sng">
                <a:solidFill>
                  <a:srgbClr val="000000"/>
                </a:solidFill>
              </a:ln>
            </c:spPr>
          </c:dPt>
          <c:dPt>
            <c:idx val="34"/>
            <c:spPr>
              <a:solidFill>
                <a:srgbClr val="8E7CC3"/>
              </a:solidFill>
              <a:ln cmpd="sng">
                <a:solidFill>
                  <a:srgbClr val="000000"/>
                </a:solidFill>
              </a:ln>
            </c:spPr>
          </c:dPt>
          <c:dPt>
            <c:idx val="35"/>
            <c:spPr>
              <a:solidFill>
                <a:srgbClr val="8E7CC3"/>
              </a:solidFill>
              <a:ln cmpd="sng">
                <a:solidFill>
                  <a:srgbClr val="000000"/>
                </a:solidFill>
              </a:ln>
            </c:spPr>
          </c:dPt>
          <c:dPt>
            <c:idx val="36"/>
            <c:spPr>
              <a:solidFill>
                <a:srgbClr val="8E7CC3"/>
              </a:solidFill>
              <a:ln cmpd="sng">
                <a:solidFill>
                  <a:srgbClr val="000000"/>
                </a:solidFill>
              </a:ln>
            </c:spPr>
          </c:dPt>
          <c:dPt>
            <c:idx val="37"/>
            <c:spPr>
              <a:solidFill>
                <a:srgbClr val="8E7CC3"/>
              </a:solidFill>
              <a:ln cmpd="sng">
                <a:solidFill>
                  <a:srgbClr val="000000"/>
                </a:solidFill>
              </a:ln>
            </c:spPr>
          </c:dPt>
          <c:dPt>
            <c:idx val="38"/>
            <c:spPr>
              <a:solidFill>
                <a:srgbClr val="8E7CC3"/>
              </a:solidFill>
              <a:ln cmpd="sng">
                <a:solidFill>
                  <a:srgbClr val="000000"/>
                </a:solidFill>
              </a:ln>
            </c:spPr>
          </c:dPt>
          <c:dPt>
            <c:idx val="39"/>
            <c:spPr>
              <a:solidFill>
                <a:srgbClr val="8E7CC3"/>
              </a:solidFill>
              <a:ln cmpd="sng">
                <a:solidFill>
                  <a:srgbClr val="000000"/>
                </a:solidFill>
              </a:ln>
            </c:spPr>
          </c:dPt>
          <c:dPt>
            <c:idx val="40"/>
            <c:spPr>
              <a:solidFill>
                <a:srgbClr val="8E7CC3"/>
              </a:solidFill>
              <a:ln cmpd="sng">
                <a:solidFill>
                  <a:srgbClr val="000000"/>
                </a:solidFill>
              </a:ln>
            </c:spPr>
          </c:dPt>
          <c:dPt>
            <c:idx val="41"/>
            <c:spPr>
              <a:solidFill>
                <a:srgbClr val="8E7CC3"/>
              </a:solidFill>
              <a:ln cmpd="sng">
                <a:solidFill>
                  <a:srgbClr val="000000"/>
                </a:solidFill>
              </a:ln>
            </c:spPr>
          </c:dPt>
          <c:dPt>
            <c:idx val="42"/>
            <c:spPr>
              <a:solidFill>
                <a:srgbClr val="8E7CC3"/>
              </a:solidFill>
              <a:ln cmpd="sng">
                <a:solidFill>
                  <a:srgbClr val="000000"/>
                </a:solidFill>
              </a:ln>
            </c:spPr>
          </c:dPt>
          <c:dPt>
            <c:idx val="43"/>
            <c:spPr>
              <a:solidFill>
                <a:srgbClr val="8E7CC3"/>
              </a:solidFill>
              <a:ln cmpd="sng">
                <a:solidFill>
                  <a:srgbClr val="000000"/>
                </a:solidFill>
              </a:ln>
            </c:spPr>
          </c:dPt>
          <c:dPt>
            <c:idx val="45"/>
            <c:spPr>
              <a:solidFill>
                <a:srgbClr val="8E7CC3"/>
              </a:solidFill>
              <a:ln cmpd="sng">
                <a:solidFill>
                  <a:srgbClr val="000000"/>
                </a:solidFill>
              </a:ln>
            </c:spPr>
          </c:dPt>
          <c:dPt>
            <c:idx val="46"/>
            <c:spPr>
              <a:solidFill>
                <a:srgbClr val="8E7CC3"/>
              </a:solidFill>
              <a:ln cmpd="sng">
                <a:solidFill>
                  <a:srgbClr val="000000"/>
                </a:solidFill>
              </a:ln>
            </c:spPr>
          </c:dPt>
          <c:dPt>
            <c:idx val="47"/>
            <c:spPr>
              <a:solidFill>
                <a:srgbClr val="8E7CC3"/>
              </a:solidFill>
              <a:ln cmpd="sng">
                <a:solidFill>
                  <a:srgbClr val="000000"/>
                </a:solidFill>
              </a:ln>
            </c:spPr>
          </c:dPt>
          <c:dPt>
            <c:idx val="48"/>
            <c:spPr>
              <a:solidFill>
                <a:srgbClr val="8E7CC3"/>
              </a:solidFill>
              <a:ln cmpd="sng">
                <a:solidFill>
                  <a:srgbClr val="000000"/>
                </a:solidFill>
              </a:ln>
            </c:spPr>
          </c:dPt>
          <c:dPt>
            <c:idx val="49"/>
            <c:spPr>
              <a:solidFill>
                <a:srgbClr val="8E7CC3"/>
              </a:solidFill>
              <a:ln cmpd="sng">
                <a:solidFill>
                  <a:srgbClr val="000000"/>
                </a:solidFill>
              </a:ln>
            </c:spPr>
          </c:dPt>
          <c:dPt>
            <c:idx val="50"/>
            <c:spPr>
              <a:solidFill>
                <a:srgbClr val="8E7CC3"/>
              </a:solidFill>
              <a:ln cmpd="sng">
                <a:solidFill>
                  <a:srgbClr val="000000"/>
                </a:solidFill>
              </a:ln>
            </c:spPr>
          </c:dPt>
          <c:dLbls>
            <c:numFmt formatCode="General" sourceLinked="1"/>
            <c:txPr>
              <a:bodyPr/>
              <a:lstStyle/>
              <a:p>
                <a:pPr lvl="0">
                  <a:defRPr b="1" i="0" sz="1000"/>
                </a:pPr>
              </a:p>
            </c:txPr>
            <c:showLegendKey val="0"/>
            <c:showVal val="1"/>
            <c:showCatName val="0"/>
            <c:showSerName val="0"/>
            <c:showPercent val="0"/>
            <c:showBubbleSize val="0"/>
          </c:dLbls>
          <c:cat>
            <c:strRef>
              <c:f>'9º Ano - 904'!$E$75:$E$125</c:f>
            </c:strRef>
          </c:cat>
          <c:val>
            <c:numRef>
              <c:f>'9º Ano - 904'!$G$75:$G$125</c:f>
              <c:numCache/>
            </c:numRef>
          </c:val>
        </c:ser>
        <c:axId val="491558690"/>
        <c:axId val="1625024162"/>
      </c:barChart>
      <c:catAx>
        <c:axId val="4915586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i="0" sz="1400">
                <a:solidFill>
                  <a:srgbClr val="000000"/>
                </a:solidFill>
                <a:latin typeface="+mn-lt"/>
              </a:defRPr>
            </a:pPr>
          </a:p>
        </c:txPr>
        <c:crossAx val="1625024162"/>
      </c:catAx>
      <c:valAx>
        <c:axId val="1625024162"/>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91558690"/>
      </c:valAx>
    </c:plotArea>
    <c:plotVisOnly val="1"/>
  </c:chart>
</c:chartSpace>
</file>

<file path=xl/charts/chart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73763"/>
                </a:solidFill>
                <a:latin typeface="+mn-lt"/>
              </a:defRPr>
            </a:pPr>
            <a:r>
              <a:rPr b="1" i="0" sz="2000">
                <a:solidFill>
                  <a:srgbClr val="073763"/>
                </a:solidFill>
                <a:latin typeface="+mn-lt"/>
              </a:rPr>
              <a:t>PERFIL DA TURMA - EM NÚMEROS</a:t>
            </a:r>
          </a:p>
        </c:rich>
      </c:tx>
      <c:layout>
        <c:manualLayout>
          <c:xMode val="edge"/>
          <c:yMode val="edge"/>
          <c:x val="0.022127329192546584"/>
          <c:y val="0.05598159509202454"/>
        </c:manualLayout>
      </c:layout>
      <c:overlay val="0"/>
    </c:title>
    <c:plotArea>
      <c:layout/>
      <c:barChart>
        <c:barDir val="col"/>
        <c:ser>
          <c:idx val="0"/>
          <c:order val="0"/>
          <c:spPr>
            <a:solidFill>
              <a:srgbClr val="073763"/>
            </a:solidFill>
            <a:ln cmpd="sng">
              <a:solidFill>
                <a:srgbClr val="000000"/>
              </a:solidFill>
            </a:ln>
          </c:spPr>
          <c:dPt>
            <c:idx val="0"/>
            <c:spPr>
              <a:solidFill>
                <a:srgbClr val="073763"/>
              </a:solidFill>
              <a:ln cmpd="sng">
                <a:solidFill>
                  <a:srgbClr val="000000"/>
                </a:solidFill>
              </a:ln>
            </c:spPr>
          </c:dPt>
          <c:dPt>
            <c:idx val="1"/>
            <c:spPr>
              <a:solidFill>
                <a:srgbClr val="073763"/>
              </a:solidFill>
              <a:ln cmpd="sng">
                <a:solidFill>
                  <a:srgbClr val="000000"/>
                </a:solidFill>
              </a:ln>
            </c:spPr>
          </c:dPt>
          <c:dPt>
            <c:idx val="2"/>
            <c:spPr>
              <a:solidFill>
                <a:srgbClr val="073763"/>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- 904'!$A$17:$A$20</c:f>
            </c:strRef>
          </c:cat>
          <c:val>
            <c:numRef>
              <c:f>'9º Ano - 904'!$B$17:$B$20</c:f>
              <c:numCache/>
            </c:numRef>
          </c:val>
        </c:ser>
        <c:ser>
          <c:idx val="1"/>
          <c:order val="1"/>
          <c:cat>
            <c:strRef>
              <c:f>'9º Ano - 904'!$A$17:$A$20</c:f>
            </c:strRef>
          </c:cat>
          <c:val>
            <c:numRef>
              <c:f>'9º Ano - 904'!$C$17:$C$20</c:f>
              <c:numCache/>
            </c:numRef>
          </c:val>
        </c:ser>
        <c:axId val="1561652757"/>
        <c:axId val="433272299"/>
      </c:barChart>
      <c:catAx>
        <c:axId val="1561652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433272299"/>
      </c:catAx>
      <c:valAx>
        <c:axId val="433272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61652757"/>
      </c:valAx>
    </c:plotArea>
    <c:plotVisOnly val="1"/>
  </c:chart>
</c:chartSpace>
</file>

<file path=xl/charts/chart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FF9900"/>
                </a:solidFill>
                <a:latin typeface="+mn-lt"/>
              </a:defRPr>
            </a:pPr>
            <a:r>
              <a:rPr b="0" i="0" sz="2000">
                <a:solidFill>
                  <a:srgbClr val="FF9900"/>
                </a:solidFill>
                <a:latin typeface="+mn-lt"/>
              </a:rPr>
              <a:t>PADRÃO DE DESEMPENHO - LINGUAGENS EM %</a:t>
            </a:r>
          </a:p>
        </c:rich>
      </c:tx>
      <c:overlay val="0"/>
    </c:title>
    <c:plotArea>
      <c:layout/>
      <c:barChart>
        <c:barDir val="col"/>
        <c:ser>
          <c:idx val="0"/>
          <c:order val="0"/>
          <c:tx>
            <c:strRef>
              <c:f>'9º Ano - 904'!$E$134:$E$135</c:f>
            </c:strRef>
          </c:tx>
          <c:spPr>
            <a:solidFill>
              <a:srgbClr val="FFFF00"/>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- 904'!$F$136:$F$139</c:f>
            </c:strRef>
          </c:cat>
          <c:val>
            <c:numRef>
              <c:f>'9º Ano - 904'!$E$136:$E$139</c:f>
              <c:numCache/>
            </c:numRef>
          </c:val>
        </c:ser>
        <c:axId val="71556937"/>
        <c:axId val="1292039200"/>
      </c:barChart>
      <c:catAx>
        <c:axId val="715569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92039200"/>
      </c:catAx>
      <c:valAx>
        <c:axId val="12920392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1556937"/>
      </c:valAx>
    </c:plotArea>
    <c:plotVisOnly val="1"/>
  </c:chart>
</c:chartSpace>
</file>

<file path=xl/charts/chart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674EA7"/>
                </a:solidFill>
                <a:latin typeface="+mn-lt"/>
              </a:defRPr>
            </a:pPr>
            <a:r>
              <a:rPr b="1" i="0" sz="2000">
                <a:solidFill>
                  <a:srgbClr val="674EA7"/>
                </a:solidFill>
                <a:latin typeface="+mn-lt"/>
              </a:rPr>
              <a:t>PADRÃO DE DESEMPENHO - MATEMÁTICA - EM %</a:t>
            </a:r>
          </a:p>
        </c:rich>
      </c:tx>
      <c:layout>
        <c:manualLayout>
          <c:xMode val="edge"/>
          <c:yMode val="edge"/>
          <c:x val="0.029192546583850933"/>
          <c:y val="0.055952380952380955"/>
        </c:manualLayout>
      </c:layout>
      <c:overlay val="0"/>
    </c:title>
    <c:plotArea>
      <c:layout/>
      <c:barChart>
        <c:barDir val="col"/>
        <c:ser>
          <c:idx val="0"/>
          <c:order val="0"/>
          <c:tx>
            <c:strRef>
              <c:f>'9º Ano - 904'!$E$141:$E$142</c:f>
            </c:strRef>
          </c:tx>
          <c:spPr>
            <a:solidFill>
              <a:srgbClr val="38761D"/>
            </a:solidFill>
            <a:ln cmpd="sng">
              <a:solidFill>
                <a:srgbClr val="000000"/>
              </a:solidFill>
            </a:ln>
          </c:spPr>
          <c:dPt>
            <c:idx val="0"/>
            <c:spPr>
              <a:solidFill>
                <a:srgbClr val="FF0000"/>
              </a:solidFill>
              <a:ln cmpd="sng">
                <a:solidFill>
                  <a:srgbClr val="000000"/>
                </a:solidFill>
              </a:ln>
            </c:spPr>
          </c:dPt>
          <c:dPt>
            <c:idx val="1"/>
            <c:spPr>
              <a:solidFill>
                <a:srgbClr val="FF9900"/>
              </a:solidFill>
              <a:ln cmpd="sng">
                <a:solidFill>
                  <a:srgbClr val="000000"/>
                </a:solidFill>
              </a:ln>
            </c:spPr>
          </c:dPt>
          <c:dPt>
            <c:idx val="2"/>
            <c:spPr>
              <a:solidFill>
                <a:srgbClr val="FFFF00"/>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- 904'!$F$143:$F$146</c:f>
            </c:strRef>
          </c:cat>
          <c:val>
            <c:numRef>
              <c:f>'9º Ano - 904'!$E$143:$E$146</c:f>
              <c:numCache/>
            </c:numRef>
          </c:val>
        </c:ser>
        <c:axId val="2123697607"/>
        <c:axId val="1640323274"/>
      </c:barChart>
      <c:catAx>
        <c:axId val="21236976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640323274"/>
      </c:catAx>
      <c:valAx>
        <c:axId val="1640323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123697607"/>
      </c:valAx>
    </c:plotArea>
    <c:plotVisOnly val="1"/>
  </c:chart>
</c:chartSpace>
</file>

<file path=xl/charts/chart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9900"/>
                </a:solidFill>
                <a:latin typeface="+mn-lt"/>
              </a:defRPr>
            </a:pPr>
            <a:r>
              <a:rPr b="1" i="0" sz="2000">
                <a:solidFill>
                  <a:srgbClr val="FF9900"/>
                </a:solidFill>
                <a:latin typeface="+mn-lt"/>
              </a:rPr>
              <a:t>PADRÃO DE DESEMPENHO - PRODUÇÃO TEXTUAL - EM %</a:t>
            </a:r>
          </a:p>
        </c:rich>
      </c:tx>
      <c:overlay val="0"/>
    </c:title>
    <c:plotArea>
      <c:layout/>
      <c:barChart>
        <c:barDir val="col"/>
        <c:ser>
          <c:idx val="0"/>
          <c:order val="0"/>
          <c:tx>
            <c:strRef>
              <c:f>'9º Ano - 904'!$E$127:$E$128</c:f>
            </c:strRef>
          </c:tx>
          <c:spPr>
            <a:solidFill>
              <a:srgbClr val="FF0000"/>
            </a:solidFill>
            <a:ln cmpd="sng">
              <a:solidFill>
                <a:srgbClr val="000000"/>
              </a:solidFill>
            </a:ln>
          </c:spPr>
          <c:dPt>
            <c:idx val="1"/>
            <c:spPr>
              <a:solidFill>
                <a:srgbClr val="FF9900"/>
              </a:solidFill>
              <a:ln cmpd="sng">
                <a:solidFill>
                  <a:srgbClr val="000000"/>
                </a:solidFill>
              </a:ln>
            </c:spPr>
          </c:dPt>
          <c:dPt>
            <c:idx val="2"/>
            <c:spPr>
              <a:solidFill>
                <a:srgbClr val="FFFF00"/>
              </a:solidFill>
              <a:ln cmpd="sng">
                <a:solidFill>
                  <a:srgbClr val="000000"/>
                </a:solidFill>
              </a:ln>
            </c:spPr>
          </c:dPt>
          <c:dPt>
            <c:idx val="3"/>
            <c:spPr>
              <a:solidFill>
                <a:srgbClr val="6AA84F"/>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'9º Ano - 904'!$F$129:$F$132</c:f>
            </c:strRef>
          </c:cat>
          <c:val>
            <c:numRef>
              <c:f>'9º Ano - 904'!$E$129:$E$132</c:f>
              <c:numCache/>
            </c:numRef>
          </c:val>
        </c:ser>
        <c:ser>
          <c:idx val="1"/>
          <c:order val="1"/>
          <c:tx>
            <c:strRef>
              <c:f>'9º Ano - 904'!$F$127:$F$128</c:f>
            </c:strRef>
          </c:tx>
          <c:cat>
            <c:strRef>
              <c:f>'9º Ano - 904'!$F$129:$F$132</c:f>
            </c:strRef>
          </c:cat>
          <c:val>
            <c:numRef>
              <c:f>'9º Ano - 904'!$F$129:$F$132</c:f>
              <c:numCache/>
            </c:numRef>
          </c:val>
        </c:ser>
        <c:ser>
          <c:idx val="2"/>
          <c:order val="2"/>
          <c:tx>
            <c:strRef>
              <c:f>'9º Ano - 904'!$G$127:$G$128</c:f>
            </c:strRef>
          </c:tx>
          <c:cat>
            <c:strRef>
              <c:f>'9º Ano - 904'!$F$129:$F$132</c:f>
            </c:strRef>
          </c:cat>
          <c:val>
            <c:numRef>
              <c:f>'9º Ano - 904'!$G$129:$G$132</c:f>
              <c:numCache/>
            </c:numRef>
          </c:val>
        </c:ser>
        <c:ser>
          <c:idx val="3"/>
          <c:order val="3"/>
          <c:tx>
            <c:strRef>
              <c:f>'9º Ano - 904'!$H$127:$H$128</c:f>
            </c:strRef>
          </c:tx>
          <c:cat>
            <c:strRef>
              <c:f>'9º Ano - 904'!$F$129:$F$132</c:f>
            </c:strRef>
          </c:cat>
          <c:val>
            <c:numRef>
              <c:f>'9º Ano - 904'!$H$129:$H$132</c:f>
              <c:numCache/>
            </c:numRef>
          </c:val>
        </c:ser>
        <c:ser>
          <c:idx val="4"/>
          <c:order val="4"/>
          <c:tx>
            <c:strRef>
              <c:f>'9º Ano - 904'!$I$127:$I$128</c:f>
            </c:strRef>
          </c:tx>
          <c:cat>
            <c:strRef>
              <c:f>'9º Ano - 904'!$F$129:$F$132</c:f>
            </c:strRef>
          </c:cat>
          <c:val>
            <c:numRef>
              <c:f>'9º Ano - 904'!$I$129:$I$132</c:f>
              <c:numCache/>
            </c:numRef>
          </c:val>
        </c:ser>
        <c:axId val="1220783330"/>
        <c:axId val="1428710271"/>
      </c:barChart>
      <c:catAx>
        <c:axId val="1220783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428710271"/>
      </c:catAx>
      <c:valAx>
        <c:axId val="14287102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220783330"/>
      </c:valAx>
    </c:plotArea>
    <c:plotVisOnly val="1"/>
  </c:chart>
</c:chartSpace>
</file>

<file path=xl/charts/chart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73763"/>
                </a:solidFill>
                <a:latin typeface="+mn-lt"/>
              </a:defRPr>
            </a:pPr>
            <a:r>
              <a:rPr b="1" i="0">
                <a:solidFill>
                  <a:srgbClr val="073763"/>
                </a:solidFill>
                <a:latin typeface="+mn-lt"/>
              </a:rPr>
              <a:t>ANÁLISE DE DISTRATORES - ALTERNATIVAS - EM %</a:t>
            </a:r>
          </a:p>
        </c:rich>
      </c:tx>
      <c:overlay val="0"/>
    </c:title>
    <c:plotArea>
      <c:layout/>
      <c:barChart>
        <c:barDir val="col"/>
        <c:grouping val="percentStacked"/>
        <c:ser>
          <c:idx val="0"/>
          <c:order val="0"/>
          <c:tx>
            <c:strRef>
              <c:f>'9º Ano - 904'!$AO$74</c:f>
            </c:strRef>
          </c:tx>
          <c:spPr>
            <a:solidFill>
              <a:schemeClr val="accent1"/>
            </a:solidFill>
            <a:ln cmpd="sng">
              <a:solidFill>
                <a:srgbClr val="000000"/>
              </a:solidFill>
            </a:ln>
          </c:spPr>
          <c:cat>
            <c:strRef>
              <c:f>'9º Ano - 904'!$AM$75:$AM$125</c:f>
            </c:strRef>
          </c:cat>
          <c:val>
            <c:numRef>
              <c:f>'9º Ano - 904'!$AO$75:$AO$125</c:f>
              <c:numCache/>
            </c:numRef>
          </c:val>
        </c:ser>
        <c:ser>
          <c:idx val="1"/>
          <c:order val="1"/>
          <c:tx>
            <c:strRef>
              <c:f>'9º Ano - 904'!$AQ$74</c:f>
            </c:strRef>
          </c:tx>
          <c:spPr>
            <a:solidFill>
              <a:schemeClr val="accent2"/>
            </a:solidFill>
            <a:ln cmpd="sng">
              <a:solidFill>
                <a:srgbClr val="000000"/>
              </a:solidFill>
            </a:ln>
          </c:spPr>
          <c:cat>
            <c:strRef>
              <c:f>'9º Ano - 904'!$AM$75:$AM$125</c:f>
            </c:strRef>
          </c:cat>
          <c:val>
            <c:numRef>
              <c:f>'9º Ano - 904'!$AQ$75:$AQ$125</c:f>
              <c:numCache/>
            </c:numRef>
          </c:val>
        </c:ser>
        <c:ser>
          <c:idx val="2"/>
          <c:order val="2"/>
          <c:tx>
            <c:strRef>
              <c:f>'9º Ano - 904'!$AS$74</c:f>
            </c:strRef>
          </c:tx>
          <c:spPr>
            <a:solidFill>
              <a:schemeClr val="accent3"/>
            </a:solidFill>
            <a:ln cmpd="sng">
              <a:solidFill>
                <a:srgbClr val="000000"/>
              </a:solidFill>
            </a:ln>
          </c:spPr>
          <c:cat>
            <c:strRef>
              <c:f>'9º Ano - 904'!$AM$75:$AM$125</c:f>
            </c:strRef>
          </c:cat>
          <c:val>
            <c:numRef>
              <c:f>'9º Ano - 904'!$AS$75:$AS$125</c:f>
              <c:numCache/>
            </c:numRef>
          </c:val>
        </c:ser>
        <c:ser>
          <c:idx val="3"/>
          <c:order val="3"/>
          <c:tx>
            <c:strRef>
              <c:f>'9º Ano - 904'!$AU$74</c:f>
            </c:strRef>
          </c:tx>
          <c:spPr>
            <a:solidFill>
              <a:schemeClr val="accent4"/>
            </a:solidFill>
            <a:ln cmpd="sng">
              <a:solidFill>
                <a:srgbClr val="000000"/>
              </a:solidFill>
            </a:ln>
          </c:spPr>
          <c:cat>
            <c:strRef>
              <c:f>'9º Ano - 904'!$AM$75:$AM$125</c:f>
            </c:strRef>
          </c:cat>
          <c:val>
            <c:numRef>
              <c:f>'9º Ano - 904'!$AU$75:$AU$125</c:f>
              <c:numCache/>
            </c:numRef>
          </c:val>
        </c:ser>
        <c:overlap val="100"/>
        <c:axId val="1137480867"/>
        <c:axId val="1969206124"/>
      </c:barChart>
      <c:catAx>
        <c:axId val="11374808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969206124"/>
      </c:catAx>
      <c:valAx>
        <c:axId val="19692061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a:lstStyle/>
          <a:p>
            <a:pPr lvl="0">
              <a:defRPr b="0" i="0">
                <a:solidFill>
                  <a:srgbClr val="000000"/>
                </a:solidFill>
                <a:latin typeface="+mn-lt"/>
              </a:defRPr>
            </a:pPr>
          </a:p>
        </c:txPr>
        <c:crossAx val="1137480867"/>
      </c:valAx>
    </c:plotArea>
    <c:legend>
      <c:legendPos val="b"/>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image" Target="../media/image2.png"/><Relationship Id="rId8"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 Id="rId5" Type="http://schemas.openxmlformats.org/officeDocument/2006/relationships/chart" Target="../charts/chart11.xml"/><Relationship Id="rId6" Type="http://schemas.openxmlformats.org/officeDocument/2006/relationships/chart" Target="../charts/chart12.xml"/><Relationship Id="rId7" Type="http://schemas.openxmlformats.org/officeDocument/2006/relationships/image" Target="../media/image1.png"/><Relationship Id="rId8"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image" Target="../media/image2.png"/><Relationship Id="rId8"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Relationship Id="rId4" Type="http://schemas.openxmlformats.org/officeDocument/2006/relationships/chart" Target="../charts/chart22.xml"/><Relationship Id="rId5" Type="http://schemas.openxmlformats.org/officeDocument/2006/relationships/chart" Target="../charts/chart23.xml"/><Relationship Id="rId6" Type="http://schemas.openxmlformats.org/officeDocument/2006/relationships/chart" Target="../charts/chart24.xml"/><Relationship Id="rId7" Type="http://schemas.openxmlformats.org/officeDocument/2006/relationships/image" Target="../media/image2.png"/><Relationship Id="rId8"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 Id="rId3" Type="http://schemas.openxmlformats.org/officeDocument/2006/relationships/chart" Target="../charts/chart27.xml"/><Relationship Id="rId4" Type="http://schemas.openxmlformats.org/officeDocument/2006/relationships/chart" Target="../charts/chart28.xml"/><Relationship Id="rId5" Type="http://schemas.openxmlformats.org/officeDocument/2006/relationships/chart" Target="../charts/chart29.xml"/><Relationship Id="rId6" Type="http://schemas.openxmlformats.org/officeDocument/2006/relationships/chart" Target="../charts/chart30.xml"/><Relationship Id="rId7" Type="http://schemas.openxmlformats.org/officeDocument/2006/relationships/image" Target="../media/image2.png"/><Relationship Id="rId8"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 Id="rId3" Type="http://schemas.openxmlformats.org/officeDocument/2006/relationships/chart" Target="../charts/chart33.xml"/><Relationship Id="rId4" Type="http://schemas.openxmlformats.org/officeDocument/2006/relationships/chart" Target="../charts/chart34.xml"/><Relationship Id="rId5" Type="http://schemas.openxmlformats.org/officeDocument/2006/relationships/chart" Target="../charts/chart35.xml"/><Relationship Id="rId6" Type="http://schemas.openxmlformats.org/officeDocument/2006/relationships/chart" Target="../charts/chart36.xml"/><Relationship Id="rId7" Type="http://schemas.openxmlformats.org/officeDocument/2006/relationships/image" Target="../media/image2.png"/><Relationship Id="rId8"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37.xml"/><Relationship Id="rId2" Type="http://schemas.openxmlformats.org/officeDocument/2006/relationships/chart" Target="../charts/chart38.xml"/><Relationship Id="rId3" Type="http://schemas.openxmlformats.org/officeDocument/2006/relationships/chart" Target="../charts/chart39.xml"/><Relationship Id="rId4" Type="http://schemas.openxmlformats.org/officeDocument/2006/relationships/chart" Target="../charts/chart40.xml"/><Relationship Id="rId5" Type="http://schemas.openxmlformats.org/officeDocument/2006/relationships/chart" Target="../charts/chart41.xml"/><Relationship Id="rId6" Type="http://schemas.openxmlformats.org/officeDocument/2006/relationships/chart" Target="../charts/chart42.xml"/><Relationship Id="rId7" Type="http://schemas.openxmlformats.org/officeDocument/2006/relationships/image" Target="../media/image2.png"/><Relationship Id="rId8"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43.xml"/><Relationship Id="rId2" Type="http://schemas.openxmlformats.org/officeDocument/2006/relationships/chart" Target="../charts/chart44.xml"/><Relationship Id="rId3" Type="http://schemas.openxmlformats.org/officeDocument/2006/relationships/chart" Target="../charts/chart45.xml"/><Relationship Id="rId4" Type="http://schemas.openxmlformats.org/officeDocument/2006/relationships/chart" Target="../charts/chart46.xml"/><Relationship Id="rId5" Type="http://schemas.openxmlformats.org/officeDocument/2006/relationships/chart" Target="../charts/chart47.xml"/><Relationship Id="rId6" Type="http://schemas.openxmlformats.org/officeDocument/2006/relationships/chart" Target="../charts/chart48.xml"/><Relationship Id="rId7" Type="http://schemas.openxmlformats.org/officeDocument/2006/relationships/image" Target="../media/image2.png"/><Relationship Id="rId8"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49.xml"/><Relationship Id="rId2" Type="http://schemas.openxmlformats.org/officeDocument/2006/relationships/chart" Target="../charts/chart50.xml"/><Relationship Id="rId3" Type="http://schemas.openxmlformats.org/officeDocument/2006/relationships/chart" Target="../charts/chart51.xml"/><Relationship Id="rId4" Type="http://schemas.openxmlformats.org/officeDocument/2006/relationships/chart" Target="../charts/chart52.xml"/><Relationship Id="rId5" Type="http://schemas.openxmlformats.org/officeDocument/2006/relationships/chart" Target="../charts/chart53.xml"/><Relationship Id="rId6" Type="http://schemas.openxmlformats.org/officeDocument/2006/relationships/chart" Target="../charts/chart54.xml"/><Relationship Id="rId7" Type="http://schemas.openxmlformats.org/officeDocument/2006/relationships/image" Target="../media/image1.png"/><Relationship Id="rId8"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55.xml"/><Relationship Id="rId2" Type="http://schemas.openxmlformats.org/officeDocument/2006/relationships/chart" Target="../charts/chart56.xml"/><Relationship Id="rId3" Type="http://schemas.openxmlformats.org/officeDocument/2006/relationships/chart" Target="../charts/chart57.xml"/><Relationship Id="rId4" Type="http://schemas.openxmlformats.org/officeDocument/2006/relationships/chart" Target="../charts/chart58.xml"/><Relationship Id="rId5" Type="http://schemas.openxmlformats.org/officeDocument/2006/relationships/chart" Target="../charts/chart59.xml"/><Relationship Id="rId6" Type="http://schemas.openxmlformats.org/officeDocument/2006/relationships/chart" Target="../charts/chart60.xml"/><Relationship Id="rId7" Type="http://schemas.openxmlformats.org/officeDocument/2006/relationships/image" Target="../media/image1.png"/><Relationship Id="rId8"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61.xml"/><Relationship Id="rId2" Type="http://schemas.openxmlformats.org/officeDocument/2006/relationships/chart" Target="../charts/chart62.xml"/><Relationship Id="rId3" Type="http://schemas.openxmlformats.org/officeDocument/2006/relationships/chart" Target="../charts/chart63.xml"/><Relationship Id="rId4" Type="http://schemas.openxmlformats.org/officeDocument/2006/relationships/chart" Target="../charts/chart64.xml"/><Relationship Id="rId5" Type="http://schemas.openxmlformats.org/officeDocument/2006/relationships/chart" Target="../charts/chart65.xml"/><Relationship Id="rId6" Type="http://schemas.openxmlformats.org/officeDocument/2006/relationships/chart" Target="../charts/chart66.xml"/><Relationship Id="rId7" Type="http://schemas.openxmlformats.org/officeDocument/2006/relationships/image" Target="../media/image1.png"/><Relationship Id="rId8"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67.xml"/><Relationship Id="rId2" Type="http://schemas.openxmlformats.org/officeDocument/2006/relationships/chart" Target="../charts/chart68.xml"/><Relationship Id="rId3" Type="http://schemas.openxmlformats.org/officeDocument/2006/relationships/chart" Target="../charts/chart69.xml"/><Relationship Id="rId4" Type="http://schemas.openxmlformats.org/officeDocument/2006/relationships/chart" Target="../charts/chart70.xml"/><Relationship Id="rId5" Type="http://schemas.openxmlformats.org/officeDocument/2006/relationships/chart" Target="../charts/chart71.xml"/><Relationship Id="rId6" Type="http://schemas.openxmlformats.org/officeDocument/2006/relationships/chart" Target="../charts/chart72.xml"/><Relationship Id="rId7" Type="http://schemas.openxmlformats.org/officeDocument/2006/relationships/image" Target="../media/image1.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238125</xdr:colOff>
      <xdr:row>41</xdr:row>
      <xdr:rowOff>19050</xdr:rowOff>
    </xdr:from>
    <xdr:ext cx="9191625" cy="4295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266700</xdr:colOff>
      <xdr:row>13</xdr:row>
      <xdr:rowOff>0</xdr:rowOff>
    </xdr:from>
    <xdr:ext cx="5067300" cy="323850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38</xdr:col>
      <xdr:colOff>238125</xdr:colOff>
      <xdr:row>64</xdr:row>
      <xdr:rowOff>114300</xdr:rowOff>
    </xdr:from>
    <xdr:ext cx="9191625" cy="439102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36</xdr:col>
      <xdr:colOff>38100</xdr:colOff>
      <xdr:row>13</xdr:row>
      <xdr:rowOff>0</xdr:rowOff>
    </xdr:from>
    <xdr:ext cx="5067300" cy="3238500"/>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21</xdr:col>
      <xdr:colOff>152400</xdr:colOff>
      <xdr:row>13</xdr:row>
      <xdr:rowOff>0</xdr:rowOff>
    </xdr:from>
    <xdr:ext cx="5067300" cy="3238500"/>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50</xdr:col>
      <xdr:colOff>304800</xdr:colOff>
      <xdr:row>13</xdr:row>
      <xdr:rowOff>0</xdr:rowOff>
    </xdr:from>
    <xdr:ext cx="5067300" cy="3238500"/>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24</xdr:col>
      <xdr:colOff>285750</xdr:colOff>
      <xdr:row>0</xdr:row>
      <xdr:rowOff>0</xdr:rowOff>
    </xdr:from>
    <xdr:ext cx="3333750" cy="2533650"/>
    <xdr:pic>
      <xdr:nvPicPr>
        <xdr:cNvPr id="0" name="image2.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285750</xdr:colOff>
      <xdr:row>21</xdr:row>
      <xdr:rowOff>209550</xdr:rowOff>
    </xdr:from>
    <xdr:ext cx="400050" cy="381000"/>
    <xdr:pic>
      <xdr:nvPicPr>
        <xdr:cNvPr id="0" name="image1.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39</xdr:col>
      <xdr:colOff>361950</xdr:colOff>
      <xdr:row>41</xdr:row>
      <xdr:rowOff>9525</xdr:rowOff>
    </xdr:from>
    <xdr:ext cx="9953625" cy="5210175"/>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39</xdr:col>
      <xdr:colOff>361950</xdr:colOff>
      <xdr:row>70</xdr:row>
      <xdr:rowOff>114300</xdr:rowOff>
    </xdr:from>
    <xdr:ext cx="9953625" cy="4686300"/>
    <xdr:graphicFrame>
      <xdr:nvGraphicFramePr>
        <xdr:cNvPr id="8" name="Chart 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37</xdr:col>
      <xdr:colOff>209550</xdr:colOff>
      <xdr:row>12</xdr:row>
      <xdr:rowOff>361950</xdr:rowOff>
    </xdr:from>
    <xdr:ext cx="5267325" cy="3219450"/>
    <xdr:graphicFrame>
      <xdr:nvGraphicFramePr>
        <xdr:cNvPr id="9" name="Chart 9"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22</xdr:col>
      <xdr:colOff>19050</xdr:colOff>
      <xdr:row>12</xdr:row>
      <xdr:rowOff>352425</xdr:rowOff>
    </xdr:from>
    <xdr:ext cx="5334000" cy="3219450"/>
    <xdr:graphicFrame>
      <xdr:nvGraphicFramePr>
        <xdr:cNvPr id="10" name="Chart 10"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52</xdr:col>
      <xdr:colOff>276225</xdr:colOff>
      <xdr:row>12</xdr:row>
      <xdr:rowOff>352425</xdr:rowOff>
    </xdr:from>
    <xdr:ext cx="5334000" cy="3219450"/>
    <xdr:graphicFrame>
      <xdr:nvGraphicFramePr>
        <xdr:cNvPr id="11" name="Chart 11"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190500</xdr:colOff>
      <xdr:row>12</xdr:row>
      <xdr:rowOff>352425</xdr:rowOff>
    </xdr:from>
    <xdr:ext cx="5334000" cy="3219450"/>
    <xdr:graphicFrame>
      <xdr:nvGraphicFramePr>
        <xdr:cNvPr id="12" name="Chart 12"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19050</xdr:colOff>
      <xdr:row>20</xdr:row>
      <xdr:rowOff>209550</xdr:rowOff>
    </xdr:from>
    <xdr:ext cx="504825" cy="476250"/>
    <xdr:pic>
      <xdr:nvPicPr>
        <xdr:cNvPr id="0" name="image4.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27</xdr:col>
      <xdr:colOff>342900</xdr:colOff>
      <xdr:row>0</xdr:row>
      <xdr:rowOff>0</xdr:rowOff>
    </xdr:from>
    <xdr:ext cx="3333750" cy="2533650"/>
    <xdr:pic>
      <xdr:nvPicPr>
        <xdr:cNvPr id="0" name="image3.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46</xdr:col>
      <xdr:colOff>142875</xdr:colOff>
      <xdr:row>71</xdr:row>
      <xdr:rowOff>19050</xdr:rowOff>
    </xdr:from>
    <xdr:ext cx="7410450" cy="4219575"/>
    <xdr:graphicFrame>
      <xdr:nvGraphicFramePr>
        <xdr:cNvPr id="13"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xdr:colOff>
      <xdr:row>12</xdr:row>
      <xdr:rowOff>314325</xdr:rowOff>
    </xdr:from>
    <xdr:ext cx="5410200" cy="3238500"/>
    <xdr:graphicFrame>
      <xdr:nvGraphicFramePr>
        <xdr:cNvPr id="14" name="Chart 1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46</xdr:col>
      <xdr:colOff>142875</xdr:colOff>
      <xdr:row>94</xdr:row>
      <xdr:rowOff>142875</xdr:rowOff>
    </xdr:from>
    <xdr:ext cx="7410450" cy="4333875"/>
    <xdr:graphicFrame>
      <xdr:nvGraphicFramePr>
        <xdr:cNvPr id="15" name="Chart 1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34</xdr:col>
      <xdr:colOff>323850</xdr:colOff>
      <xdr:row>12</xdr:row>
      <xdr:rowOff>314325</xdr:rowOff>
    </xdr:from>
    <xdr:ext cx="5410200" cy="3238500"/>
    <xdr:graphicFrame>
      <xdr:nvGraphicFramePr>
        <xdr:cNvPr id="16" name="Chart 16"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19050</xdr:colOff>
      <xdr:row>12</xdr:row>
      <xdr:rowOff>314325</xdr:rowOff>
    </xdr:from>
    <xdr:ext cx="5410200" cy="3238500"/>
    <xdr:graphicFrame>
      <xdr:nvGraphicFramePr>
        <xdr:cNvPr id="17" name="Chart 17"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171450</xdr:colOff>
      <xdr:row>12</xdr:row>
      <xdr:rowOff>314325</xdr:rowOff>
    </xdr:from>
    <xdr:ext cx="5448300" cy="3238500"/>
    <xdr:graphicFrame>
      <xdr:nvGraphicFramePr>
        <xdr:cNvPr id="18" name="Chart 18"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21</xdr:col>
      <xdr:colOff>285750</xdr:colOff>
      <xdr:row>0</xdr:row>
      <xdr:rowOff>0</xdr:rowOff>
    </xdr:from>
    <xdr:ext cx="3333750" cy="2533650"/>
    <xdr:pic>
      <xdr:nvPicPr>
        <xdr:cNvPr id="0" name="image2.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142875</xdr:colOff>
      <xdr:row>22</xdr:row>
      <xdr:rowOff>38100</xdr:rowOff>
    </xdr:from>
    <xdr:ext cx="400050" cy="381000"/>
    <xdr:pic>
      <xdr:nvPicPr>
        <xdr:cNvPr id="0" name="image1.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46</xdr:col>
      <xdr:colOff>142875</xdr:colOff>
      <xdr:row>71</xdr:row>
      <xdr:rowOff>19050</xdr:rowOff>
    </xdr:from>
    <xdr:ext cx="7410450" cy="4219575"/>
    <xdr:graphicFrame>
      <xdr:nvGraphicFramePr>
        <xdr:cNvPr id="19" name="Chart 1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xdr:colOff>
      <xdr:row>12</xdr:row>
      <xdr:rowOff>314325</xdr:rowOff>
    </xdr:from>
    <xdr:ext cx="5410200" cy="3238500"/>
    <xdr:graphicFrame>
      <xdr:nvGraphicFramePr>
        <xdr:cNvPr id="20" name="Chart 20"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46</xdr:col>
      <xdr:colOff>142875</xdr:colOff>
      <xdr:row>94</xdr:row>
      <xdr:rowOff>142875</xdr:rowOff>
    </xdr:from>
    <xdr:ext cx="7410450" cy="4333875"/>
    <xdr:graphicFrame>
      <xdr:nvGraphicFramePr>
        <xdr:cNvPr id="21" name="Chart 21"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34</xdr:col>
      <xdr:colOff>323850</xdr:colOff>
      <xdr:row>12</xdr:row>
      <xdr:rowOff>314325</xdr:rowOff>
    </xdr:from>
    <xdr:ext cx="5410200" cy="3238500"/>
    <xdr:graphicFrame>
      <xdr:nvGraphicFramePr>
        <xdr:cNvPr id="22" name="Chart 22"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19050</xdr:colOff>
      <xdr:row>12</xdr:row>
      <xdr:rowOff>314325</xdr:rowOff>
    </xdr:from>
    <xdr:ext cx="5410200" cy="3238500"/>
    <xdr:graphicFrame>
      <xdr:nvGraphicFramePr>
        <xdr:cNvPr id="23" name="Chart 23"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171450</xdr:colOff>
      <xdr:row>12</xdr:row>
      <xdr:rowOff>314325</xdr:rowOff>
    </xdr:from>
    <xdr:ext cx="5448300" cy="3238500"/>
    <xdr:graphicFrame>
      <xdr:nvGraphicFramePr>
        <xdr:cNvPr id="24" name="Chart 24"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21</xdr:col>
      <xdr:colOff>285750</xdr:colOff>
      <xdr:row>0</xdr:row>
      <xdr:rowOff>0</xdr:rowOff>
    </xdr:from>
    <xdr:ext cx="3333750" cy="2533650"/>
    <xdr:pic>
      <xdr:nvPicPr>
        <xdr:cNvPr id="0" name="image2.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142875</xdr:colOff>
      <xdr:row>22</xdr:row>
      <xdr:rowOff>38100</xdr:rowOff>
    </xdr:from>
    <xdr:ext cx="400050" cy="381000"/>
    <xdr:pic>
      <xdr:nvPicPr>
        <xdr:cNvPr id="0" name="image1.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46</xdr:col>
      <xdr:colOff>142875</xdr:colOff>
      <xdr:row>71</xdr:row>
      <xdr:rowOff>19050</xdr:rowOff>
    </xdr:from>
    <xdr:ext cx="7410450" cy="4219575"/>
    <xdr:graphicFrame>
      <xdr:nvGraphicFramePr>
        <xdr:cNvPr id="25" name="Chart 2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xdr:colOff>
      <xdr:row>12</xdr:row>
      <xdr:rowOff>314325</xdr:rowOff>
    </xdr:from>
    <xdr:ext cx="5410200" cy="3238500"/>
    <xdr:graphicFrame>
      <xdr:nvGraphicFramePr>
        <xdr:cNvPr id="26" name="Chart 2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46</xdr:col>
      <xdr:colOff>142875</xdr:colOff>
      <xdr:row>94</xdr:row>
      <xdr:rowOff>142875</xdr:rowOff>
    </xdr:from>
    <xdr:ext cx="7410450" cy="4333875"/>
    <xdr:graphicFrame>
      <xdr:nvGraphicFramePr>
        <xdr:cNvPr id="27" name="Chart 2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34</xdr:col>
      <xdr:colOff>323850</xdr:colOff>
      <xdr:row>12</xdr:row>
      <xdr:rowOff>314325</xdr:rowOff>
    </xdr:from>
    <xdr:ext cx="5410200" cy="3238500"/>
    <xdr:graphicFrame>
      <xdr:nvGraphicFramePr>
        <xdr:cNvPr id="28" name="Chart 28"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19050</xdr:colOff>
      <xdr:row>12</xdr:row>
      <xdr:rowOff>314325</xdr:rowOff>
    </xdr:from>
    <xdr:ext cx="5410200" cy="3238500"/>
    <xdr:graphicFrame>
      <xdr:nvGraphicFramePr>
        <xdr:cNvPr id="29" name="Chart 29"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171450</xdr:colOff>
      <xdr:row>12</xdr:row>
      <xdr:rowOff>314325</xdr:rowOff>
    </xdr:from>
    <xdr:ext cx="5448300" cy="3238500"/>
    <xdr:graphicFrame>
      <xdr:nvGraphicFramePr>
        <xdr:cNvPr id="30" name="Chart 30"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21</xdr:col>
      <xdr:colOff>285750</xdr:colOff>
      <xdr:row>0</xdr:row>
      <xdr:rowOff>0</xdr:rowOff>
    </xdr:from>
    <xdr:ext cx="3333750" cy="2533650"/>
    <xdr:pic>
      <xdr:nvPicPr>
        <xdr:cNvPr id="0" name="image2.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142875</xdr:colOff>
      <xdr:row>22</xdr:row>
      <xdr:rowOff>38100</xdr:rowOff>
    </xdr:from>
    <xdr:ext cx="400050" cy="381000"/>
    <xdr:pic>
      <xdr:nvPicPr>
        <xdr:cNvPr id="0" name="image1.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46</xdr:col>
      <xdr:colOff>142875</xdr:colOff>
      <xdr:row>71</xdr:row>
      <xdr:rowOff>19050</xdr:rowOff>
    </xdr:from>
    <xdr:ext cx="7410450" cy="4219575"/>
    <xdr:graphicFrame>
      <xdr:nvGraphicFramePr>
        <xdr:cNvPr id="31" name="Chart 3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xdr:colOff>
      <xdr:row>12</xdr:row>
      <xdr:rowOff>314325</xdr:rowOff>
    </xdr:from>
    <xdr:ext cx="5410200" cy="3238500"/>
    <xdr:graphicFrame>
      <xdr:nvGraphicFramePr>
        <xdr:cNvPr id="32" name="Chart 3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46</xdr:col>
      <xdr:colOff>142875</xdr:colOff>
      <xdr:row>94</xdr:row>
      <xdr:rowOff>142875</xdr:rowOff>
    </xdr:from>
    <xdr:ext cx="7410450" cy="4333875"/>
    <xdr:graphicFrame>
      <xdr:nvGraphicFramePr>
        <xdr:cNvPr id="33" name="Chart 3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34</xdr:col>
      <xdr:colOff>323850</xdr:colOff>
      <xdr:row>12</xdr:row>
      <xdr:rowOff>314325</xdr:rowOff>
    </xdr:from>
    <xdr:ext cx="5410200" cy="3238500"/>
    <xdr:graphicFrame>
      <xdr:nvGraphicFramePr>
        <xdr:cNvPr id="34" name="Chart 3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19050</xdr:colOff>
      <xdr:row>12</xdr:row>
      <xdr:rowOff>314325</xdr:rowOff>
    </xdr:from>
    <xdr:ext cx="5410200" cy="3238500"/>
    <xdr:graphicFrame>
      <xdr:nvGraphicFramePr>
        <xdr:cNvPr id="35" name="Chart 3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171450</xdr:colOff>
      <xdr:row>12</xdr:row>
      <xdr:rowOff>314325</xdr:rowOff>
    </xdr:from>
    <xdr:ext cx="5448300" cy="3238500"/>
    <xdr:graphicFrame>
      <xdr:nvGraphicFramePr>
        <xdr:cNvPr id="36" name="Chart 3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21</xdr:col>
      <xdr:colOff>285750</xdr:colOff>
      <xdr:row>0</xdr:row>
      <xdr:rowOff>0</xdr:rowOff>
    </xdr:from>
    <xdr:ext cx="3333750" cy="2533650"/>
    <xdr:pic>
      <xdr:nvPicPr>
        <xdr:cNvPr id="0" name="image2.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142875</xdr:colOff>
      <xdr:row>22</xdr:row>
      <xdr:rowOff>38100</xdr:rowOff>
    </xdr:from>
    <xdr:ext cx="400050" cy="381000"/>
    <xdr:pic>
      <xdr:nvPicPr>
        <xdr:cNvPr id="0" name="image1.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46</xdr:col>
      <xdr:colOff>142875</xdr:colOff>
      <xdr:row>71</xdr:row>
      <xdr:rowOff>19050</xdr:rowOff>
    </xdr:from>
    <xdr:ext cx="7410450" cy="4219575"/>
    <xdr:graphicFrame>
      <xdr:nvGraphicFramePr>
        <xdr:cNvPr id="37" name="Chart 3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xdr:colOff>
      <xdr:row>12</xdr:row>
      <xdr:rowOff>314325</xdr:rowOff>
    </xdr:from>
    <xdr:ext cx="5410200" cy="3238500"/>
    <xdr:graphicFrame>
      <xdr:nvGraphicFramePr>
        <xdr:cNvPr id="38" name="Chart 3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46</xdr:col>
      <xdr:colOff>142875</xdr:colOff>
      <xdr:row>94</xdr:row>
      <xdr:rowOff>142875</xdr:rowOff>
    </xdr:from>
    <xdr:ext cx="7410450" cy="4333875"/>
    <xdr:graphicFrame>
      <xdr:nvGraphicFramePr>
        <xdr:cNvPr id="39" name="Chart 39"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34</xdr:col>
      <xdr:colOff>323850</xdr:colOff>
      <xdr:row>12</xdr:row>
      <xdr:rowOff>314325</xdr:rowOff>
    </xdr:from>
    <xdr:ext cx="5410200" cy="3238500"/>
    <xdr:graphicFrame>
      <xdr:nvGraphicFramePr>
        <xdr:cNvPr id="40" name="Chart 40"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19050</xdr:colOff>
      <xdr:row>12</xdr:row>
      <xdr:rowOff>314325</xdr:rowOff>
    </xdr:from>
    <xdr:ext cx="5410200" cy="3238500"/>
    <xdr:graphicFrame>
      <xdr:nvGraphicFramePr>
        <xdr:cNvPr id="41" name="Chart 41"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171450</xdr:colOff>
      <xdr:row>12</xdr:row>
      <xdr:rowOff>314325</xdr:rowOff>
    </xdr:from>
    <xdr:ext cx="5448300" cy="3238500"/>
    <xdr:graphicFrame>
      <xdr:nvGraphicFramePr>
        <xdr:cNvPr id="42" name="Chart 42"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21</xdr:col>
      <xdr:colOff>285750</xdr:colOff>
      <xdr:row>0</xdr:row>
      <xdr:rowOff>0</xdr:rowOff>
    </xdr:from>
    <xdr:ext cx="3333750" cy="2533650"/>
    <xdr:pic>
      <xdr:nvPicPr>
        <xdr:cNvPr id="0" name="image2.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142875</xdr:colOff>
      <xdr:row>22</xdr:row>
      <xdr:rowOff>38100</xdr:rowOff>
    </xdr:from>
    <xdr:ext cx="400050" cy="381000"/>
    <xdr:pic>
      <xdr:nvPicPr>
        <xdr:cNvPr id="0" name="image1.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46</xdr:col>
      <xdr:colOff>142875</xdr:colOff>
      <xdr:row>71</xdr:row>
      <xdr:rowOff>19050</xdr:rowOff>
    </xdr:from>
    <xdr:ext cx="7410450" cy="4219575"/>
    <xdr:graphicFrame>
      <xdr:nvGraphicFramePr>
        <xdr:cNvPr id="43" name="Chart 4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xdr:colOff>
      <xdr:row>12</xdr:row>
      <xdr:rowOff>314325</xdr:rowOff>
    </xdr:from>
    <xdr:ext cx="5410200" cy="3238500"/>
    <xdr:graphicFrame>
      <xdr:nvGraphicFramePr>
        <xdr:cNvPr id="44" name="Chart 4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46</xdr:col>
      <xdr:colOff>142875</xdr:colOff>
      <xdr:row>94</xdr:row>
      <xdr:rowOff>142875</xdr:rowOff>
    </xdr:from>
    <xdr:ext cx="7410450" cy="4333875"/>
    <xdr:graphicFrame>
      <xdr:nvGraphicFramePr>
        <xdr:cNvPr id="45" name="Chart 4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34</xdr:col>
      <xdr:colOff>323850</xdr:colOff>
      <xdr:row>12</xdr:row>
      <xdr:rowOff>314325</xdr:rowOff>
    </xdr:from>
    <xdr:ext cx="5410200" cy="3238500"/>
    <xdr:graphicFrame>
      <xdr:nvGraphicFramePr>
        <xdr:cNvPr id="46" name="Chart 46"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19050</xdr:colOff>
      <xdr:row>12</xdr:row>
      <xdr:rowOff>314325</xdr:rowOff>
    </xdr:from>
    <xdr:ext cx="5410200" cy="3238500"/>
    <xdr:graphicFrame>
      <xdr:nvGraphicFramePr>
        <xdr:cNvPr id="47" name="Chart 47"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171450</xdr:colOff>
      <xdr:row>12</xdr:row>
      <xdr:rowOff>314325</xdr:rowOff>
    </xdr:from>
    <xdr:ext cx="5448300" cy="3238500"/>
    <xdr:graphicFrame>
      <xdr:nvGraphicFramePr>
        <xdr:cNvPr id="48" name="Chart 48"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21</xdr:col>
      <xdr:colOff>285750</xdr:colOff>
      <xdr:row>0</xdr:row>
      <xdr:rowOff>0</xdr:rowOff>
    </xdr:from>
    <xdr:ext cx="3333750" cy="2533650"/>
    <xdr:pic>
      <xdr:nvPicPr>
        <xdr:cNvPr id="0" name="image2.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142875</xdr:colOff>
      <xdr:row>22</xdr:row>
      <xdr:rowOff>38100</xdr:rowOff>
    </xdr:from>
    <xdr:ext cx="400050" cy="381000"/>
    <xdr:pic>
      <xdr:nvPicPr>
        <xdr:cNvPr id="0" name="image1.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47</xdr:col>
      <xdr:colOff>276225</xdr:colOff>
      <xdr:row>71</xdr:row>
      <xdr:rowOff>19050</xdr:rowOff>
    </xdr:from>
    <xdr:ext cx="9477375" cy="5124450"/>
    <xdr:graphicFrame>
      <xdr:nvGraphicFramePr>
        <xdr:cNvPr id="49" name="Chart 4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133350</xdr:colOff>
      <xdr:row>12</xdr:row>
      <xdr:rowOff>266700</xdr:rowOff>
    </xdr:from>
    <xdr:ext cx="6134100" cy="3200400"/>
    <xdr:graphicFrame>
      <xdr:nvGraphicFramePr>
        <xdr:cNvPr id="50" name="Chart 50"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38100</xdr:colOff>
      <xdr:row>12</xdr:row>
      <xdr:rowOff>276225</xdr:rowOff>
    </xdr:from>
    <xdr:ext cx="6134100" cy="3200400"/>
    <xdr:graphicFrame>
      <xdr:nvGraphicFramePr>
        <xdr:cNvPr id="51" name="Chart 51"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38</xdr:col>
      <xdr:colOff>304800</xdr:colOff>
      <xdr:row>12</xdr:row>
      <xdr:rowOff>276225</xdr:rowOff>
    </xdr:from>
    <xdr:ext cx="6134100" cy="3200400"/>
    <xdr:graphicFrame>
      <xdr:nvGraphicFramePr>
        <xdr:cNvPr id="52" name="Chart 52"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57</xdr:col>
      <xdr:colOff>209550</xdr:colOff>
      <xdr:row>12</xdr:row>
      <xdr:rowOff>266700</xdr:rowOff>
    </xdr:from>
    <xdr:ext cx="6134100" cy="3200400"/>
    <xdr:graphicFrame>
      <xdr:nvGraphicFramePr>
        <xdr:cNvPr id="53" name="Chart 53"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47</xdr:col>
      <xdr:colOff>285750</xdr:colOff>
      <xdr:row>99</xdr:row>
      <xdr:rowOff>0</xdr:rowOff>
    </xdr:from>
    <xdr:ext cx="9477375" cy="5124450"/>
    <xdr:graphicFrame>
      <xdr:nvGraphicFramePr>
        <xdr:cNvPr id="54" name="Chart 54"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20</xdr:row>
      <xdr:rowOff>238125</xdr:rowOff>
    </xdr:from>
    <xdr:ext cx="504825" cy="476250"/>
    <xdr:pic>
      <xdr:nvPicPr>
        <xdr:cNvPr id="0" name="image5.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24</xdr:col>
      <xdr:colOff>342900</xdr:colOff>
      <xdr:row>0</xdr:row>
      <xdr:rowOff>0</xdr:rowOff>
    </xdr:from>
    <xdr:ext cx="3333750" cy="2533650"/>
    <xdr:pic>
      <xdr:nvPicPr>
        <xdr:cNvPr id="0" name="image6.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47</xdr:col>
      <xdr:colOff>276225</xdr:colOff>
      <xdr:row>71</xdr:row>
      <xdr:rowOff>19050</xdr:rowOff>
    </xdr:from>
    <xdr:ext cx="9477375" cy="5124450"/>
    <xdr:graphicFrame>
      <xdr:nvGraphicFramePr>
        <xdr:cNvPr id="55" name="Chart 5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133350</xdr:colOff>
      <xdr:row>12</xdr:row>
      <xdr:rowOff>266700</xdr:rowOff>
    </xdr:from>
    <xdr:ext cx="6134100" cy="3200400"/>
    <xdr:graphicFrame>
      <xdr:nvGraphicFramePr>
        <xdr:cNvPr id="56" name="Chart 5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38100</xdr:colOff>
      <xdr:row>12</xdr:row>
      <xdr:rowOff>276225</xdr:rowOff>
    </xdr:from>
    <xdr:ext cx="6134100" cy="3200400"/>
    <xdr:graphicFrame>
      <xdr:nvGraphicFramePr>
        <xdr:cNvPr id="57" name="Chart 5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38</xdr:col>
      <xdr:colOff>304800</xdr:colOff>
      <xdr:row>12</xdr:row>
      <xdr:rowOff>276225</xdr:rowOff>
    </xdr:from>
    <xdr:ext cx="6134100" cy="3200400"/>
    <xdr:graphicFrame>
      <xdr:nvGraphicFramePr>
        <xdr:cNvPr id="58" name="Chart 58"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57</xdr:col>
      <xdr:colOff>209550</xdr:colOff>
      <xdr:row>12</xdr:row>
      <xdr:rowOff>266700</xdr:rowOff>
    </xdr:from>
    <xdr:ext cx="6134100" cy="3200400"/>
    <xdr:graphicFrame>
      <xdr:nvGraphicFramePr>
        <xdr:cNvPr id="59" name="Chart 59"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47</xdr:col>
      <xdr:colOff>285750</xdr:colOff>
      <xdr:row>99</xdr:row>
      <xdr:rowOff>0</xdr:rowOff>
    </xdr:from>
    <xdr:ext cx="9477375" cy="5124450"/>
    <xdr:graphicFrame>
      <xdr:nvGraphicFramePr>
        <xdr:cNvPr id="60" name="Chart 60"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20</xdr:row>
      <xdr:rowOff>238125</xdr:rowOff>
    </xdr:from>
    <xdr:ext cx="504825" cy="476250"/>
    <xdr:pic>
      <xdr:nvPicPr>
        <xdr:cNvPr id="0" name="image5.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24</xdr:col>
      <xdr:colOff>342900</xdr:colOff>
      <xdr:row>0</xdr:row>
      <xdr:rowOff>0</xdr:rowOff>
    </xdr:from>
    <xdr:ext cx="3333750" cy="2533650"/>
    <xdr:pic>
      <xdr:nvPicPr>
        <xdr:cNvPr id="0" name="image6.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47</xdr:col>
      <xdr:colOff>276225</xdr:colOff>
      <xdr:row>71</xdr:row>
      <xdr:rowOff>19050</xdr:rowOff>
    </xdr:from>
    <xdr:ext cx="9477375" cy="5124450"/>
    <xdr:graphicFrame>
      <xdr:nvGraphicFramePr>
        <xdr:cNvPr id="61" name="Chart 6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133350</xdr:colOff>
      <xdr:row>12</xdr:row>
      <xdr:rowOff>266700</xdr:rowOff>
    </xdr:from>
    <xdr:ext cx="6134100" cy="3200400"/>
    <xdr:graphicFrame>
      <xdr:nvGraphicFramePr>
        <xdr:cNvPr id="62" name="Chart 6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38100</xdr:colOff>
      <xdr:row>12</xdr:row>
      <xdr:rowOff>276225</xdr:rowOff>
    </xdr:from>
    <xdr:ext cx="6134100" cy="3200400"/>
    <xdr:graphicFrame>
      <xdr:nvGraphicFramePr>
        <xdr:cNvPr id="63" name="Chart 6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38</xdr:col>
      <xdr:colOff>304800</xdr:colOff>
      <xdr:row>12</xdr:row>
      <xdr:rowOff>276225</xdr:rowOff>
    </xdr:from>
    <xdr:ext cx="6134100" cy="3200400"/>
    <xdr:graphicFrame>
      <xdr:nvGraphicFramePr>
        <xdr:cNvPr id="64" name="Chart 6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57</xdr:col>
      <xdr:colOff>209550</xdr:colOff>
      <xdr:row>12</xdr:row>
      <xdr:rowOff>266700</xdr:rowOff>
    </xdr:from>
    <xdr:ext cx="6134100" cy="3200400"/>
    <xdr:graphicFrame>
      <xdr:nvGraphicFramePr>
        <xdr:cNvPr id="65" name="Chart 6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47</xdr:col>
      <xdr:colOff>285750</xdr:colOff>
      <xdr:row>99</xdr:row>
      <xdr:rowOff>0</xdr:rowOff>
    </xdr:from>
    <xdr:ext cx="9477375" cy="5124450"/>
    <xdr:graphicFrame>
      <xdr:nvGraphicFramePr>
        <xdr:cNvPr id="66" name="Chart 6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20</xdr:row>
      <xdr:rowOff>238125</xdr:rowOff>
    </xdr:from>
    <xdr:ext cx="504825" cy="476250"/>
    <xdr:pic>
      <xdr:nvPicPr>
        <xdr:cNvPr id="0" name="image5.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24</xdr:col>
      <xdr:colOff>342900</xdr:colOff>
      <xdr:row>0</xdr:row>
      <xdr:rowOff>0</xdr:rowOff>
    </xdr:from>
    <xdr:ext cx="3333750" cy="2533650"/>
    <xdr:pic>
      <xdr:nvPicPr>
        <xdr:cNvPr id="0" name="image6.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47</xdr:col>
      <xdr:colOff>276225</xdr:colOff>
      <xdr:row>71</xdr:row>
      <xdr:rowOff>19050</xdr:rowOff>
    </xdr:from>
    <xdr:ext cx="9477375" cy="5124450"/>
    <xdr:graphicFrame>
      <xdr:nvGraphicFramePr>
        <xdr:cNvPr id="67" name="Chart 6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133350</xdr:colOff>
      <xdr:row>12</xdr:row>
      <xdr:rowOff>266700</xdr:rowOff>
    </xdr:from>
    <xdr:ext cx="6134100" cy="3200400"/>
    <xdr:graphicFrame>
      <xdr:nvGraphicFramePr>
        <xdr:cNvPr id="68" name="Chart 6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38100</xdr:colOff>
      <xdr:row>12</xdr:row>
      <xdr:rowOff>276225</xdr:rowOff>
    </xdr:from>
    <xdr:ext cx="6134100" cy="3200400"/>
    <xdr:graphicFrame>
      <xdr:nvGraphicFramePr>
        <xdr:cNvPr id="69" name="Chart 69"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38</xdr:col>
      <xdr:colOff>304800</xdr:colOff>
      <xdr:row>12</xdr:row>
      <xdr:rowOff>276225</xdr:rowOff>
    </xdr:from>
    <xdr:ext cx="6134100" cy="3200400"/>
    <xdr:graphicFrame>
      <xdr:nvGraphicFramePr>
        <xdr:cNvPr id="70" name="Chart 70"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57</xdr:col>
      <xdr:colOff>209550</xdr:colOff>
      <xdr:row>12</xdr:row>
      <xdr:rowOff>266700</xdr:rowOff>
    </xdr:from>
    <xdr:ext cx="6134100" cy="3200400"/>
    <xdr:graphicFrame>
      <xdr:nvGraphicFramePr>
        <xdr:cNvPr id="71" name="Chart 71"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47</xdr:col>
      <xdr:colOff>285750</xdr:colOff>
      <xdr:row>99</xdr:row>
      <xdr:rowOff>0</xdr:rowOff>
    </xdr:from>
    <xdr:ext cx="9477375" cy="5124450"/>
    <xdr:graphicFrame>
      <xdr:nvGraphicFramePr>
        <xdr:cNvPr id="72" name="Chart 72"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20</xdr:row>
      <xdr:rowOff>238125</xdr:rowOff>
    </xdr:from>
    <xdr:ext cx="504825" cy="476250"/>
    <xdr:pic>
      <xdr:nvPicPr>
        <xdr:cNvPr id="0" name="image5.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24</xdr:col>
      <xdr:colOff>342900</xdr:colOff>
      <xdr:row>0</xdr:row>
      <xdr:rowOff>0</xdr:rowOff>
    </xdr:from>
    <xdr:ext cx="3333750" cy="2533650"/>
    <xdr:pic>
      <xdr:nvPicPr>
        <xdr:cNvPr id="0" name="image6.png" title="Imagem"/>
        <xdr:cNvPicPr preferRelativeResize="0"/>
      </xdr:nvPicPr>
      <xdr:blipFill>
        <a:blip cstate="print" r:embed="rId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6WY38XWYVwcJKlcQkF0i5vIRm5Yd9IJy/view?usp=drive_link"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0"/>
  <cols>
    <col customWidth="1" min="1" max="1" width="3.75"/>
    <col customWidth="1" min="2" max="2" width="42.88"/>
    <col customWidth="1" min="3" max="6" width="5.25"/>
    <col customWidth="1" min="7" max="49" width="4.75"/>
    <col customWidth="1" min="50" max="50" width="4.38"/>
    <col customWidth="1" min="51" max="52" width="4.13"/>
    <col customWidth="1" min="53" max="53" width="4.25"/>
    <col customWidth="1" min="54" max="54" width="4.63"/>
    <col customWidth="1" min="55" max="55" width="4.25"/>
    <col customWidth="1" min="56" max="56" width="4.13"/>
    <col customWidth="1" min="57" max="57" width="3.88"/>
    <col customWidth="1" min="58" max="58" width="4.13"/>
    <col customWidth="1" min="59" max="59" width="5.0"/>
    <col customWidth="1" min="60" max="60" width="4.38"/>
    <col customWidth="1" min="61" max="61" width="5.13"/>
    <col customWidth="1" min="62" max="62" width="4.75"/>
    <col customWidth="1" min="63" max="63" width="4.63"/>
    <col customWidth="1" min="64" max="65" width="4.25"/>
    <col customWidth="1" min="66" max="66" width="5.63"/>
    <col customWidth="1" min="67" max="67" width="6.38"/>
  </cols>
  <sheetData>
    <row r="1" ht="25.5" customHeight="1">
      <c r="A1" s="1"/>
      <c r="B1" s="1"/>
      <c r="C1" s="1"/>
      <c r="D1" s="1"/>
      <c r="E1" s="1"/>
      <c r="F1" s="1"/>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Y1" s="3"/>
      <c r="AZ1" s="3"/>
      <c r="BA1" s="3"/>
      <c r="BB1" s="3"/>
      <c r="BC1" s="3"/>
      <c r="BD1" s="4"/>
      <c r="BE1" s="4"/>
      <c r="BF1" s="4"/>
      <c r="BG1" s="4"/>
      <c r="BH1" s="4"/>
      <c r="BI1" s="4"/>
      <c r="BJ1" s="4"/>
      <c r="BK1" s="3"/>
      <c r="BL1" s="3"/>
      <c r="BM1" s="3"/>
    </row>
    <row r="2" ht="25.5" customHeight="1">
      <c r="A2" s="1"/>
      <c r="B2" s="1"/>
      <c r="C2" s="1"/>
      <c r="D2" s="1"/>
      <c r="E2" s="1"/>
      <c r="F2" s="1"/>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Y2" s="3"/>
      <c r="AZ2" s="3"/>
      <c r="BA2" s="3"/>
      <c r="BB2" s="3"/>
      <c r="BC2" s="3"/>
      <c r="BD2" s="4"/>
      <c r="BE2" s="4"/>
      <c r="BF2" s="4"/>
      <c r="BG2" s="4"/>
      <c r="BH2" s="4"/>
      <c r="BI2" s="4"/>
      <c r="BJ2" s="4"/>
      <c r="BK2" s="3"/>
      <c r="BL2" s="3"/>
      <c r="BM2" s="3"/>
    </row>
    <row r="3" ht="25.5" customHeight="1">
      <c r="A3" s="1"/>
      <c r="B3" s="1"/>
      <c r="C3" s="1"/>
      <c r="D3" s="1"/>
      <c r="E3" s="1"/>
      <c r="F3" s="1"/>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Y3" s="3"/>
      <c r="AZ3" s="3"/>
      <c r="BA3" s="3"/>
      <c r="BB3" s="3"/>
      <c r="BC3" s="3"/>
      <c r="BD3" s="4"/>
      <c r="BE3" s="4"/>
      <c r="BF3" s="4"/>
      <c r="BG3" s="4"/>
      <c r="BH3" s="4"/>
      <c r="BI3" s="4"/>
      <c r="BJ3" s="4"/>
      <c r="BK3" s="3"/>
      <c r="BL3" s="3"/>
      <c r="BM3" s="3"/>
    </row>
    <row r="4" ht="25.5" customHeight="1">
      <c r="A4" s="1"/>
      <c r="B4" s="1"/>
      <c r="C4" s="1"/>
      <c r="D4" s="1"/>
      <c r="E4" s="1"/>
      <c r="F4" s="1"/>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Y4" s="3"/>
      <c r="AZ4" s="3"/>
      <c r="BA4" s="3"/>
      <c r="BB4" s="3"/>
      <c r="BC4" s="3"/>
      <c r="BD4" s="4"/>
      <c r="BE4" s="4"/>
      <c r="BF4" s="4"/>
      <c r="BG4" s="4"/>
      <c r="BH4" s="4"/>
      <c r="BI4" s="4"/>
      <c r="BJ4" s="4"/>
      <c r="BK4" s="3"/>
      <c r="BL4" s="3"/>
      <c r="BM4" s="3"/>
    </row>
    <row r="5" ht="25.5" customHeight="1">
      <c r="A5" s="1"/>
      <c r="B5" s="1"/>
      <c r="C5" s="1"/>
      <c r="D5" s="1"/>
      <c r="E5" s="1"/>
      <c r="F5" s="1"/>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Y5" s="3"/>
      <c r="AZ5" s="3"/>
      <c r="BA5" s="3"/>
      <c r="BB5" s="3"/>
      <c r="BC5" s="3"/>
      <c r="BD5" s="4"/>
      <c r="BE5" s="4"/>
      <c r="BF5" s="4"/>
      <c r="BG5" s="4"/>
      <c r="BH5" s="4"/>
      <c r="BI5" s="4"/>
      <c r="BJ5" s="4"/>
      <c r="BK5" s="3"/>
      <c r="BL5" s="3"/>
      <c r="BM5" s="3"/>
    </row>
    <row r="6" ht="25.5" customHeight="1">
      <c r="A6" s="1"/>
      <c r="B6" s="1"/>
      <c r="C6" s="1"/>
      <c r="D6" s="1"/>
      <c r="E6" s="1"/>
      <c r="F6" s="1"/>
      <c r="G6" s="5" t="s">
        <v>0</v>
      </c>
      <c r="BB6" s="5"/>
      <c r="BC6" s="5"/>
      <c r="BD6" s="5"/>
      <c r="BE6" s="5"/>
      <c r="BF6" s="5"/>
      <c r="BG6" s="5"/>
      <c r="BH6" s="4"/>
      <c r="BI6" s="4"/>
      <c r="BJ6" s="4"/>
      <c r="BK6" s="3"/>
      <c r="BL6" s="3"/>
      <c r="BM6" s="3"/>
    </row>
    <row r="7" ht="25.5" customHeight="1">
      <c r="A7" s="1"/>
      <c r="B7" s="1"/>
      <c r="C7" s="1"/>
      <c r="D7" s="1"/>
      <c r="E7" s="1"/>
      <c r="F7" s="1"/>
      <c r="BB7" s="5"/>
      <c r="BC7" s="5"/>
      <c r="BD7" s="5"/>
      <c r="BE7" s="5"/>
      <c r="BF7" s="5"/>
      <c r="BG7" s="5"/>
      <c r="BH7" s="4"/>
      <c r="BI7" s="4"/>
      <c r="BJ7" s="4"/>
      <c r="BK7" s="3"/>
      <c r="BL7" s="3"/>
      <c r="BM7" s="3"/>
    </row>
    <row r="8" ht="25.5" customHeight="1">
      <c r="A8" s="1"/>
      <c r="B8" s="1"/>
      <c r="C8" s="1"/>
      <c r="D8" s="1"/>
      <c r="E8" s="1"/>
      <c r="F8" s="1"/>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4"/>
      <c r="BI8" s="4"/>
      <c r="BJ8" s="4"/>
      <c r="BK8" s="3"/>
      <c r="BL8" s="3"/>
      <c r="BM8" s="3"/>
    </row>
    <row r="9" ht="25.5" customHeight="1">
      <c r="A9" s="1"/>
      <c r="B9" s="1"/>
      <c r="C9" s="1"/>
      <c r="D9" s="1"/>
      <c r="E9" s="1"/>
      <c r="F9" s="1"/>
      <c r="G9" s="6" t="s">
        <v>1</v>
      </c>
      <c r="BB9" s="7"/>
      <c r="BC9" s="7"/>
      <c r="BD9" s="7"/>
      <c r="BE9" s="7"/>
      <c r="BF9" s="7"/>
      <c r="BG9" s="7"/>
      <c r="BH9" s="4"/>
      <c r="BI9" s="4"/>
      <c r="BJ9" s="4"/>
      <c r="BK9" s="3"/>
      <c r="BL9" s="3"/>
      <c r="BM9" s="3"/>
    </row>
    <row r="10" ht="25.5" customHeight="1">
      <c r="A10" s="1"/>
      <c r="B10" s="1"/>
      <c r="C10" s="1"/>
      <c r="D10" s="1"/>
      <c r="E10" s="1"/>
      <c r="F10" s="1"/>
      <c r="BB10" s="7"/>
      <c r="BC10" s="7"/>
      <c r="BD10" s="7"/>
      <c r="BE10" s="7"/>
      <c r="BF10" s="7"/>
      <c r="BG10" s="7"/>
      <c r="BH10" s="4"/>
      <c r="BI10" s="4"/>
      <c r="BJ10" s="4"/>
      <c r="BK10" s="3"/>
      <c r="BL10" s="3"/>
      <c r="BM10" s="3"/>
    </row>
    <row r="11" ht="25.5" customHeight="1">
      <c r="A11" s="1"/>
      <c r="B11" s="1"/>
      <c r="C11" s="1"/>
      <c r="D11" s="1"/>
      <c r="E11" s="1"/>
      <c r="F11" s="1"/>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Y11" s="3"/>
      <c r="AZ11" s="3"/>
      <c r="BA11" s="3"/>
      <c r="BB11" s="3"/>
      <c r="BC11" s="3"/>
      <c r="BD11" s="4"/>
      <c r="BE11" s="4"/>
      <c r="BF11" s="4"/>
      <c r="BG11" s="4"/>
      <c r="BH11" s="4"/>
      <c r="BI11" s="4"/>
      <c r="BJ11" s="4"/>
      <c r="BK11" s="3"/>
      <c r="BL11" s="3"/>
      <c r="BM11" s="3"/>
    </row>
    <row r="12" ht="25.5" customHeight="1">
      <c r="A12" s="1"/>
      <c r="B12" s="1"/>
      <c r="C12" s="1"/>
      <c r="D12" s="1"/>
      <c r="E12" s="1"/>
      <c r="F12" s="1"/>
      <c r="G12" s="8" t="s">
        <v>2</v>
      </c>
      <c r="BB12" s="9"/>
      <c r="BC12" s="9"/>
      <c r="BD12" s="9"/>
      <c r="BE12" s="9"/>
      <c r="BF12" s="9"/>
      <c r="BG12" s="9"/>
      <c r="BH12" s="4"/>
      <c r="BI12" s="4"/>
      <c r="BJ12" s="4"/>
      <c r="BK12" s="3"/>
      <c r="BL12" s="3"/>
      <c r="BM12" s="3"/>
    </row>
    <row r="13" ht="42.0" customHeight="1">
      <c r="A13" s="1"/>
      <c r="B13" s="1"/>
      <c r="C13" s="1"/>
      <c r="D13" s="1"/>
      <c r="E13" s="1"/>
      <c r="F13" s="1"/>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Y13" s="3"/>
      <c r="AZ13" s="3"/>
      <c r="BA13" s="3"/>
      <c r="BB13" s="3"/>
      <c r="BC13" s="3"/>
      <c r="BD13" s="4"/>
      <c r="BE13" s="4"/>
      <c r="BF13" s="4"/>
      <c r="BG13" s="4"/>
      <c r="BH13" s="4"/>
      <c r="BI13" s="4"/>
      <c r="BJ13" s="4"/>
      <c r="BK13" s="3"/>
      <c r="BL13" s="3"/>
      <c r="BM13" s="3"/>
    </row>
    <row r="14" ht="25.5" customHeight="1">
      <c r="A14" s="10"/>
      <c r="B14" s="11"/>
      <c r="C14" s="11"/>
      <c r="D14" s="11"/>
      <c r="E14" s="11"/>
      <c r="F14" s="1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Y14" s="3"/>
      <c r="AZ14" s="3"/>
      <c r="BA14" s="3"/>
      <c r="BB14" s="3"/>
      <c r="BC14" s="3"/>
      <c r="BD14" s="4"/>
      <c r="BE14" s="4"/>
      <c r="BF14" s="4"/>
      <c r="BG14" s="4"/>
      <c r="BH14" s="4"/>
      <c r="BI14" s="4"/>
      <c r="BJ14" s="4"/>
      <c r="BK14" s="3"/>
      <c r="BL14" s="3"/>
      <c r="BM14" s="3"/>
    </row>
    <row r="15" ht="25.5" customHeight="1">
      <c r="A15" s="13"/>
      <c r="F15" s="14"/>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Y15" s="3"/>
      <c r="AZ15" s="3"/>
      <c r="BA15" s="3"/>
      <c r="BB15" s="3"/>
      <c r="BC15" s="3"/>
      <c r="BD15" s="4"/>
      <c r="BE15" s="4"/>
      <c r="BF15" s="4"/>
      <c r="BG15" s="4"/>
      <c r="BH15" s="4"/>
      <c r="BI15" s="4"/>
      <c r="BJ15" s="4"/>
      <c r="BK15" s="3"/>
      <c r="BL15" s="3"/>
      <c r="BM15" s="3"/>
    </row>
    <row r="16" ht="25.5" customHeight="1">
      <c r="A16" s="15" t="s">
        <v>3</v>
      </c>
      <c r="F16" s="14"/>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Y16" s="3"/>
      <c r="AZ16" s="3"/>
      <c r="BA16" s="3"/>
      <c r="BB16" s="3"/>
      <c r="BC16" s="3"/>
      <c r="BD16" s="4"/>
      <c r="BE16" s="4"/>
      <c r="BF16" s="4"/>
      <c r="BG16" s="4"/>
      <c r="BH16" s="4"/>
      <c r="BI16" s="4"/>
      <c r="BJ16" s="4"/>
      <c r="BK16" s="3"/>
      <c r="BL16" s="3"/>
      <c r="BM16" s="3"/>
    </row>
    <row r="17" ht="25.5" customHeight="1">
      <c r="A17" s="13"/>
      <c r="F17" s="14"/>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Y17" s="3"/>
      <c r="AZ17" s="3"/>
      <c r="BA17" s="3"/>
      <c r="BB17" s="3"/>
      <c r="BC17" s="3"/>
      <c r="BD17" s="4"/>
      <c r="BE17" s="4"/>
      <c r="BF17" s="4"/>
      <c r="BG17" s="4"/>
      <c r="BH17" s="4"/>
      <c r="BI17" s="4"/>
      <c r="BJ17" s="4"/>
      <c r="BK17" s="3"/>
      <c r="BL17" s="3"/>
      <c r="BM17" s="3"/>
    </row>
    <row r="18" ht="21.0" customHeight="1">
      <c r="A18" s="16" t="s">
        <v>4</v>
      </c>
      <c r="C18" s="17"/>
      <c r="D18" s="17"/>
      <c r="E18" s="17"/>
      <c r="F18" s="18">
        <f>C40</f>
        <v>169</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Y18" s="3"/>
      <c r="AZ18" s="3"/>
      <c r="BA18" s="3"/>
      <c r="BB18" s="3"/>
      <c r="BC18" s="3"/>
      <c r="BD18" s="4"/>
      <c r="BE18" s="4"/>
      <c r="BF18" s="4"/>
      <c r="BG18" s="4"/>
      <c r="BH18" s="4"/>
      <c r="BI18" s="4"/>
      <c r="BJ18" s="4"/>
      <c r="BK18" s="3"/>
      <c r="BL18" s="3"/>
      <c r="BM18" s="3"/>
    </row>
    <row r="19" ht="21.75" customHeight="1">
      <c r="A19" s="16" t="s">
        <v>5</v>
      </c>
      <c r="C19" s="17"/>
      <c r="D19" s="17"/>
      <c r="E19" s="17"/>
      <c r="F19" s="18">
        <f>D40</f>
        <v>163</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Y19" s="3"/>
      <c r="AZ19" s="3"/>
      <c r="BA19" s="3"/>
      <c r="BB19" s="3"/>
      <c r="BC19" s="3"/>
      <c r="BD19" s="4"/>
      <c r="BE19" s="4"/>
      <c r="BF19" s="4"/>
      <c r="BG19" s="4"/>
      <c r="BH19" s="4"/>
      <c r="BI19" s="4"/>
      <c r="BJ19" s="4"/>
      <c r="BK19" s="3"/>
      <c r="BL19" s="3"/>
      <c r="BM19" s="3"/>
    </row>
    <row r="20" ht="21.0" customHeight="1">
      <c r="A20" s="16" t="s">
        <v>6</v>
      </c>
      <c r="C20" s="17"/>
      <c r="D20" s="17"/>
      <c r="E20" s="17"/>
      <c r="F20" s="18">
        <f>E40</f>
        <v>6</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Y20" s="3"/>
      <c r="AZ20" s="3"/>
      <c r="BA20" s="3"/>
      <c r="BB20" s="3"/>
      <c r="BC20" s="3"/>
      <c r="BD20" s="4"/>
      <c r="BE20" s="4"/>
      <c r="BF20" s="4"/>
      <c r="BG20" s="4"/>
      <c r="BH20" s="4"/>
      <c r="BI20" s="4"/>
      <c r="BJ20" s="4"/>
      <c r="BK20" s="3"/>
      <c r="BL20" s="3"/>
      <c r="BM20" s="3"/>
    </row>
    <row r="21" ht="24.0" customHeight="1">
      <c r="A21" s="16" t="s">
        <v>7</v>
      </c>
      <c r="C21" s="17"/>
      <c r="D21" s="17"/>
      <c r="E21" s="17"/>
      <c r="F21" s="18">
        <f>F40</f>
        <v>8</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Y21" s="3"/>
      <c r="AZ21" s="3"/>
      <c r="BA21" s="3"/>
      <c r="BB21" s="3"/>
      <c r="BC21" s="3"/>
      <c r="BD21" s="4"/>
      <c r="BE21" s="4"/>
      <c r="BF21" s="4"/>
      <c r="BG21" s="4"/>
      <c r="BH21" s="4"/>
      <c r="BI21" s="4"/>
      <c r="BJ21" s="4"/>
      <c r="BK21" s="3"/>
      <c r="BL21" s="3"/>
      <c r="BM21" s="3"/>
    </row>
    <row r="22" ht="24.0" customHeight="1">
      <c r="A22" s="16"/>
      <c r="B22" s="19"/>
      <c r="C22" s="20"/>
      <c r="D22" s="20"/>
      <c r="E22" s="20"/>
      <c r="F22" s="21"/>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Y22" s="3"/>
      <c r="AZ22" s="3"/>
      <c r="BA22" s="3"/>
      <c r="BB22" s="3"/>
      <c r="BC22" s="3"/>
      <c r="BD22" s="4"/>
      <c r="BE22" s="4"/>
      <c r="BF22" s="4"/>
      <c r="BG22" s="4"/>
      <c r="BH22" s="4"/>
      <c r="BI22" s="4"/>
      <c r="BJ22" s="4"/>
      <c r="BK22" s="3"/>
      <c r="BL22" s="3"/>
      <c r="BM22" s="3"/>
    </row>
    <row r="23" ht="42.0" customHeight="1">
      <c r="A23" s="22" t="s">
        <v>8</v>
      </c>
      <c r="B23" s="23"/>
      <c r="C23" s="23"/>
      <c r="D23" s="23"/>
      <c r="E23" s="23"/>
      <c r="F23" s="24"/>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Y23" s="3"/>
      <c r="AZ23" s="3"/>
      <c r="BA23" s="3"/>
      <c r="BB23" s="3"/>
      <c r="BC23" s="3"/>
      <c r="BD23" s="4"/>
      <c r="BE23" s="4"/>
      <c r="BF23" s="4"/>
      <c r="BG23" s="4"/>
      <c r="BH23" s="4"/>
      <c r="BI23" s="4"/>
      <c r="BJ23" s="4"/>
      <c r="BK23" s="3"/>
      <c r="BL23" s="3"/>
      <c r="BM23" s="3"/>
    </row>
    <row r="24" ht="52.5" customHeight="1">
      <c r="A24" s="25"/>
      <c r="C24" s="25"/>
      <c r="D24" s="25"/>
      <c r="E24" s="25"/>
      <c r="F24" s="25"/>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Y24" s="3"/>
      <c r="AZ24" s="3"/>
      <c r="BA24" s="3"/>
      <c r="BB24" s="3"/>
      <c r="BC24" s="3"/>
      <c r="BD24" s="4"/>
      <c r="BE24" s="4"/>
      <c r="BF24" s="4"/>
      <c r="BG24" s="4"/>
      <c r="BH24" s="4"/>
      <c r="BI24" s="4"/>
      <c r="BJ24" s="4"/>
      <c r="BK24" s="3"/>
      <c r="BL24" s="3"/>
      <c r="BM24" s="3"/>
    </row>
    <row r="25" ht="14.25" customHeight="1">
      <c r="A25" s="26"/>
      <c r="B25" s="27"/>
      <c r="C25" s="26"/>
      <c r="D25" s="26"/>
      <c r="E25" s="26"/>
      <c r="F25" s="26"/>
      <c r="G25" s="28" t="s">
        <v>9</v>
      </c>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30"/>
      <c r="AY25" s="31"/>
      <c r="AZ25" s="32"/>
      <c r="BA25" s="32"/>
      <c r="BB25" s="32"/>
      <c r="BC25" s="32"/>
      <c r="BD25" s="32"/>
      <c r="BE25" s="33"/>
      <c r="BF25" s="33"/>
      <c r="BG25" s="34"/>
      <c r="BH25" s="34"/>
      <c r="BI25" s="34"/>
      <c r="BJ25" s="34"/>
      <c r="BK25" s="34"/>
      <c r="BL25" s="35"/>
      <c r="BM25" s="35"/>
      <c r="BN25" s="36"/>
    </row>
    <row r="26" ht="14.25" customHeight="1">
      <c r="A26" s="37" t="s">
        <v>10</v>
      </c>
      <c r="B26" s="38" t="s">
        <v>11</v>
      </c>
      <c r="C26" s="39" t="s">
        <v>12</v>
      </c>
      <c r="D26" s="39" t="s">
        <v>13</v>
      </c>
      <c r="E26" s="39" t="s">
        <v>14</v>
      </c>
      <c r="F26" s="39" t="s">
        <v>15</v>
      </c>
      <c r="G26" s="40" t="s">
        <v>16</v>
      </c>
      <c r="H26" s="29"/>
      <c r="I26" s="29"/>
      <c r="J26" s="29"/>
      <c r="K26" s="29"/>
      <c r="L26" s="29"/>
      <c r="M26" s="29"/>
      <c r="N26" s="29"/>
      <c r="O26" s="29"/>
      <c r="P26" s="29"/>
      <c r="Q26" s="29"/>
      <c r="R26" s="29"/>
      <c r="S26" s="29"/>
      <c r="T26" s="29"/>
      <c r="U26" s="29"/>
      <c r="V26" s="29"/>
      <c r="W26" s="29"/>
      <c r="X26" s="29"/>
      <c r="Y26" s="29"/>
      <c r="Z26" s="29"/>
      <c r="AA26" s="41"/>
      <c r="AB26" s="42" t="s">
        <v>17</v>
      </c>
      <c r="AC26" s="29"/>
      <c r="AD26" s="29"/>
      <c r="AE26" s="29"/>
      <c r="AF26" s="29"/>
      <c r="AG26" s="29"/>
      <c r="AH26" s="29"/>
      <c r="AI26" s="29"/>
      <c r="AJ26" s="29"/>
      <c r="AK26" s="29"/>
      <c r="AL26" s="29"/>
      <c r="AM26" s="29"/>
      <c r="AN26" s="29"/>
      <c r="AO26" s="29"/>
      <c r="AP26" s="29"/>
      <c r="AQ26" s="29"/>
      <c r="AR26" s="29"/>
      <c r="AS26" s="29"/>
      <c r="AT26" s="29"/>
      <c r="AU26" s="29"/>
      <c r="AV26" s="29"/>
      <c r="AW26" s="41"/>
      <c r="AY26" s="43"/>
      <c r="BE26" s="44"/>
      <c r="BF26" s="44"/>
      <c r="BI26" s="44"/>
      <c r="BL26" s="45"/>
      <c r="BM26" s="45"/>
      <c r="BN26" s="46"/>
    </row>
    <row r="27" ht="56.25" customHeight="1">
      <c r="A27" s="47"/>
      <c r="B27" s="14"/>
      <c r="C27" s="14"/>
      <c r="D27" s="14"/>
      <c r="E27" s="14"/>
      <c r="F27" s="14"/>
      <c r="G27" s="48" t="s">
        <v>18</v>
      </c>
      <c r="H27" s="48" t="s">
        <v>19</v>
      </c>
      <c r="I27" s="48" t="s">
        <v>20</v>
      </c>
      <c r="J27" s="48" t="s">
        <v>21</v>
      </c>
      <c r="K27" s="48" t="s">
        <v>22</v>
      </c>
      <c r="L27" s="48" t="s">
        <v>23</v>
      </c>
      <c r="M27" s="48" t="s">
        <v>24</v>
      </c>
      <c r="N27" s="48" t="s">
        <v>25</v>
      </c>
      <c r="O27" s="48" t="s">
        <v>26</v>
      </c>
      <c r="P27" s="48" t="s">
        <v>27</v>
      </c>
      <c r="Q27" s="48" t="s">
        <v>28</v>
      </c>
      <c r="R27" s="48" t="s">
        <v>29</v>
      </c>
      <c r="S27" s="48" t="s">
        <v>30</v>
      </c>
      <c r="T27" s="48" t="s">
        <v>31</v>
      </c>
      <c r="U27" s="48" t="s">
        <v>32</v>
      </c>
      <c r="V27" s="48" t="s">
        <v>33</v>
      </c>
      <c r="W27" s="48" t="s">
        <v>34</v>
      </c>
      <c r="X27" s="48" t="s">
        <v>35</v>
      </c>
      <c r="Y27" s="48" t="s">
        <v>36</v>
      </c>
      <c r="Z27" s="48" t="s">
        <v>37</v>
      </c>
      <c r="AA27" s="49" t="s">
        <v>38</v>
      </c>
      <c r="AB27" s="50" t="s">
        <v>39</v>
      </c>
      <c r="AC27" s="51" t="s">
        <v>19</v>
      </c>
      <c r="AD27" s="51" t="s">
        <v>20</v>
      </c>
      <c r="AE27" s="51" t="s">
        <v>21</v>
      </c>
      <c r="AF27" s="51" t="s">
        <v>22</v>
      </c>
      <c r="AG27" s="51" t="s">
        <v>23</v>
      </c>
      <c r="AH27" s="51" t="s">
        <v>24</v>
      </c>
      <c r="AI27" s="51" t="s">
        <v>25</v>
      </c>
      <c r="AJ27" s="51" t="s">
        <v>26</v>
      </c>
      <c r="AK27" s="51" t="s">
        <v>27</v>
      </c>
      <c r="AL27" s="51" t="s">
        <v>28</v>
      </c>
      <c r="AM27" s="51" t="s">
        <v>29</v>
      </c>
      <c r="AN27" s="51" t="s">
        <v>30</v>
      </c>
      <c r="AO27" s="51" t="s">
        <v>31</v>
      </c>
      <c r="AP27" s="51" t="s">
        <v>32</v>
      </c>
      <c r="AQ27" s="51" t="s">
        <v>33</v>
      </c>
      <c r="AR27" s="51" t="s">
        <v>34</v>
      </c>
      <c r="AS27" s="51" t="s">
        <v>35</v>
      </c>
      <c r="AT27" s="51" t="s">
        <v>36</v>
      </c>
      <c r="AU27" s="51" t="s">
        <v>37</v>
      </c>
      <c r="AV27" s="51" t="s">
        <v>38</v>
      </c>
      <c r="AW27" s="51" t="s">
        <v>40</v>
      </c>
      <c r="AY27" s="52"/>
      <c r="AZ27" s="53"/>
      <c r="BA27" s="53"/>
      <c r="BB27" s="53"/>
      <c r="BC27" s="54"/>
      <c r="BD27" s="45"/>
      <c r="BE27" s="53"/>
      <c r="BF27" s="55"/>
      <c r="BG27" s="55"/>
      <c r="BH27" s="56"/>
      <c r="BI27" s="57"/>
      <c r="BJ27" s="58"/>
      <c r="BK27" s="59"/>
      <c r="BL27" s="53"/>
      <c r="BM27" s="53"/>
      <c r="BN27" s="46"/>
    </row>
    <row r="28" ht="19.5" hidden="1" customHeight="1">
      <c r="A28" s="47"/>
      <c r="B28" s="14"/>
      <c r="C28" s="14"/>
      <c r="D28" s="14"/>
      <c r="E28" s="14"/>
      <c r="F28" s="14"/>
      <c r="G28" s="60"/>
      <c r="H28" s="60"/>
      <c r="I28" s="60"/>
      <c r="J28" s="60"/>
      <c r="K28" s="60"/>
      <c r="L28" s="60"/>
      <c r="M28" s="60"/>
      <c r="N28" s="60"/>
      <c r="O28" s="60"/>
      <c r="P28" s="60"/>
      <c r="Q28" s="60"/>
      <c r="R28" s="60"/>
      <c r="S28" s="60"/>
      <c r="T28" s="60"/>
      <c r="U28" s="60"/>
      <c r="V28" s="60"/>
      <c r="W28" s="60"/>
      <c r="X28" s="60"/>
      <c r="Y28" s="60"/>
      <c r="Z28" s="60"/>
      <c r="AA28" s="61"/>
      <c r="AB28" s="62"/>
      <c r="AC28" s="62"/>
      <c r="AD28" s="62"/>
      <c r="AE28" s="62"/>
      <c r="AF28" s="63"/>
      <c r="AG28" s="63"/>
      <c r="AH28" s="63"/>
      <c r="AI28" s="63"/>
      <c r="AJ28" s="63"/>
      <c r="AK28" s="63"/>
      <c r="AL28" s="63"/>
      <c r="AM28" s="63"/>
      <c r="AN28" s="63"/>
      <c r="AO28" s="63"/>
      <c r="AP28" s="63"/>
      <c r="AQ28" s="63"/>
      <c r="AR28" s="63"/>
      <c r="AS28" s="63"/>
      <c r="AT28" s="63"/>
      <c r="AU28" s="63"/>
      <c r="AV28" s="63"/>
      <c r="AW28" s="63"/>
      <c r="AY28" s="64"/>
      <c r="BE28" s="53"/>
      <c r="BL28" s="53"/>
      <c r="BM28" s="53"/>
      <c r="BN28" s="46"/>
    </row>
    <row r="29" ht="19.5" customHeight="1">
      <c r="A29" s="65"/>
      <c r="B29" s="24"/>
      <c r="C29" s="24"/>
      <c r="D29" s="24"/>
      <c r="E29" s="24"/>
      <c r="F29" s="24"/>
      <c r="G29" s="66" t="s">
        <v>41</v>
      </c>
      <c r="H29" s="66" t="s">
        <v>41</v>
      </c>
      <c r="I29" s="66" t="s">
        <v>41</v>
      </c>
      <c r="J29" s="66" t="s">
        <v>42</v>
      </c>
      <c r="K29" s="66" t="s">
        <v>42</v>
      </c>
      <c r="L29" s="66" t="s">
        <v>43</v>
      </c>
      <c r="M29" s="66" t="s">
        <v>42</v>
      </c>
      <c r="N29" s="66" t="s">
        <v>42</v>
      </c>
      <c r="O29" s="66" t="s">
        <v>44</v>
      </c>
      <c r="P29" s="66" t="s">
        <v>42</v>
      </c>
      <c r="Q29" s="66" t="s">
        <v>41</v>
      </c>
      <c r="R29" s="66" t="s">
        <v>41</v>
      </c>
      <c r="S29" s="66" t="s">
        <v>44</v>
      </c>
      <c r="T29" s="66" t="s">
        <v>42</v>
      </c>
      <c r="U29" s="66" t="s">
        <v>43</v>
      </c>
      <c r="V29" s="66" t="s">
        <v>44</v>
      </c>
      <c r="W29" s="66" t="s">
        <v>44</v>
      </c>
      <c r="X29" s="66" t="s">
        <v>44</v>
      </c>
      <c r="Y29" s="66" t="s">
        <v>41</v>
      </c>
      <c r="Z29" s="66" t="s">
        <v>43</v>
      </c>
      <c r="AA29" s="67" t="s">
        <v>42</v>
      </c>
      <c r="AB29" s="68" t="s">
        <v>44</v>
      </c>
      <c r="AC29" s="69" t="s">
        <v>43</v>
      </c>
      <c r="AD29" s="69" t="s">
        <v>41</v>
      </c>
      <c r="AE29" s="69" t="s">
        <v>43</v>
      </c>
      <c r="AF29" s="69" t="s">
        <v>41</v>
      </c>
      <c r="AG29" s="69" t="s">
        <v>41</v>
      </c>
      <c r="AH29" s="69" t="s">
        <v>42</v>
      </c>
      <c r="AI29" s="69" t="s">
        <v>44</v>
      </c>
      <c r="AJ29" s="69" t="s">
        <v>43</v>
      </c>
      <c r="AK29" s="69" t="s">
        <v>44</v>
      </c>
      <c r="AL29" s="69" t="s">
        <v>41</v>
      </c>
      <c r="AM29" s="69" t="s">
        <v>42</v>
      </c>
      <c r="AN29" s="69" t="s">
        <v>43</v>
      </c>
      <c r="AO29" s="69" t="s">
        <v>42</v>
      </c>
      <c r="AP29" s="69" t="s">
        <v>41</v>
      </c>
      <c r="AQ29" s="69" t="s">
        <v>44</v>
      </c>
      <c r="AR29" s="69" t="s">
        <v>42</v>
      </c>
      <c r="AS29" s="69" t="s">
        <v>43</v>
      </c>
      <c r="AT29" s="69" t="s">
        <v>44</v>
      </c>
      <c r="AU29" s="69" t="s">
        <v>41</v>
      </c>
      <c r="AV29" s="69" t="s">
        <v>41</v>
      </c>
      <c r="AW29" s="69" t="s">
        <v>42</v>
      </c>
      <c r="AY29" s="64"/>
      <c r="BE29" s="53"/>
      <c r="BL29" s="53"/>
      <c r="BM29" s="53"/>
      <c r="BN29" s="46"/>
    </row>
    <row r="30" ht="15.75" customHeight="1">
      <c r="A30" s="70">
        <v>1.0</v>
      </c>
      <c r="B30" s="71" t="s">
        <v>45</v>
      </c>
      <c r="C30" s="72">
        <f t="array" ref="C30">'5º Ano - 501'!$C$18</f>
        <v>29</v>
      </c>
      <c r="D30" s="72">
        <f t="array" ref="D30">'5º Ano - 501'!$C$19</f>
        <v>28</v>
      </c>
      <c r="E30" s="72">
        <f t="array" ref="E30">'5º Ano - 501'!$C$20</f>
        <v>1</v>
      </c>
      <c r="F30" s="72">
        <f t="array" ref="F30">'5º Ano - 501'!$C$21</f>
        <v>1</v>
      </c>
      <c r="G30" s="73">
        <f t="array" ref="G30:AW30">'5º Ano - 501'!$D$70:AT$70</f>
        <v>9</v>
      </c>
      <c r="H30" s="73">
        <v>11.0</v>
      </c>
      <c r="I30" s="73">
        <v>10.0</v>
      </c>
      <c r="J30" s="73">
        <v>3.0</v>
      </c>
      <c r="K30" s="73">
        <v>14.0</v>
      </c>
      <c r="L30" s="73">
        <v>5.0</v>
      </c>
      <c r="M30" s="73">
        <v>4.0</v>
      </c>
      <c r="N30" s="73">
        <v>6.0</v>
      </c>
      <c r="O30" s="73">
        <v>1.0</v>
      </c>
      <c r="P30" s="73">
        <v>13.0</v>
      </c>
      <c r="Q30" s="73">
        <v>1.0</v>
      </c>
      <c r="R30" s="73">
        <v>2.0</v>
      </c>
      <c r="S30" s="73">
        <v>3.0</v>
      </c>
      <c r="T30" s="73">
        <v>1.0</v>
      </c>
      <c r="U30" s="73">
        <v>13.0</v>
      </c>
      <c r="V30" s="73">
        <v>1.0</v>
      </c>
      <c r="W30" s="73">
        <v>3.0</v>
      </c>
      <c r="X30" s="73">
        <v>1.0</v>
      </c>
      <c r="Y30" s="73">
        <v>0.0</v>
      </c>
      <c r="Z30" s="73">
        <v>0.0</v>
      </c>
      <c r="AA30" s="74">
        <v>15.0</v>
      </c>
      <c r="AB30" s="73">
        <v>1.0</v>
      </c>
      <c r="AC30" s="73">
        <v>1.0</v>
      </c>
      <c r="AD30" s="73">
        <v>24.0</v>
      </c>
      <c r="AE30" s="73">
        <v>26.0</v>
      </c>
      <c r="AF30" s="73">
        <v>2.0</v>
      </c>
      <c r="AG30" s="73">
        <v>2.0</v>
      </c>
      <c r="AH30" s="73">
        <v>20.0</v>
      </c>
      <c r="AI30" s="73">
        <v>1.0</v>
      </c>
      <c r="AJ30" s="73">
        <v>2.0</v>
      </c>
      <c r="AK30" s="73">
        <v>2.0</v>
      </c>
      <c r="AL30" s="73">
        <v>1.0</v>
      </c>
      <c r="AM30" s="73">
        <v>0.0</v>
      </c>
      <c r="AN30" s="73">
        <v>2.0</v>
      </c>
      <c r="AO30" s="73">
        <v>1.0</v>
      </c>
      <c r="AP30" s="73">
        <v>0.0</v>
      </c>
      <c r="AQ30" s="73">
        <v>3.0</v>
      </c>
      <c r="AR30" s="73">
        <v>1.0</v>
      </c>
      <c r="AS30" s="73">
        <v>1.0</v>
      </c>
      <c r="AT30" s="73">
        <v>12.0</v>
      </c>
      <c r="AU30" s="73">
        <v>4.0</v>
      </c>
      <c r="AV30" s="73">
        <v>1.0</v>
      </c>
      <c r="AW30" s="73">
        <v>4.0</v>
      </c>
      <c r="AY30" s="75"/>
      <c r="AZ30" s="76"/>
      <c r="BA30" s="76"/>
      <c r="BB30" s="76"/>
      <c r="BC30" s="77"/>
      <c r="BD30" s="78"/>
      <c r="BE30" s="79"/>
      <c r="BF30" s="79"/>
      <c r="BG30" s="79"/>
      <c r="BH30" s="78"/>
      <c r="BI30" s="79"/>
      <c r="BJ30" s="79"/>
      <c r="BK30" s="79"/>
      <c r="BL30" s="79"/>
      <c r="BM30" s="79"/>
      <c r="BN30" s="46"/>
    </row>
    <row r="31" ht="15.75" customHeight="1">
      <c r="A31" s="80">
        <v>2.0</v>
      </c>
      <c r="B31" s="71" t="s">
        <v>46</v>
      </c>
      <c r="C31" s="72">
        <f t="array" ref="C31">'5º Ano - 502'!$C$18</f>
        <v>29</v>
      </c>
      <c r="D31" s="72">
        <f t="array" ref="D31">'5º Ano - 502'!$C$19</f>
        <v>29</v>
      </c>
      <c r="E31" s="72">
        <f t="array" ref="E31">'5º Ano - 502'!$C$20</f>
        <v>0</v>
      </c>
      <c r="F31" s="72">
        <f t="array" ref="F31">'5º Ano - 502'!$C$21</f>
        <v>1</v>
      </c>
      <c r="G31" s="73">
        <f t="array" ref="G31:AW31">'5º Ano - 502'!$D$70:AT$70</f>
        <v>4</v>
      </c>
      <c r="H31" s="73">
        <v>4.0</v>
      </c>
      <c r="I31" s="73">
        <v>14.0</v>
      </c>
      <c r="J31" s="73">
        <v>8.0</v>
      </c>
      <c r="K31" s="73">
        <v>19.0</v>
      </c>
      <c r="L31" s="73">
        <v>10.0</v>
      </c>
      <c r="M31" s="73">
        <v>2.0</v>
      </c>
      <c r="N31" s="73">
        <v>8.0</v>
      </c>
      <c r="O31" s="73">
        <v>0.0</v>
      </c>
      <c r="P31" s="73">
        <v>15.0</v>
      </c>
      <c r="Q31" s="73">
        <v>3.0</v>
      </c>
      <c r="R31" s="73">
        <v>0.0</v>
      </c>
      <c r="S31" s="73">
        <v>0.0</v>
      </c>
      <c r="T31" s="73">
        <v>3.0</v>
      </c>
      <c r="U31" s="73">
        <v>0.0</v>
      </c>
      <c r="V31" s="73">
        <v>2.0</v>
      </c>
      <c r="W31" s="73">
        <v>3.0</v>
      </c>
      <c r="X31" s="73">
        <v>1.0</v>
      </c>
      <c r="Y31" s="73">
        <v>0.0</v>
      </c>
      <c r="Z31" s="73">
        <v>1.0</v>
      </c>
      <c r="AA31" s="74">
        <v>21.0</v>
      </c>
      <c r="AB31" s="73">
        <v>1.0</v>
      </c>
      <c r="AC31" s="73">
        <v>1.0</v>
      </c>
      <c r="AD31" s="73">
        <v>27.0</v>
      </c>
      <c r="AE31" s="73">
        <v>25.0</v>
      </c>
      <c r="AF31" s="73">
        <v>4.0</v>
      </c>
      <c r="AG31" s="73">
        <v>6.0</v>
      </c>
      <c r="AH31" s="73">
        <v>21.0</v>
      </c>
      <c r="AI31" s="73">
        <v>1.0</v>
      </c>
      <c r="AJ31" s="73">
        <v>3.0</v>
      </c>
      <c r="AK31" s="73">
        <v>7.0</v>
      </c>
      <c r="AL31" s="73">
        <v>0.0</v>
      </c>
      <c r="AM31" s="73">
        <v>1.0</v>
      </c>
      <c r="AN31" s="73">
        <v>1.0</v>
      </c>
      <c r="AO31" s="73">
        <v>1.0</v>
      </c>
      <c r="AP31" s="73">
        <v>2.0</v>
      </c>
      <c r="AQ31" s="73">
        <v>2.0</v>
      </c>
      <c r="AR31" s="73">
        <v>3.0</v>
      </c>
      <c r="AS31" s="73">
        <v>2.0</v>
      </c>
      <c r="AT31" s="73">
        <v>2.0</v>
      </c>
      <c r="AU31" s="73">
        <v>3.0</v>
      </c>
      <c r="AV31" s="73">
        <v>3.0</v>
      </c>
      <c r="AW31" s="73">
        <v>8.0</v>
      </c>
      <c r="AY31" s="75"/>
      <c r="AZ31" s="76"/>
      <c r="BA31" s="76"/>
      <c r="BB31" s="76"/>
      <c r="BC31" s="77"/>
      <c r="BD31" s="78"/>
      <c r="BE31" s="79"/>
      <c r="BF31" s="79"/>
      <c r="BG31" s="79"/>
      <c r="BH31" s="78"/>
      <c r="BI31" s="79"/>
      <c r="BJ31" s="79"/>
      <c r="BK31" s="79"/>
      <c r="BL31" s="79"/>
      <c r="BM31" s="79"/>
      <c r="BN31" s="46"/>
    </row>
    <row r="32" ht="15.75" customHeight="1">
      <c r="A32" s="80">
        <v>3.0</v>
      </c>
      <c r="B32" s="71" t="s">
        <v>47</v>
      </c>
      <c r="C32" s="72">
        <f t="array" ref="C32">'5º Ano - 503'!$C$18</f>
        <v>29</v>
      </c>
      <c r="D32" s="72">
        <f t="array" ref="D32">'5º Ano - 503'!$C$19</f>
        <v>27</v>
      </c>
      <c r="E32" s="72">
        <f t="array" ref="E32">'5º Ano - 503'!$C$20</f>
        <v>2</v>
      </c>
      <c r="F32" s="72">
        <f t="array" ref="F32">'5º Ano - 503'!$C$21</f>
        <v>2</v>
      </c>
      <c r="G32" s="73">
        <f t="array" ref="G32:AW32">'5º Ano - 503'!$D$70:AT$70</f>
        <v>2</v>
      </c>
      <c r="H32" s="73">
        <v>21.0</v>
      </c>
      <c r="I32" s="73">
        <v>0.0</v>
      </c>
      <c r="J32" s="73">
        <v>2.0</v>
      </c>
      <c r="K32" s="73">
        <v>24.0</v>
      </c>
      <c r="L32" s="73">
        <v>19.0</v>
      </c>
      <c r="M32" s="73">
        <v>1.0</v>
      </c>
      <c r="N32" s="73">
        <v>1.0</v>
      </c>
      <c r="O32" s="73">
        <v>2.0</v>
      </c>
      <c r="P32" s="73">
        <v>22.0</v>
      </c>
      <c r="Q32" s="73">
        <v>1.0</v>
      </c>
      <c r="R32" s="73">
        <v>22.0</v>
      </c>
      <c r="S32" s="73">
        <v>2.0</v>
      </c>
      <c r="T32" s="73">
        <v>1.0</v>
      </c>
      <c r="U32" s="73">
        <v>19.0</v>
      </c>
      <c r="V32" s="73">
        <v>0.0</v>
      </c>
      <c r="W32" s="73">
        <v>1.0</v>
      </c>
      <c r="X32" s="73">
        <v>5.0</v>
      </c>
      <c r="Y32" s="73">
        <v>1.0</v>
      </c>
      <c r="Z32" s="73">
        <v>1.0</v>
      </c>
      <c r="AA32" s="74">
        <v>21.0</v>
      </c>
      <c r="AB32" s="73">
        <v>0.0</v>
      </c>
      <c r="AC32" s="73">
        <v>0.0</v>
      </c>
      <c r="AD32" s="73">
        <v>25.0</v>
      </c>
      <c r="AE32" s="73">
        <v>24.0</v>
      </c>
      <c r="AF32" s="73">
        <v>1.0</v>
      </c>
      <c r="AG32" s="73">
        <v>1.0</v>
      </c>
      <c r="AH32" s="73">
        <v>21.0</v>
      </c>
      <c r="AI32" s="73">
        <v>0.0</v>
      </c>
      <c r="AJ32" s="73">
        <v>1.0</v>
      </c>
      <c r="AK32" s="73">
        <v>1.0</v>
      </c>
      <c r="AL32" s="73">
        <v>2.0</v>
      </c>
      <c r="AM32" s="73">
        <v>0.0</v>
      </c>
      <c r="AN32" s="73">
        <v>1.0</v>
      </c>
      <c r="AO32" s="73">
        <v>0.0</v>
      </c>
      <c r="AP32" s="73">
        <v>0.0</v>
      </c>
      <c r="AQ32" s="73">
        <v>2.0</v>
      </c>
      <c r="AR32" s="73">
        <v>2.0</v>
      </c>
      <c r="AS32" s="73">
        <v>1.0</v>
      </c>
      <c r="AT32" s="73">
        <v>21.0</v>
      </c>
      <c r="AU32" s="73">
        <v>3.0</v>
      </c>
      <c r="AV32" s="73">
        <v>1.0</v>
      </c>
      <c r="AW32" s="73">
        <v>4.0</v>
      </c>
      <c r="AY32" s="75"/>
      <c r="AZ32" s="81"/>
      <c r="BA32" s="81"/>
      <c r="BB32" s="81"/>
      <c r="BC32" s="77"/>
      <c r="BD32" s="78"/>
      <c r="BE32" s="79"/>
      <c r="BF32" s="79"/>
      <c r="BG32" s="79"/>
      <c r="BH32" s="78"/>
      <c r="BI32" s="79"/>
      <c r="BJ32" s="79"/>
      <c r="BK32" s="79"/>
      <c r="BL32" s="79"/>
      <c r="BM32" s="79"/>
      <c r="BN32" s="46"/>
    </row>
    <row r="33" ht="15.75" customHeight="1">
      <c r="A33" s="80">
        <v>4.0</v>
      </c>
      <c r="B33" s="71" t="s">
        <v>48</v>
      </c>
      <c r="C33" s="72">
        <f t="array" ref="C33">'5º Ano - 504'!$C$18</f>
        <v>30</v>
      </c>
      <c r="D33" s="72">
        <f t="array" ref="D33">'5º Ano - 504'!$C$19</f>
        <v>27</v>
      </c>
      <c r="E33" s="72">
        <f t="array" ref="E33">'5º Ano - 504'!$C$20</f>
        <v>3</v>
      </c>
      <c r="F33" s="72">
        <f t="array" ref="F33">'5º Ano - 504'!$C$21</f>
        <v>2</v>
      </c>
      <c r="G33" s="73">
        <f t="array" ref="G33:AW33">'5º Ano - 504'!$D$70:AT$70</f>
        <v>4</v>
      </c>
      <c r="H33" s="73">
        <v>6.0</v>
      </c>
      <c r="I33" s="73">
        <v>3.0</v>
      </c>
      <c r="J33" s="73">
        <v>5.0</v>
      </c>
      <c r="K33" s="73">
        <v>14.0</v>
      </c>
      <c r="L33" s="73">
        <v>10.0</v>
      </c>
      <c r="M33" s="73">
        <v>3.0</v>
      </c>
      <c r="N33" s="73">
        <v>3.0</v>
      </c>
      <c r="O33" s="73">
        <v>2.0</v>
      </c>
      <c r="P33" s="73">
        <v>7.0</v>
      </c>
      <c r="Q33" s="73">
        <v>1.0</v>
      </c>
      <c r="R33" s="73">
        <v>5.0</v>
      </c>
      <c r="S33" s="73">
        <v>6.0</v>
      </c>
      <c r="T33" s="73">
        <v>7.0</v>
      </c>
      <c r="U33" s="73">
        <v>9.0</v>
      </c>
      <c r="V33" s="73">
        <v>3.0</v>
      </c>
      <c r="W33" s="73">
        <v>2.0</v>
      </c>
      <c r="X33" s="73">
        <v>2.0</v>
      </c>
      <c r="Y33" s="73">
        <v>3.0</v>
      </c>
      <c r="Z33" s="73">
        <v>4.0</v>
      </c>
      <c r="AA33" s="74">
        <v>9.0</v>
      </c>
      <c r="AB33" s="73">
        <v>10.0</v>
      </c>
      <c r="AC33" s="73">
        <v>3.0</v>
      </c>
      <c r="AD33" s="73">
        <v>15.0</v>
      </c>
      <c r="AE33" s="73">
        <v>6.0</v>
      </c>
      <c r="AF33" s="73">
        <v>5.0</v>
      </c>
      <c r="AG33" s="73">
        <v>11.0</v>
      </c>
      <c r="AH33" s="73">
        <v>8.0</v>
      </c>
      <c r="AI33" s="73">
        <v>3.0</v>
      </c>
      <c r="AJ33" s="73">
        <v>3.0</v>
      </c>
      <c r="AK33" s="73">
        <v>7.0</v>
      </c>
      <c r="AL33" s="73">
        <v>2.0</v>
      </c>
      <c r="AM33" s="73">
        <v>0.0</v>
      </c>
      <c r="AN33" s="73">
        <v>4.0</v>
      </c>
      <c r="AO33" s="73">
        <v>1.0</v>
      </c>
      <c r="AP33" s="73">
        <v>2.0</v>
      </c>
      <c r="AQ33" s="73">
        <v>2.0</v>
      </c>
      <c r="AR33" s="73">
        <v>2.0</v>
      </c>
      <c r="AS33" s="73">
        <v>5.0</v>
      </c>
      <c r="AT33" s="73">
        <v>3.0</v>
      </c>
      <c r="AU33" s="73">
        <v>8.0</v>
      </c>
      <c r="AV33" s="73">
        <v>6.0</v>
      </c>
      <c r="AW33" s="73">
        <v>8.0</v>
      </c>
      <c r="AY33" s="75"/>
      <c r="AZ33" s="76"/>
      <c r="BA33" s="76"/>
      <c r="BB33" s="76"/>
      <c r="BC33" s="77"/>
      <c r="BD33" s="78"/>
      <c r="BE33" s="79"/>
      <c r="BF33" s="79"/>
      <c r="BG33" s="79"/>
      <c r="BH33" s="78"/>
      <c r="BI33" s="79"/>
      <c r="BJ33" s="79"/>
      <c r="BK33" s="79"/>
      <c r="BL33" s="79"/>
      <c r="BM33" s="79"/>
      <c r="BN33" s="46"/>
    </row>
    <row r="34" ht="15.75" customHeight="1">
      <c r="A34" s="80">
        <v>5.0</v>
      </c>
      <c r="B34" s="71" t="s">
        <v>49</v>
      </c>
      <c r="C34" s="72">
        <f t="array" ref="C34">'5º Ano - 505'!$C$18</f>
        <v>29</v>
      </c>
      <c r="D34" s="72">
        <f t="array" ref="D34">'5º Ano - 505'!$C$19</f>
        <v>29</v>
      </c>
      <c r="E34" s="72">
        <f t="array" ref="E34">'5º Ano - 505'!$C$20</f>
        <v>0</v>
      </c>
      <c r="F34" s="72">
        <f t="array" ref="F34">'5º Ano - 505'!$C$21</f>
        <v>2</v>
      </c>
      <c r="G34" s="73">
        <f t="array" ref="G34:AW34">'5º Ano - 505'!$D$70:AT$70</f>
        <v>4</v>
      </c>
      <c r="H34" s="73">
        <v>12.0</v>
      </c>
      <c r="I34" s="73">
        <v>12.0</v>
      </c>
      <c r="J34" s="73">
        <v>7.0</v>
      </c>
      <c r="K34" s="73">
        <v>9.0</v>
      </c>
      <c r="L34" s="73">
        <v>2.0</v>
      </c>
      <c r="M34" s="73">
        <v>9.0</v>
      </c>
      <c r="N34" s="73">
        <v>4.0</v>
      </c>
      <c r="O34" s="73">
        <v>1.0</v>
      </c>
      <c r="P34" s="73">
        <v>10.0</v>
      </c>
      <c r="Q34" s="73">
        <v>2.0</v>
      </c>
      <c r="R34" s="73">
        <v>20.0</v>
      </c>
      <c r="S34" s="73">
        <v>0.0</v>
      </c>
      <c r="T34" s="73">
        <v>2.0</v>
      </c>
      <c r="U34" s="73">
        <v>8.0</v>
      </c>
      <c r="V34" s="73">
        <v>1.0</v>
      </c>
      <c r="W34" s="73">
        <v>10.0</v>
      </c>
      <c r="X34" s="73">
        <v>2.0</v>
      </c>
      <c r="Y34" s="73">
        <v>0.0</v>
      </c>
      <c r="Z34" s="73">
        <v>3.0</v>
      </c>
      <c r="AA34" s="74">
        <v>22.0</v>
      </c>
      <c r="AB34" s="73">
        <v>0.0</v>
      </c>
      <c r="AC34" s="73">
        <v>1.0</v>
      </c>
      <c r="AD34" s="73">
        <v>25.0</v>
      </c>
      <c r="AE34" s="73">
        <v>22.0</v>
      </c>
      <c r="AF34" s="73">
        <v>3.0</v>
      </c>
      <c r="AG34" s="73">
        <v>4.0</v>
      </c>
      <c r="AH34" s="73">
        <v>23.0</v>
      </c>
      <c r="AI34" s="73">
        <v>0.0</v>
      </c>
      <c r="AJ34" s="73">
        <v>4.0</v>
      </c>
      <c r="AK34" s="73">
        <v>7.0</v>
      </c>
      <c r="AL34" s="73">
        <v>4.0</v>
      </c>
      <c r="AM34" s="73">
        <v>1.0</v>
      </c>
      <c r="AN34" s="73">
        <v>0.0</v>
      </c>
      <c r="AO34" s="73">
        <v>3.0</v>
      </c>
      <c r="AP34" s="73">
        <v>0.0</v>
      </c>
      <c r="AQ34" s="73">
        <v>2.0</v>
      </c>
      <c r="AR34" s="73">
        <v>7.0</v>
      </c>
      <c r="AS34" s="73">
        <v>3.0</v>
      </c>
      <c r="AT34" s="73">
        <v>13.0</v>
      </c>
      <c r="AU34" s="73">
        <v>7.0</v>
      </c>
      <c r="AV34" s="73">
        <v>1.0</v>
      </c>
      <c r="AW34" s="73">
        <v>6.0</v>
      </c>
      <c r="AY34" s="75"/>
      <c r="AZ34" s="81"/>
      <c r="BA34" s="81"/>
      <c r="BB34" s="81"/>
      <c r="BC34" s="77"/>
      <c r="BD34" s="78"/>
      <c r="BE34" s="79"/>
      <c r="BF34" s="79"/>
      <c r="BG34" s="79"/>
      <c r="BH34" s="78"/>
      <c r="BI34" s="79"/>
      <c r="BJ34" s="79"/>
      <c r="BK34" s="79"/>
      <c r="BL34" s="79"/>
      <c r="BM34" s="79"/>
      <c r="BN34" s="46"/>
    </row>
    <row r="35" ht="15.75" customHeight="1">
      <c r="A35" s="80">
        <v>5.0</v>
      </c>
      <c r="B35" s="71" t="s">
        <v>50</v>
      </c>
      <c r="C35" s="72">
        <f t="array" ref="C35">'5º Ano - 506'!$C$18</f>
        <v>23</v>
      </c>
      <c r="D35" s="72">
        <f t="array" ref="D35">'5º Ano - 506'!$C$19</f>
        <v>23</v>
      </c>
      <c r="E35" s="72">
        <f t="array" ref="E35">'5º Ano - 506'!$C$20</f>
        <v>0</v>
      </c>
      <c r="F35" s="72">
        <f t="array" ref="F35">'5º Ano - 506'!$C$21</f>
        <v>0</v>
      </c>
      <c r="G35" s="73">
        <f t="array" ref="G35:AW35">'5º Ano - 506'!$D$70:AT$70</f>
        <v>1</v>
      </c>
      <c r="H35" s="73">
        <v>21.0</v>
      </c>
      <c r="I35" s="73">
        <v>3.0</v>
      </c>
      <c r="J35" s="73">
        <v>1.0</v>
      </c>
      <c r="K35" s="73">
        <v>19.0</v>
      </c>
      <c r="L35" s="73">
        <v>1.0</v>
      </c>
      <c r="M35" s="73">
        <v>0.0</v>
      </c>
      <c r="N35" s="73">
        <v>0.0</v>
      </c>
      <c r="O35" s="73">
        <v>1.0</v>
      </c>
      <c r="P35" s="73">
        <v>20.0</v>
      </c>
      <c r="Q35" s="73">
        <v>1.0</v>
      </c>
      <c r="R35" s="73">
        <v>19.0</v>
      </c>
      <c r="S35" s="73">
        <v>2.0</v>
      </c>
      <c r="T35" s="73">
        <v>0.0</v>
      </c>
      <c r="U35" s="73">
        <v>2.0</v>
      </c>
      <c r="V35" s="73">
        <v>1.0</v>
      </c>
      <c r="W35" s="73">
        <v>0.0</v>
      </c>
      <c r="X35" s="73">
        <v>3.0</v>
      </c>
      <c r="Y35" s="73">
        <v>0.0</v>
      </c>
      <c r="Z35" s="73">
        <v>0.0</v>
      </c>
      <c r="AA35" s="74">
        <v>19.0</v>
      </c>
      <c r="AB35" s="73">
        <v>2.0</v>
      </c>
      <c r="AC35" s="73">
        <v>0.0</v>
      </c>
      <c r="AD35" s="73">
        <v>21.0</v>
      </c>
      <c r="AE35" s="73">
        <v>19.0</v>
      </c>
      <c r="AF35" s="73">
        <v>2.0</v>
      </c>
      <c r="AG35" s="73">
        <v>0.0</v>
      </c>
      <c r="AH35" s="73">
        <v>18.0</v>
      </c>
      <c r="AI35" s="73">
        <v>3.0</v>
      </c>
      <c r="AJ35" s="73">
        <v>3.0</v>
      </c>
      <c r="AK35" s="73">
        <v>2.0</v>
      </c>
      <c r="AL35" s="73">
        <v>2.0</v>
      </c>
      <c r="AM35" s="73">
        <v>1.0</v>
      </c>
      <c r="AN35" s="73">
        <v>2.0</v>
      </c>
      <c r="AO35" s="73">
        <v>2.0</v>
      </c>
      <c r="AP35" s="73">
        <v>1.0</v>
      </c>
      <c r="AQ35" s="73">
        <v>1.0</v>
      </c>
      <c r="AR35" s="73">
        <v>3.0</v>
      </c>
      <c r="AS35" s="73">
        <v>1.0</v>
      </c>
      <c r="AT35" s="73">
        <v>17.0</v>
      </c>
      <c r="AU35" s="73">
        <v>2.0</v>
      </c>
      <c r="AV35" s="73">
        <v>1.0</v>
      </c>
      <c r="AW35" s="73">
        <v>1.0</v>
      </c>
      <c r="AY35" s="75"/>
      <c r="AZ35" s="76"/>
      <c r="BA35" s="76"/>
      <c r="BB35" s="76"/>
      <c r="BC35" s="77"/>
      <c r="BD35" s="78"/>
      <c r="BE35" s="79"/>
      <c r="BF35" s="79"/>
      <c r="BG35" s="79"/>
      <c r="BH35" s="78"/>
      <c r="BI35" s="79"/>
      <c r="BJ35" s="79"/>
      <c r="BK35" s="79"/>
      <c r="BL35" s="79"/>
      <c r="BM35" s="79"/>
      <c r="BN35" s="46"/>
    </row>
    <row r="36" ht="15.75" customHeight="1">
      <c r="A36" s="80">
        <v>5.0</v>
      </c>
      <c r="B36" s="71"/>
      <c r="C36" s="72"/>
      <c r="D36" s="72"/>
      <c r="E36" s="72"/>
      <c r="F36" s="72"/>
      <c r="G36" s="73"/>
      <c r="H36" s="73"/>
      <c r="I36" s="73"/>
      <c r="J36" s="73"/>
      <c r="K36" s="73"/>
      <c r="L36" s="73"/>
      <c r="M36" s="73"/>
      <c r="N36" s="73"/>
      <c r="O36" s="73"/>
      <c r="P36" s="73"/>
      <c r="Q36" s="73"/>
      <c r="R36" s="73"/>
      <c r="S36" s="73"/>
      <c r="T36" s="73"/>
      <c r="U36" s="73"/>
      <c r="V36" s="73"/>
      <c r="W36" s="73"/>
      <c r="X36" s="73"/>
      <c r="Y36" s="73"/>
      <c r="Z36" s="73"/>
      <c r="AA36" s="74"/>
      <c r="AB36" s="73"/>
      <c r="AC36" s="73"/>
      <c r="AD36" s="73"/>
      <c r="AE36" s="73"/>
      <c r="AF36" s="73"/>
      <c r="AG36" s="73"/>
      <c r="AH36" s="73"/>
      <c r="AI36" s="73"/>
      <c r="AJ36" s="73"/>
      <c r="AK36" s="73"/>
      <c r="AL36" s="73"/>
      <c r="AM36" s="73"/>
      <c r="AN36" s="73"/>
      <c r="AO36" s="73"/>
      <c r="AP36" s="73"/>
      <c r="AQ36" s="73"/>
      <c r="AR36" s="73"/>
      <c r="AS36" s="73"/>
      <c r="AT36" s="73"/>
      <c r="AU36" s="73"/>
      <c r="AV36" s="73"/>
      <c r="AW36" s="73"/>
      <c r="AY36" s="75"/>
      <c r="AZ36" s="81"/>
      <c r="BA36" s="81"/>
      <c r="BB36" s="81"/>
      <c r="BC36" s="77"/>
      <c r="BD36" s="78"/>
      <c r="BE36" s="79"/>
      <c r="BF36" s="79"/>
      <c r="BG36" s="79"/>
      <c r="BH36" s="78"/>
      <c r="BI36" s="79"/>
      <c r="BJ36" s="79"/>
      <c r="BK36" s="79"/>
      <c r="BL36" s="79"/>
      <c r="BM36" s="79"/>
      <c r="BN36" s="46"/>
    </row>
    <row r="37" ht="15.75" customHeight="1">
      <c r="A37" s="80">
        <v>5.0</v>
      </c>
      <c r="B37" s="71"/>
      <c r="C37" s="72"/>
      <c r="D37" s="72"/>
      <c r="E37" s="72"/>
      <c r="F37" s="72"/>
      <c r="G37" s="73"/>
      <c r="H37" s="73"/>
      <c r="I37" s="73"/>
      <c r="J37" s="73"/>
      <c r="K37" s="73"/>
      <c r="L37" s="73"/>
      <c r="M37" s="73"/>
      <c r="N37" s="73"/>
      <c r="O37" s="73"/>
      <c r="P37" s="73"/>
      <c r="Q37" s="73"/>
      <c r="R37" s="73"/>
      <c r="S37" s="73"/>
      <c r="T37" s="73"/>
      <c r="U37" s="73"/>
      <c r="V37" s="73"/>
      <c r="W37" s="73"/>
      <c r="X37" s="73"/>
      <c r="Y37" s="73"/>
      <c r="Z37" s="73"/>
      <c r="AA37" s="74"/>
      <c r="AB37" s="73"/>
      <c r="AC37" s="73"/>
      <c r="AD37" s="73"/>
      <c r="AE37" s="73"/>
      <c r="AF37" s="73"/>
      <c r="AG37" s="73"/>
      <c r="AH37" s="73"/>
      <c r="AI37" s="73"/>
      <c r="AJ37" s="73"/>
      <c r="AK37" s="73"/>
      <c r="AL37" s="73"/>
      <c r="AM37" s="73"/>
      <c r="AN37" s="73"/>
      <c r="AO37" s="73"/>
      <c r="AP37" s="73"/>
      <c r="AQ37" s="73"/>
      <c r="AR37" s="73"/>
      <c r="AS37" s="73"/>
      <c r="AT37" s="73"/>
      <c r="AU37" s="73"/>
      <c r="AV37" s="73"/>
      <c r="AW37" s="73"/>
      <c r="AY37" s="75"/>
      <c r="AZ37" s="76"/>
      <c r="BA37" s="76"/>
      <c r="BB37" s="76"/>
      <c r="BC37" s="77"/>
      <c r="BD37" s="78"/>
      <c r="BE37" s="79"/>
      <c r="BF37" s="79"/>
      <c r="BG37" s="79"/>
      <c r="BH37" s="78"/>
      <c r="BI37" s="79"/>
      <c r="BJ37" s="79"/>
      <c r="BK37" s="79"/>
      <c r="BL37" s="79"/>
      <c r="BM37" s="79"/>
      <c r="BN37" s="46"/>
    </row>
    <row r="38" ht="15.75" customHeight="1">
      <c r="A38" s="80">
        <v>5.0</v>
      </c>
      <c r="B38" s="71"/>
      <c r="C38" s="72"/>
      <c r="D38" s="72"/>
      <c r="E38" s="72"/>
      <c r="F38" s="72"/>
      <c r="G38" s="73"/>
      <c r="H38" s="73"/>
      <c r="I38" s="73"/>
      <c r="J38" s="73"/>
      <c r="K38" s="73"/>
      <c r="L38" s="73"/>
      <c r="M38" s="73"/>
      <c r="N38" s="73"/>
      <c r="O38" s="73"/>
      <c r="P38" s="73"/>
      <c r="Q38" s="73"/>
      <c r="R38" s="73"/>
      <c r="S38" s="73"/>
      <c r="T38" s="73"/>
      <c r="U38" s="73"/>
      <c r="V38" s="73"/>
      <c r="W38" s="73"/>
      <c r="X38" s="73"/>
      <c r="Y38" s="73"/>
      <c r="Z38" s="73"/>
      <c r="AA38" s="74"/>
      <c r="AB38" s="73"/>
      <c r="AC38" s="73"/>
      <c r="AD38" s="73"/>
      <c r="AE38" s="73"/>
      <c r="AF38" s="73"/>
      <c r="AG38" s="73"/>
      <c r="AH38" s="73"/>
      <c r="AI38" s="73"/>
      <c r="AJ38" s="73"/>
      <c r="AK38" s="73"/>
      <c r="AL38" s="73"/>
      <c r="AM38" s="73"/>
      <c r="AN38" s="73"/>
      <c r="AO38" s="73"/>
      <c r="AP38" s="73"/>
      <c r="AQ38" s="73"/>
      <c r="AR38" s="73"/>
      <c r="AS38" s="73"/>
      <c r="AT38" s="73"/>
      <c r="AU38" s="73"/>
      <c r="AV38" s="73"/>
      <c r="AW38" s="73"/>
      <c r="AY38" s="75"/>
      <c r="AZ38" s="81"/>
      <c r="BA38" s="81"/>
      <c r="BB38" s="81"/>
      <c r="BC38" s="77"/>
      <c r="BD38" s="78"/>
      <c r="BE38" s="79"/>
      <c r="BF38" s="79"/>
      <c r="BG38" s="79"/>
      <c r="BH38" s="78"/>
      <c r="BI38" s="79"/>
      <c r="BJ38" s="79"/>
      <c r="BK38" s="79"/>
      <c r="BL38" s="79"/>
      <c r="BM38" s="79"/>
      <c r="BN38" s="46"/>
    </row>
    <row r="39" ht="15.75" customHeight="1">
      <c r="A39" s="80">
        <v>5.0</v>
      </c>
      <c r="B39" s="71"/>
      <c r="C39" s="72"/>
      <c r="D39" s="72"/>
      <c r="E39" s="72"/>
      <c r="F39" s="72"/>
      <c r="G39" s="73"/>
      <c r="H39" s="73"/>
      <c r="I39" s="73"/>
      <c r="J39" s="73"/>
      <c r="K39" s="73"/>
      <c r="L39" s="73"/>
      <c r="M39" s="73"/>
      <c r="N39" s="73"/>
      <c r="O39" s="73"/>
      <c r="P39" s="73"/>
      <c r="Q39" s="73"/>
      <c r="R39" s="73"/>
      <c r="S39" s="73"/>
      <c r="T39" s="73"/>
      <c r="U39" s="73"/>
      <c r="V39" s="73"/>
      <c r="W39" s="73"/>
      <c r="X39" s="73"/>
      <c r="Y39" s="73"/>
      <c r="Z39" s="73"/>
      <c r="AA39" s="74"/>
      <c r="AB39" s="73"/>
      <c r="AC39" s="73"/>
      <c r="AD39" s="73"/>
      <c r="AE39" s="73"/>
      <c r="AF39" s="73"/>
      <c r="AG39" s="73"/>
      <c r="AH39" s="73"/>
      <c r="AI39" s="73"/>
      <c r="AJ39" s="73"/>
      <c r="AK39" s="73"/>
      <c r="AL39" s="73"/>
      <c r="AM39" s="73"/>
      <c r="AN39" s="73"/>
      <c r="AO39" s="73"/>
      <c r="AP39" s="73"/>
      <c r="AQ39" s="73"/>
      <c r="AR39" s="73"/>
      <c r="AS39" s="73"/>
      <c r="AT39" s="73"/>
      <c r="AU39" s="73"/>
      <c r="AV39" s="73"/>
      <c r="AW39" s="73"/>
      <c r="AY39" s="75"/>
      <c r="AZ39" s="76"/>
      <c r="BA39" s="76"/>
      <c r="BB39" s="76"/>
      <c r="BC39" s="77"/>
      <c r="BD39" s="78"/>
      <c r="BE39" s="79"/>
      <c r="BF39" s="79"/>
      <c r="BG39" s="79"/>
      <c r="BH39" s="78"/>
      <c r="BI39" s="79"/>
      <c r="BJ39" s="79"/>
      <c r="BK39" s="79"/>
      <c r="BL39" s="79"/>
      <c r="BM39" s="79"/>
      <c r="BN39" s="46"/>
    </row>
    <row r="40" ht="15.75" customHeight="1">
      <c r="A40" s="82"/>
      <c r="B40" s="71"/>
      <c r="C40" s="83">
        <f t="shared" ref="C40:AW40" si="1">SUM(C30:C39)</f>
        <v>169</v>
      </c>
      <c r="D40" s="83">
        <f t="shared" si="1"/>
        <v>163</v>
      </c>
      <c r="E40" s="83">
        <f t="shared" si="1"/>
        <v>6</v>
      </c>
      <c r="F40" s="83">
        <f t="shared" si="1"/>
        <v>8</v>
      </c>
      <c r="G40" s="83">
        <f t="shared" si="1"/>
        <v>24</v>
      </c>
      <c r="H40" s="83">
        <f t="shared" si="1"/>
        <v>75</v>
      </c>
      <c r="I40" s="83">
        <f t="shared" si="1"/>
        <v>42</v>
      </c>
      <c r="J40" s="83">
        <f t="shared" si="1"/>
        <v>26</v>
      </c>
      <c r="K40" s="83">
        <f t="shared" si="1"/>
        <v>99</v>
      </c>
      <c r="L40" s="83">
        <f t="shared" si="1"/>
        <v>47</v>
      </c>
      <c r="M40" s="83">
        <f t="shared" si="1"/>
        <v>19</v>
      </c>
      <c r="N40" s="83">
        <f t="shared" si="1"/>
        <v>22</v>
      </c>
      <c r="O40" s="83">
        <f t="shared" si="1"/>
        <v>7</v>
      </c>
      <c r="P40" s="83">
        <f t="shared" si="1"/>
        <v>87</v>
      </c>
      <c r="Q40" s="83">
        <f t="shared" si="1"/>
        <v>9</v>
      </c>
      <c r="R40" s="83">
        <f t="shared" si="1"/>
        <v>68</v>
      </c>
      <c r="S40" s="83">
        <f t="shared" si="1"/>
        <v>13</v>
      </c>
      <c r="T40" s="83">
        <f t="shared" si="1"/>
        <v>14</v>
      </c>
      <c r="U40" s="83">
        <f t="shared" si="1"/>
        <v>51</v>
      </c>
      <c r="V40" s="83">
        <f t="shared" si="1"/>
        <v>8</v>
      </c>
      <c r="W40" s="83">
        <f t="shared" si="1"/>
        <v>19</v>
      </c>
      <c r="X40" s="83">
        <f t="shared" si="1"/>
        <v>14</v>
      </c>
      <c r="Y40" s="83">
        <f t="shared" si="1"/>
        <v>4</v>
      </c>
      <c r="Z40" s="83">
        <f t="shared" si="1"/>
        <v>9</v>
      </c>
      <c r="AA40" s="83">
        <f t="shared" si="1"/>
        <v>107</v>
      </c>
      <c r="AB40" s="83">
        <f t="shared" si="1"/>
        <v>14</v>
      </c>
      <c r="AC40" s="83">
        <f t="shared" si="1"/>
        <v>6</v>
      </c>
      <c r="AD40" s="83">
        <f t="shared" si="1"/>
        <v>137</v>
      </c>
      <c r="AE40" s="83">
        <f t="shared" si="1"/>
        <v>122</v>
      </c>
      <c r="AF40" s="83">
        <f t="shared" si="1"/>
        <v>17</v>
      </c>
      <c r="AG40" s="83">
        <f t="shared" si="1"/>
        <v>24</v>
      </c>
      <c r="AH40" s="83">
        <f t="shared" si="1"/>
        <v>111</v>
      </c>
      <c r="AI40" s="83">
        <f t="shared" si="1"/>
        <v>8</v>
      </c>
      <c r="AJ40" s="83">
        <f t="shared" si="1"/>
        <v>16</v>
      </c>
      <c r="AK40" s="83">
        <f t="shared" si="1"/>
        <v>26</v>
      </c>
      <c r="AL40" s="83">
        <f t="shared" si="1"/>
        <v>11</v>
      </c>
      <c r="AM40" s="83">
        <f t="shared" si="1"/>
        <v>3</v>
      </c>
      <c r="AN40" s="83">
        <f t="shared" si="1"/>
        <v>10</v>
      </c>
      <c r="AO40" s="83">
        <f t="shared" si="1"/>
        <v>8</v>
      </c>
      <c r="AP40" s="83">
        <f t="shared" si="1"/>
        <v>5</v>
      </c>
      <c r="AQ40" s="83">
        <f t="shared" si="1"/>
        <v>12</v>
      </c>
      <c r="AR40" s="83">
        <f t="shared" si="1"/>
        <v>18</v>
      </c>
      <c r="AS40" s="83">
        <f t="shared" si="1"/>
        <v>13</v>
      </c>
      <c r="AT40" s="83">
        <f t="shared" si="1"/>
        <v>68</v>
      </c>
      <c r="AU40" s="83">
        <f t="shared" si="1"/>
        <v>27</v>
      </c>
      <c r="AV40" s="83">
        <f t="shared" si="1"/>
        <v>13</v>
      </c>
      <c r="AW40" s="83">
        <f t="shared" si="1"/>
        <v>31</v>
      </c>
      <c r="AY40" s="84"/>
      <c r="AZ40" s="85"/>
      <c r="BA40" s="85"/>
      <c r="BB40" s="85"/>
      <c r="BC40" s="85"/>
      <c r="BD40" s="85"/>
      <c r="BE40" s="85"/>
      <c r="BF40" s="85"/>
      <c r="BG40" s="85"/>
      <c r="BH40" s="85"/>
      <c r="BI40" s="85"/>
      <c r="BJ40" s="85"/>
      <c r="BK40" s="85"/>
      <c r="BL40" s="85"/>
      <c r="BM40" s="86"/>
      <c r="BN40" s="87"/>
    </row>
    <row r="41" ht="39.0" customHeight="1">
      <c r="AX41" s="88"/>
    </row>
    <row r="42" ht="12.0" customHeight="1">
      <c r="A42" s="89"/>
      <c r="B42" s="90"/>
      <c r="C42" s="90"/>
      <c r="D42" s="90"/>
      <c r="E42" s="90"/>
      <c r="F42" s="91"/>
      <c r="G42" s="92" t="s">
        <v>51</v>
      </c>
      <c r="AM42" s="93"/>
    </row>
    <row r="43" ht="12.0" customHeight="1">
      <c r="A43" s="94"/>
      <c r="B43" s="95"/>
      <c r="C43" s="95"/>
      <c r="D43" s="95"/>
      <c r="E43" s="95"/>
      <c r="F43" s="95"/>
      <c r="G43" s="96" t="s">
        <v>52</v>
      </c>
      <c r="H43" s="97"/>
      <c r="I43" s="98" t="s">
        <v>53</v>
      </c>
      <c r="J43" s="99" t="s">
        <v>54</v>
      </c>
      <c r="K43" s="100" t="s">
        <v>55</v>
      </c>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97"/>
      <c r="AM43" s="101"/>
    </row>
    <row r="44">
      <c r="A44" s="94"/>
      <c r="B44" s="95"/>
      <c r="C44" s="95"/>
      <c r="D44" s="95"/>
      <c r="E44" s="95"/>
      <c r="F44" s="95"/>
      <c r="G44" s="102"/>
      <c r="H44" s="24"/>
      <c r="I44" s="65"/>
      <c r="J44" s="65"/>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4"/>
      <c r="AM44" s="101"/>
    </row>
    <row r="45">
      <c r="A45" s="94"/>
      <c r="B45" s="95"/>
      <c r="C45" s="95"/>
      <c r="D45" s="95"/>
      <c r="E45" s="95"/>
      <c r="F45" s="103"/>
      <c r="G45" s="104" t="s">
        <v>16</v>
      </c>
      <c r="H45" s="105">
        <v>1.0</v>
      </c>
      <c r="I45" s="106">
        <f>G40</f>
        <v>24</v>
      </c>
      <c r="J45" s="107">
        <f t="shared" ref="J45:J87" si="2">SUM(I45/F$18*100)</f>
        <v>14.20118343</v>
      </c>
      <c r="K45" s="108" t="s">
        <v>56</v>
      </c>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10"/>
      <c r="AM45" s="111"/>
    </row>
    <row r="46">
      <c r="A46" s="94"/>
      <c r="B46" s="95"/>
      <c r="C46" s="95"/>
      <c r="D46" s="95"/>
      <c r="E46" s="95"/>
      <c r="F46" s="103"/>
      <c r="G46" s="47"/>
      <c r="H46" s="112">
        <v>2.0</v>
      </c>
      <c r="I46" s="113">
        <f>H40</f>
        <v>75</v>
      </c>
      <c r="J46" s="107">
        <f t="shared" si="2"/>
        <v>44.37869822</v>
      </c>
      <c r="K46" s="108" t="s">
        <v>57</v>
      </c>
      <c r="L46" s="109"/>
      <c r="M46" s="109"/>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10"/>
      <c r="AM46" s="111"/>
    </row>
    <row r="47">
      <c r="A47" s="94"/>
      <c r="B47" s="95"/>
      <c r="C47" s="95"/>
      <c r="D47" s="95"/>
      <c r="E47" s="95"/>
      <c r="F47" s="103"/>
      <c r="G47" s="47"/>
      <c r="H47" s="112">
        <v>3.0</v>
      </c>
      <c r="I47" s="114">
        <f>I40</f>
        <v>42</v>
      </c>
      <c r="J47" s="107">
        <f t="shared" si="2"/>
        <v>24.85207101</v>
      </c>
      <c r="K47" s="108" t="s">
        <v>58</v>
      </c>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10"/>
      <c r="AM47" s="111"/>
    </row>
    <row r="48">
      <c r="A48" s="94"/>
      <c r="B48" s="95"/>
      <c r="C48" s="95"/>
      <c r="D48" s="95"/>
      <c r="E48" s="95"/>
      <c r="F48" s="103"/>
      <c r="G48" s="47"/>
      <c r="H48" s="112">
        <v>4.0</v>
      </c>
      <c r="I48" s="113">
        <f>J40</f>
        <v>26</v>
      </c>
      <c r="J48" s="107">
        <f t="shared" si="2"/>
        <v>15.38461538</v>
      </c>
      <c r="K48" s="108" t="s">
        <v>57</v>
      </c>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10"/>
      <c r="AM48" s="111"/>
    </row>
    <row r="49">
      <c r="A49" s="94"/>
      <c r="B49" s="95"/>
      <c r="C49" s="95"/>
      <c r="D49" s="95"/>
      <c r="E49" s="95"/>
      <c r="F49" s="103"/>
      <c r="G49" s="47"/>
      <c r="H49" s="112">
        <v>5.0</v>
      </c>
      <c r="I49" s="113">
        <f>K40</f>
        <v>99</v>
      </c>
      <c r="J49" s="107">
        <f t="shared" si="2"/>
        <v>58.57988166</v>
      </c>
      <c r="K49" s="108" t="s">
        <v>59</v>
      </c>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10"/>
      <c r="AM49" s="111"/>
    </row>
    <row r="50">
      <c r="A50" s="94"/>
      <c r="B50" s="95"/>
      <c r="C50" s="95"/>
      <c r="D50" s="95"/>
      <c r="E50" s="95"/>
      <c r="F50" s="103"/>
      <c r="G50" s="47"/>
      <c r="H50" s="112">
        <v>6.0</v>
      </c>
      <c r="I50" s="113">
        <f>L40</f>
        <v>47</v>
      </c>
      <c r="J50" s="107">
        <f t="shared" si="2"/>
        <v>27.81065089</v>
      </c>
      <c r="K50" s="108" t="s">
        <v>57</v>
      </c>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10"/>
      <c r="AM50" s="111"/>
    </row>
    <row r="51">
      <c r="A51" s="94"/>
      <c r="B51" s="95"/>
      <c r="C51" s="95"/>
      <c r="D51" s="95"/>
      <c r="E51" s="95"/>
      <c r="F51" s="103"/>
      <c r="G51" s="47"/>
      <c r="H51" s="112">
        <v>7.0</v>
      </c>
      <c r="I51" s="113">
        <f>M40</f>
        <v>19</v>
      </c>
      <c r="J51" s="107">
        <f t="shared" si="2"/>
        <v>11.24260355</v>
      </c>
      <c r="K51" s="108" t="s">
        <v>60</v>
      </c>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09"/>
      <c r="AL51" s="110"/>
      <c r="AM51" s="111"/>
    </row>
    <row r="52">
      <c r="A52" s="94"/>
      <c r="B52" s="95"/>
      <c r="C52" s="95"/>
      <c r="D52" s="95"/>
      <c r="E52" s="95"/>
      <c r="F52" s="103"/>
      <c r="G52" s="47"/>
      <c r="H52" s="112">
        <v>8.0</v>
      </c>
      <c r="I52" s="113">
        <f>N40</f>
        <v>22</v>
      </c>
      <c r="J52" s="107">
        <f t="shared" si="2"/>
        <v>13.01775148</v>
      </c>
      <c r="K52" s="108" t="s">
        <v>61</v>
      </c>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10"/>
      <c r="AM52" s="115"/>
    </row>
    <row r="53">
      <c r="A53" s="94"/>
      <c r="B53" s="95"/>
      <c r="C53" s="95"/>
      <c r="D53" s="95"/>
      <c r="E53" s="95"/>
      <c r="F53" s="103"/>
      <c r="G53" s="47"/>
      <c r="H53" s="112">
        <v>9.0</v>
      </c>
      <c r="I53" s="113">
        <f>O40</f>
        <v>7</v>
      </c>
      <c r="J53" s="107">
        <f t="shared" si="2"/>
        <v>4.142011834</v>
      </c>
      <c r="K53" s="108" t="s">
        <v>62</v>
      </c>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10"/>
      <c r="AM53" s="111"/>
    </row>
    <row r="54">
      <c r="A54" s="94"/>
      <c r="B54" s="95"/>
      <c r="C54" s="95"/>
      <c r="D54" s="95"/>
      <c r="E54" s="95"/>
      <c r="F54" s="103"/>
      <c r="G54" s="47"/>
      <c r="H54" s="112">
        <v>10.0</v>
      </c>
      <c r="I54" s="113">
        <f>P40</f>
        <v>87</v>
      </c>
      <c r="J54" s="107">
        <f t="shared" si="2"/>
        <v>51.47928994</v>
      </c>
      <c r="K54" s="108" t="s">
        <v>58</v>
      </c>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09"/>
      <c r="AL54" s="110"/>
      <c r="AM54" s="111"/>
    </row>
    <row r="55">
      <c r="A55" s="94"/>
      <c r="B55" s="95"/>
      <c r="C55" s="95"/>
      <c r="D55" s="95"/>
      <c r="E55" s="95"/>
      <c r="F55" s="103"/>
      <c r="G55" s="47"/>
      <c r="H55" s="112">
        <v>11.0</v>
      </c>
      <c r="I55" s="113">
        <f>Q40</f>
        <v>9</v>
      </c>
      <c r="J55" s="107">
        <f t="shared" si="2"/>
        <v>5.325443787</v>
      </c>
      <c r="K55" s="108" t="s">
        <v>63</v>
      </c>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10"/>
      <c r="AM55" s="111"/>
    </row>
    <row r="56">
      <c r="A56" s="94"/>
      <c r="B56" s="95"/>
      <c r="C56" s="95"/>
      <c r="D56" s="95"/>
      <c r="E56" s="95"/>
      <c r="F56" s="103"/>
      <c r="G56" s="47"/>
      <c r="H56" s="112">
        <v>12.0</v>
      </c>
      <c r="I56" s="113">
        <f>R40</f>
        <v>68</v>
      </c>
      <c r="J56" s="107">
        <f t="shared" si="2"/>
        <v>40.23668639</v>
      </c>
      <c r="K56" s="108" t="s">
        <v>64</v>
      </c>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10"/>
      <c r="AM56" s="116"/>
    </row>
    <row r="57">
      <c r="A57" s="94"/>
      <c r="B57" s="95"/>
      <c r="C57" s="95"/>
      <c r="D57" s="95"/>
      <c r="E57" s="95"/>
      <c r="F57" s="103"/>
      <c r="G57" s="47"/>
      <c r="H57" s="112">
        <v>13.0</v>
      </c>
      <c r="I57" s="113">
        <f>S40</f>
        <v>13</v>
      </c>
      <c r="J57" s="107">
        <f t="shared" si="2"/>
        <v>7.692307692</v>
      </c>
      <c r="K57" s="108" t="s">
        <v>63</v>
      </c>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09"/>
      <c r="AL57" s="110"/>
      <c r="AM57" s="111"/>
    </row>
    <row r="58">
      <c r="A58" s="94"/>
      <c r="B58" s="95"/>
      <c r="C58" s="95"/>
      <c r="D58" s="95"/>
      <c r="E58" s="95"/>
      <c r="F58" s="103"/>
      <c r="G58" s="47"/>
      <c r="H58" s="112">
        <v>14.0</v>
      </c>
      <c r="I58" s="113">
        <f>T40</f>
        <v>14</v>
      </c>
      <c r="J58" s="107">
        <f t="shared" si="2"/>
        <v>8.284023669</v>
      </c>
      <c r="K58" s="108" t="s">
        <v>65</v>
      </c>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10"/>
      <c r="AM58" s="111"/>
    </row>
    <row r="59">
      <c r="A59" s="94"/>
      <c r="B59" s="95"/>
      <c r="C59" s="95"/>
      <c r="D59" s="95"/>
      <c r="E59" s="95"/>
      <c r="F59" s="103"/>
      <c r="G59" s="47"/>
      <c r="H59" s="112">
        <v>15.0</v>
      </c>
      <c r="I59" s="113">
        <f>U40</f>
        <v>51</v>
      </c>
      <c r="J59" s="107">
        <f t="shared" si="2"/>
        <v>30.17751479</v>
      </c>
      <c r="K59" s="108" t="s">
        <v>66</v>
      </c>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09"/>
      <c r="AL59" s="110"/>
      <c r="AM59" s="111"/>
    </row>
    <row r="60">
      <c r="A60" s="94"/>
      <c r="B60" s="95"/>
      <c r="C60" s="95"/>
      <c r="D60" s="95"/>
      <c r="E60" s="95"/>
      <c r="F60" s="103"/>
      <c r="G60" s="47"/>
      <c r="H60" s="112">
        <v>16.0</v>
      </c>
      <c r="I60" s="113">
        <f>V40</f>
        <v>8</v>
      </c>
      <c r="J60" s="107">
        <f t="shared" si="2"/>
        <v>4.733727811</v>
      </c>
      <c r="K60" s="108" t="s">
        <v>66</v>
      </c>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10"/>
      <c r="AM60" s="111"/>
    </row>
    <row r="61">
      <c r="A61" s="94"/>
      <c r="B61" s="95"/>
      <c r="C61" s="95"/>
      <c r="D61" s="95"/>
      <c r="E61" s="95"/>
      <c r="F61" s="103"/>
      <c r="G61" s="47"/>
      <c r="H61" s="112">
        <v>17.0</v>
      </c>
      <c r="I61" s="113">
        <f>W40</f>
        <v>19</v>
      </c>
      <c r="J61" s="107">
        <f t="shared" si="2"/>
        <v>11.24260355</v>
      </c>
      <c r="K61" s="108" t="s">
        <v>67</v>
      </c>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10"/>
      <c r="AM61" s="111"/>
    </row>
    <row r="62">
      <c r="A62" s="94"/>
      <c r="B62" s="95"/>
      <c r="C62" s="95"/>
      <c r="D62" s="95"/>
      <c r="E62" s="95"/>
      <c r="F62" s="103"/>
      <c r="G62" s="47"/>
      <c r="H62" s="112">
        <v>18.0</v>
      </c>
      <c r="I62" s="113">
        <f>X40</f>
        <v>14</v>
      </c>
      <c r="J62" s="107">
        <f t="shared" si="2"/>
        <v>8.284023669</v>
      </c>
      <c r="K62" s="108" t="s">
        <v>68</v>
      </c>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10"/>
      <c r="AM62" s="111"/>
    </row>
    <row r="63">
      <c r="A63" s="94"/>
      <c r="B63" s="95"/>
      <c r="C63" s="95"/>
      <c r="D63" s="95"/>
      <c r="E63" s="95"/>
      <c r="F63" s="103"/>
      <c r="G63" s="47"/>
      <c r="H63" s="112">
        <v>19.0</v>
      </c>
      <c r="I63" s="113">
        <f>Y40</f>
        <v>4</v>
      </c>
      <c r="J63" s="107">
        <f t="shared" si="2"/>
        <v>2.366863905</v>
      </c>
      <c r="K63" s="108" t="s">
        <v>67</v>
      </c>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10"/>
      <c r="AM63" s="111"/>
    </row>
    <row r="64">
      <c r="A64" s="94"/>
      <c r="B64" s="95"/>
      <c r="C64" s="95"/>
      <c r="D64" s="95"/>
      <c r="E64" s="95"/>
      <c r="F64" s="103"/>
      <c r="G64" s="47"/>
      <c r="H64" s="112">
        <v>20.0</v>
      </c>
      <c r="I64" s="113">
        <f>Z40</f>
        <v>9</v>
      </c>
      <c r="J64" s="107">
        <f t="shared" si="2"/>
        <v>5.325443787</v>
      </c>
      <c r="K64" s="108" t="s">
        <v>69</v>
      </c>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10"/>
      <c r="AM64" s="111"/>
    </row>
    <row r="65">
      <c r="A65" s="94"/>
      <c r="B65" s="95"/>
      <c r="C65" s="95"/>
      <c r="D65" s="95"/>
      <c r="E65" s="95"/>
      <c r="F65" s="103"/>
      <c r="G65" s="117"/>
      <c r="H65" s="118">
        <v>21.0</v>
      </c>
      <c r="I65" s="119">
        <f>AA40</f>
        <v>107</v>
      </c>
      <c r="J65" s="120">
        <f t="shared" si="2"/>
        <v>63.31360947</v>
      </c>
      <c r="K65" s="121" t="s">
        <v>70</v>
      </c>
      <c r="L65" s="122"/>
      <c r="M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3"/>
      <c r="AM65" s="111"/>
    </row>
    <row r="66">
      <c r="A66" s="94"/>
      <c r="B66" s="95"/>
      <c r="C66" s="95"/>
      <c r="D66" s="95"/>
      <c r="E66" s="95"/>
      <c r="F66" s="103"/>
      <c r="G66" s="124" t="s">
        <v>17</v>
      </c>
      <c r="H66" s="125">
        <v>1.0</v>
      </c>
      <c r="I66" s="106">
        <f>AB40</f>
        <v>14</v>
      </c>
      <c r="J66" s="107">
        <f t="shared" si="2"/>
        <v>8.284023669</v>
      </c>
      <c r="K66" s="126" t="s">
        <v>71</v>
      </c>
      <c r="L66" s="127"/>
      <c r="M66" s="127"/>
      <c r="N66" s="127"/>
      <c r="O66" s="127"/>
      <c r="P66" s="127"/>
      <c r="Q66" s="127"/>
      <c r="R66" s="127"/>
      <c r="S66" s="127"/>
      <c r="T66" s="127"/>
      <c r="U66" s="127"/>
      <c r="V66" s="127"/>
      <c r="W66" s="127"/>
      <c r="X66" s="127"/>
      <c r="Y66" s="127"/>
      <c r="Z66" s="127"/>
      <c r="AA66" s="127"/>
      <c r="AB66" s="127"/>
      <c r="AC66" s="127"/>
      <c r="AD66" s="127"/>
      <c r="AE66" s="127"/>
      <c r="AF66" s="127"/>
      <c r="AG66" s="127"/>
      <c r="AH66" s="127"/>
      <c r="AI66" s="127"/>
      <c r="AJ66" s="127"/>
      <c r="AK66" s="127"/>
      <c r="AL66" s="128"/>
      <c r="AM66" s="129"/>
    </row>
    <row r="67">
      <c r="A67" s="94"/>
      <c r="B67" s="95"/>
      <c r="C67" s="95"/>
      <c r="D67" s="95"/>
      <c r="E67" s="95"/>
      <c r="F67" s="103"/>
      <c r="G67" s="47"/>
      <c r="H67" s="130">
        <v>2.0</v>
      </c>
      <c r="I67" s="113">
        <f>AC40</f>
        <v>6</v>
      </c>
      <c r="J67" s="107">
        <f t="shared" si="2"/>
        <v>3.550295858</v>
      </c>
      <c r="K67" s="131" t="s">
        <v>72</v>
      </c>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132"/>
      <c r="AI67" s="132"/>
      <c r="AJ67" s="132"/>
      <c r="AK67" s="132"/>
      <c r="AL67" s="133"/>
      <c r="AM67" s="134"/>
    </row>
    <row r="68">
      <c r="A68" s="94"/>
      <c r="B68" s="95"/>
      <c r="C68" s="95"/>
      <c r="D68" s="95"/>
      <c r="E68" s="95"/>
      <c r="F68" s="103"/>
      <c r="G68" s="47"/>
      <c r="H68" s="130">
        <v>3.0</v>
      </c>
      <c r="I68" s="113">
        <f>AD40</f>
        <v>137</v>
      </c>
      <c r="J68" s="107">
        <f t="shared" si="2"/>
        <v>81.06508876</v>
      </c>
      <c r="K68" s="131" t="s">
        <v>73</v>
      </c>
      <c r="L68" s="132"/>
      <c r="M68" s="132"/>
      <c r="N68" s="132"/>
      <c r="O68" s="132"/>
      <c r="P68" s="132"/>
      <c r="Q68" s="132"/>
      <c r="R68" s="132"/>
      <c r="S68" s="132"/>
      <c r="T68" s="132"/>
      <c r="U68" s="132"/>
      <c r="V68" s="132"/>
      <c r="W68" s="132"/>
      <c r="X68" s="132"/>
      <c r="Y68" s="132"/>
      <c r="Z68" s="132"/>
      <c r="AA68" s="132"/>
      <c r="AB68" s="132"/>
      <c r="AC68" s="132"/>
      <c r="AD68" s="132"/>
      <c r="AE68" s="132"/>
      <c r="AF68" s="132"/>
      <c r="AG68" s="132"/>
      <c r="AH68" s="132"/>
      <c r="AI68" s="132"/>
      <c r="AJ68" s="132"/>
      <c r="AK68" s="132"/>
      <c r="AL68" s="133"/>
      <c r="AM68" s="134"/>
    </row>
    <row r="69">
      <c r="A69" s="94"/>
      <c r="B69" s="95"/>
      <c r="C69" s="95"/>
      <c r="D69" s="95"/>
      <c r="E69" s="95"/>
      <c r="F69" s="103"/>
      <c r="G69" s="47"/>
      <c r="H69" s="130">
        <v>4.0</v>
      </c>
      <c r="I69" s="113">
        <f>AE40</f>
        <v>122</v>
      </c>
      <c r="J69" s="107">
        <f t="shared" si="2"/>
        <v>72.18934911</v>
      </c>
      <c r="K69" s="135" t="s">
        <v>74</v>
      </c>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3"/>
      <c r="AM69" s="134"/>
    </row>
    <row r="70">
      <c r="A70" s="94"/>
      <c r="B70" s="95"/>
      <c r="C70" s="95"/>
      <c r="D70" s="95"/>
      <c r="E70" s="95"/>
      <c r="F70" s="103"/>
      <c r="G70" s="47"/>
      <c r="H70" s="130">
        <v>5.0</v>
      </c>
      <c r="I70" s="113">
        <f>AF40</f>
        <v>17</v>
      </c>
      <c r="J70" s="107">
        <f t="shared" si="2"/>
        <v>10.0591716</v>
      </c>
      <c r="K70" s="136" t="s">
        <v>71</v>
      </c>
      <c r="L70" s="132"/>
      <c r="M70" s="132"/>
      <c r="N70" s="132"/>
      <c r="O70" s="132"/>
      <c r="P70" s="132"/>
      <c r="Q70" s="132"/>
      <c r="R70" s="132"/>
      <c r="S70" s="132"/>
      <c r="T70" s="132"/>
      <c r="U70" s="132"/>
      <c r="V70" s="132"/>
      <c r="W70" s="132"/>
      <c r="X70" s="132"/>
      <c r="Y70" s="132"/>
      <c r="Z70" s="132"/>
      <c r="AA70" s="132"/>
      <c r="AB70" s="132"/>
      <c r="AC70" s="132"/>
      <c r="AD70" s="132"/>
      <c r="AE70" s="132"/>
      <c r="AF70" s="132"/>
      <c r="AG70" s="132"/>
      <c r="AH70" s="132"/>
      <c r="AI70" s="132"/>
      <c r="AJ70" s="132"/>
      <c r="AK70" s="132"/>
      <c r="AL70" s="133"/>
      <c r="AM70" s="134"/>
    </row>
    <row r="71">
      <c r="A71" s="94"/>
      <c r="B71" s="95"/>
      <c r="C71" s="95"/>
      <c r="D71" s="95"/>
      <c r="E71" s="95"/>
      <c r="F71" s="103"/>
      <c r="G71" s="47"/>
      <c r="H71" s="130">
        <v>6.0</v>
      </c>
      <c r="I71" s="113">
        <f>AG40</f>
        <v>24</v>
      </c>
      <c r="J71" s="107">
        <f t="shared" si="2"/>
        <v>14.20118343</v>
      </c>
      <c r="K71" s="137" t="s">
        <v>75</v>
      </c>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2"/>
      <c r="AK71" s="132"/>
      <c r="AL71" s="133"/>
      <c r="AM71" s="134"/>
    </row>
    <row r="72">
      <c r="A72" s="94"/>
      <c r="B72" s="95"/>
      <c r="C72" s="95"/>
      <c r="D72" s="95"/>
      <c r="E72" s="95"/>
      <c r="F72" s="103"/>
      <c r="G72" s="47"/>
      <c r="H72" s="130">
        <v>7.0</v>
      </c>
      <c r="I72" s="113">
        <f>AH40</f>
        <v>111</v>
      </c>
      <c r="J72" s="107">
        <f t="shared" si="2"/>
        <v>65.68047337</v>
      </c>
      <c r="K72" s="135" t="s">
        <v>76</v>
      </c>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3"/>
      <c r="AM72" s="134"/>
    </row>
    <row r="73">
      <c r="A73" s="94"/>
      <c r="B73" s="95"/>
      <c r="C73" s="95"/>
      <c r="D73" s="95"/>
      <c r="E73" s="95"/>
      <c r="F73" s="103"/>
      <c r="G73" s="47"/>
      <c r="H73" s="130">
        <v>8.0</v>
      </c>
      <c r="I73" s="113">
        <f>AI40</f>
        <v>8</v>
      </c>
      <c r="J73" s="107">
        <f t="shared" si="2"/>
        <v>4.733727811</v>
      </c>
      <c r="K73" s="131" t="s">
        <v>77</v>
      </c>
      <c r="L73" s="138"/>
      <c r="M73" s="138"/>
      <c r="N73" s="138"/>
      <c r="O73" s="138"/>
      <c r="P73" s="138"/>
      <c r="Q73" s="138"/>
      <c r="R73" s="138"/>
      <c r="S73" s="138"/>
      <c r="T73" s="138"/>
      <c r="U73" s="138"/>
      <c r="V73" s="138"/>
      <c r="W73" s="138"/>
      <c r="X73" s="138"/>
      <c r="Y73" s="138"/>
      <c r="Z73" s="138"/>
      <c r="AA73" s="138"/>
      <c r="AB73" s="138"/>
      <c r="AC73" s="138"/>
      <c r="AD73" s="138"/>
      <c r="AE73" s="138"/>
      <c r="AF73" s="138"/>
      <c r="AG73" s="138"/>
      <c r="AH73" s="138"/>
      <c r="AI73" s="138"/>
      <c r="AJ73" s="138"/>
      <c r="AK73" s="138"/>
      <c r="AL73" s="139"/>
      <c r="AM73" s="134"/>
    </row>
    <row r="74">
      <c r="A74" s="94"/>
      <c r="B74" s="95"/>
      <c r="C74" s="95"/>
      <c r="D74" s="95"/>
      <c r="E74" s="95"/>
      <c r="F74" s="103"/>
      <c r="G74" s="47"/>
      <c r="H74" s="130">
        <v>9.0</v>
      </c>
      <c r="I74" s="113">
        <f>AJ40</f>
        <v>16</v>
      </c>
      <c r="J74" s="107">
        <f t="shared" si="2"/>
        <v>9.467455621</v>
      </c>
      <c r="K74" s="135" t="s">
        <v>78</v>
      </c>
      <c r="L74" s="132"/>
      <c r="M74" s="132"/>
      <c r="N74" s="132"/>
      <c r="O74" s="132"/>
      <c r="P74" s="132"/>
      <c r="Q74" s="132"/>
      <c r="R74" s="132"/>
      <c r="S74" s="132"/>
      <c r="T74" s="132"/>
      <c r="U74" s="132"/>
      <c r="V74" s="132"/>
      <c r="W74" s="132"/>
      <c r="X74" s="132"/>
      <c r="Y74" s="132"/>
      <c r="Z74" s="132"/>
      <c r="AA74" s="132"/>
      <c r="AB74" s="132"/>
      <c r="AC74" s="132"/>
      <c r="AD74" s="132"/>
      <c r="AE74" s="132"/>
      <c r="AF74" s="132"/>
      <c r="AG74" s="132"/>
      <c r="AH74" s="132"/>
      <c r="AI74" s="132"/>
      <c r="AJ74" s="132"/>
      <c r="AK74" s="132"/>
      <c r="AL74" s="133"/>
      <c r="AM74" s="134"/>
    </row>
    <row r="75" ht="15.75" customHeight="1">
      <c r="A75" s="94"/>
      <c r="B75" s="95"/>
      <c r="C75" s="95"/>
      <c r="D75" s="95"/>
      <c r="E75" s="95"/>
      <c r="F75" s="103"/>
      <c r="G75" s="47"/>
      <c r="H75" s="130">
        <v>10.0</v>
      </c>
      <c r="I75" s="113">
        <f>AK40</f>
        <v>26</v>
      </c>
      <c r="J75" s="107">
        <f t="shared" si="2"/>
        <v>15.38461538</v>
      </c>
      <c r="K75" s="137" t="s">
        <v>75</v>
      </c>
      <c r="L75" s="132"/>
      <c r="M75" s="132"/>
      <c r="N75" s="132"/>
      <c r="O75" s="132"/>
      <c r="P75" s="132"/>
      <c r="Q75" s="132"/>
      <c r="R75" s="132"/>
      <c r="S75" s="132"/>
      <c r="T75" s="132"/>
      <c r="U75" s="132"/>
      <c r="V75" s="132"/>
      <c r="W75" s="132"/>
      <c r="X75" s="132"/>
      <c r="Y75" s="132"/>
      <c r="Z75" s="132"/>
      <c r="AA75" s="132"/>
      <c r="AB75" s="132"/>
      <c r="AC75" s="132"/>
      <c r="AD75" s="132"/>
      <c r="AE75" s="132"/>
      <c r="AF75" s="132"/>
      <c r="AG75" s="132"/>
      <c r="AH75" s="132"/>
      <c r="AI75" s="132"/>
      <c r="AJ75" s="132"/>
      <c r="AK75" s="132"/>
      <c r="AL75" s="133"/>
      <c r="AM75" s="134"/>
    </row>
    <row r="76">
      <c r="A76" s="94"/>
      <c r="B76" s="95"/>
      <c r="C76" s="95"/>
      <c r="D76" s="95"/>
      <c r="E76" s="95"/>
      <c r="F76" s="103"/>
      <c r="G76" s="47"/>
      <c r="H76" s="130">
        <v>11.0</v>
      </c>
      <c r="I76" s="113">
        <f>AL40</f>
        <v>11</v>
      </c>
      <c r="J76" s="107">
        <f t="shared" si="2"/>
        <v>6.50887574</v>
      </c>
      <c r="K76" s="135" t="s">
        <v>79</v>
      </c>
      <c r="L76" s="132"/>
      <c r="M76" s="132"/>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3"/>
      <c r="AM76" s="134"/>
    </row>
    <row r="77">
      <c r="A77" s="94"/>
      <c r="B77" s="95"/>
      <c r="C77" s="95"/>
      <c r="D77" s="95"/>
      <c r="E77" s="95"/>
      <c r="F77" s="103"/>
      <c r="G77" s="47"/>
      <c r="H77" s="130">
        <v>12.0</v>
      </c>
      <c r="I77" s="114">
        <f>AM40</f>
        <v>3</v>
      </c>
      <c r="J77" s="107">
        <f t="shared" si="2"/>
        <v>1.775147929</v>
      </c>
      <c r="K77" s="131" t="s">
        <v>80</v>
      </c>
      <c r="L77" s="140"/>
      <c r="M77" s="140"/>
      <c r="N77" s="140"/>
      <c r="O77" s="140"/>
      <c r="P77" s="140"/>
      <c r="Q77" s="140"/>
      <c r="R77" s="140"/>
      <c r="S77" s="140"/>
      <c r="T77" s="140"/>
      <c r="U77" s="140"/>
      <c r="V77" s="140"/>
      <c r="W77" s="140"/>
      <c r="X77" s="140"/>
      <c r="Y77" s="140"/>
      <c r="Z77" s="140"/>
      <c r="AA77" s="140"/>
      <c r="AB77" s="140"/>
      <c r="AC77" s="140"/>
      <c r="AD77" s="140"/>
      <c r="AE77" s="140"/>
      <c r="AF77" s="140"/>
      <c r="AG77" s="140"/>
      <c r="AH77" s="140"/>
      <c r="AI77" s="140"/>
      <c r="AJ77" s="140"/>
      <c r="AK77" s="140"/>
      <c r="AL77" s="141"/>
      <c r="AM77" s="142"/>
    </row>
    <row r="78">
      <c r="A78" s="94"/>
      <c r="B78" s="95"/>
      <c r="C78" s="95"/>
      <c r="D78" s="95"/>
      <c r="E78" s="95"/>
      <c r="F78" s="103"/>
      <c r="G78" s="47"/>
      <c r="H78" s="130">
        <v>13.0</v>
      </c>
      <c r="I78" s="113">
        <f>AN40</f>
        <v>10</v>
      </c>
      <c r="J78" s="107">
        <f t="shared" si="2"/>
        <v>5.917159763</v>
      </c>
      <c r="K78" s="137" t="s">
        <v>81</v>
      </c>
      <c r="L78" s="140"/>
      <c r="M78" s="140"/>
      <c r="N78" s="140"/>
      <c r="O78" s="140"/>
      <c r="P78" s="140"/>
      <c r="Q78" s="140"/>
      <c r="R78" s="140"/>
      <c r="S78" s="140"/>
      <c r="T78" s="140"/>
      <c r="U78" s="140"/>
      <c r="V78" s="140"/>
      <c r="W78" s="140"/>
      <c r="X78" s="140"/>
      <c r="Y78" s="140"/>
      <c r="Z78" s="140"/>
      <c r="AA78" s="140"/>
      <c r="AB78" s="140"/>
      <c r="AC78" s="140"/>
      <c r="AD78" s="140"/>
      <c r="AE78" s="140"/>
      <c r="AF78" s="140"/>
      <c r="AG78" s="140"/>
      <c r="AH78" s="140"/>
      <c r="AI78" s="140"/>
      <c r="AJ78" s="140"/>
      <c r="AK78" s="140"/>
      <c r="AL78" s="141"/>
      <c r="AM78" s="143"/>
    </row>
    <row r="79">
      <c r="A79" s="94"/>
      <c r="B79" s="95"/>
      <c r="C79" s="95"/>
      <c r="D79" s="95"/>
      <c r="E79" s="95"/>
      <c r="F79" s="103"/>
      <c r="G79" s="47"/>
      <c r="H79" s="130">
        <v>14.0</v>
      </c>
      <c r="I79" s="113">
        <f>AO40</f>
        <v>8</v>
      </c>
      <c r="J79" s="107">
        <f t="shared" si="2"/>
        <v>4.733727811</v>
      </c>
      <c r="K79" s="135" t="s">
        <v>79</v>
      </c>
      <c r="L79" s="132"/>
      <c r="M79" s="132"/>
      <c r="N79" s="132"/>
      <c r="O79" s="132"/>
      <c r="P79" s="132"/>
      <c r="Q79" s="132"/>
      <c r="R79" s="132"/>
      <c r="S79" s="132"/>
      <c r="T79" s="132"/>
      <c r="U79" s="132"/>
      <c r="V79" s="132"/>
      <c r="W79" s="132"/>
      <c r="X79" s="132"/>
      <c r="Y79" s="132"/>
      <c r="Z79" s="132"/>
      <c r="AA79" s="132"/>
      <c r="AB79" s="132"/>
      <c r="AC79" s="132"/>
      <c r="AD79" s="132"/>
      <c r="AE79" s="132"/>
      <c r="AF79" s="132"/>
      <c r="AG79" s="132"/>
      <c r="AH79" s="132"/>
      <c r="AI79" s="132"/>
      <c r="AJ79" s="132"/>
      <c r="AK79" s="132"/>
      <c r="AL79" s="133"/>
      <c r="AM79" s="134"/>
    </row>
    <row r="80">
      <c r="A80" s="94"/>
      <c r="B80" s="95"/>
      <c r="C80" s="95"/>
      <c r="D80" s="95"/>
      <c r="E80" s="95"/>
      <c r="F80" s="103"/>
      <c r="G80" s="47"/>
      <c r="H80" s="130">
        <v>15.0</v>
      </c>
      <c r="I80" s="113">
        <f>AP40</f>
        <v>5</v>
      </c>
      <c r="J80" s="107">
        <f t="shared" si="2"/>
        <v>2.958579882</v>
      </c>
      <c r="K80" s="136" t="s">
        <v>82</v>
      </c>
      <c r="L80" s="132"/>
      <c r="M80" s="132"/>
      <c r="N80" s="132"/>
      <c r="O80" s="132"/>
      <c r="P80" s="132"/>
      <c r="Q80" s="132"/>
      <c r="R80" s="132"/>
      <c r="S80" s="132"/>
      <c r="T80" s="132"/>
      <c r="U80" s="132"/>
      <c r="V80" s="132"/>
      <c r="W80" s="132"/>
      <c r="X80" s="132"/>
      <c r="Y80" s="132"/>
      <c r="Z80" s="132"/>
      <c r="AA80" s="132"/>
      <c r="AB80" s="132"/>
      <c r="AC80" s="132"/>
      <c r="AD80" s="132"/>
      <c r="AE80" s="132"/>
      <c r="AF80" s="132"/>
      <c r="AG80" s="132"/>
      <c r="AH80" s="132"/>
      <c r="AI80" s="132"/>
      <c r="AJ80" s="132"/>
      <c r="AK80" s="132"/>
      <c r="AL80" s="133"/>
      <c r="AM80" s="134"/>
    </row>
    <row r="81">
      <c r="A81" s="94"/>
      <c r="B81" s="95"/>
      <c r="C81" s="95"/>
      <c r="D81" s="95"/>
      <c r="E81" s="95"/>
      <c r="F81" s="103"/>
      <c r="G81" s="47"/>
      <c r="H81" s="130">
        <v>16.0</v>
      </c>
      <c r="I81" s="113">
        <f>AQ40</f>
        <v>12</v>
      </c>
      <c r="J81" s="107">
        <f t="shared" si="2"/>
        <v>7.100591716</v>
      </c>
      <c r="K81" s="135" t="s">
        <v>83</v>
      </c>
      <c r="L81" s="132"/>
      <c r="M81" s="132"/>
      <c r="N81" s="132"/>
      <c r="O81" s="132"/>
      <c r="P81" s="132"/>
      <c r="Q81" s="132"/>
      <c r="R81" s="132"/>
      <c r="S81" s="132"/>
      <c r="T81" s="132"/>
      <c r="U81" s="132"/>
      <c r="V81" s="132"/>
      <c r="W81" s="132"/>
      <c r="X81" s="132"/>
      <c r="Y81" s="132"/>
      <c r="Z81" s="132"/>
      <c r="AA81" s="132"/>
      <c r="AB81" s="132"/>
      <c r="AC81" s="132"/>
      <c r="AD81" s="132"/>
      <c r="AE81" s="132"/>
      <c r="AF81" s="132"/>
      <c r="AG81" s="132"/>
      <c r="AH81" s="132"/>
      <c r="AI81" s="132"/>
      <c r="AJ81" s="132"/>
      <c r="AK81" s="132"/>
      <c r="AL81" s="133"/>
      <c r="AM81" s="134"/>
    </row>
    <row r="82" ht="15.75" customHeight="1">
      <c r="A82" s="94"/>
      <c r="B82" s="95"/>
      <c r="C82" s="95"/>
      <c r="D82" s="95"/>
      <c r="E82" s="95"/>
      <c r="F82" s="103"/>
      <c r="G82" s="47"/>
      <c r="H82" s="130">
        <v>17.0</v>
      </c>
      <c r="I82" s="113">
        <f>AR40</f>
        <v>18</v>
      </c>
      <c r="J82" s="107">
        <f t="shared" si="2"/>
        <v>10.65088757</v>
      </c>
      <c r="K82" s="144" t="s">
        <v>84</v>
      </c>
      <c r="L82" s="132"/>
      <c r="M82" s="132"/>
      <c r="N82" s="132"/>
      <c r="O82" s="132"/>
      <c r="P82" s="132"/>
      <c r="Q82" s="132"/>
      <c r="R82" s="132"/>
      <c r="S82" s="132"/>
      <c r="T82" s="132"/>
      <c r="U82" s="132"/>
      <c r="V82" s="132"/>
      <c r="W82" s="132"/>
      <c r="X82" s="132"/>
      <c r="Y82" s="132"/>
      <c r="Z82" s="132"/>
      <c r="AA82" s="132"/>
      <c r="AB82" s="132"/>
      <c r="AC82" s="132"/>
      <c r="AD82" s="132"/>
      <c r="AE82" s="132"/>
      <c r="AF82" s="132"/>
      <c r="AG82" s="132"/>
      <c r="AH82" s="132"/>
      <c r="AI82" s="132"/>
      <c r="AJ82" s="132"/>
      <c r="AK82" s="132"/>
      <c r="AL82" s="133"/>
      <c r="AM82" s="134"/>
    </row>
    <row r="83" ht="15.75" customHeight="1">
      <c r="A83" s="94"/>
      <c r="B83" s="95"/>
      <c r="C83" s="95"/>
      <c r="D83" s="95"/>
      <c r="E83" s="95"/>
      <c r="F83" s="103"/>
      <c r="G83" s="47"/>
      <c r="H83" s="130">
        <v>18.0</v>
      </c>
      <c r="I83" s="113">
        <f>AS40</f>
        <v>13</v>
      </c>
      <c r="J83" s="107">
        <f t="shared" si="2"/>
        <v>7.692307692</v>
      </c>
      <c r="K83" s="135" t="s">
        <v>83</v>
      </c>
      <c r="L83" s="132"/>
      <c r="M83" s="132"/>
      <c r="N83" s="132"/>
      <c r="O83" s="132"/>
      <c r="P83" s="132"/>
      <c r="Q83" s="132"/>
      <c r="R83" s="132"/>
      <c r="S83" s="132"/>
      <c r="T83" s="132"/>
      <c r="U83" s="132"/>
      <c r="V83" s="132"/>
      <c r="W83" s="132"/>
      <c r="X83" s="132"/>
      <c r="Y83" s="132"/>
      <c r="Z83" s="132"/>
      <c r="AA83" s="132"/>
      <c r="AB83" s="132"/>
      <c r="AC83" s="132"/>
      <c r="AD83" s="132"/>
      <c r="AE83" s="132"/>
      <c r="AF83" s="132"/>
      <c r="AG83" s="132"/>
      <c r="AH83" s="132"/>
      <c r="AI83" s="132"/>
      <c r="AJ83" s="132"/>
      <c r="AK83" s="132"/>
      <c r="AL83" s="133"/>
      <c r="AM83" s="134"/>
    </row>
    <row r="84" ht="15.75" customHeight="1">
      <c r="A84" s="94"/>
      <c r="B84" s="95"/>
      <c r="C84" s="95"/>
      <c r="D84" s="95"/>
      <c r="E84" s="95"/>
      <c r="F84" s="103"/>
      <c r="G84" s="47"/>
      <c r="H84" s="130">
        <v>19.0</v>
      </c>
      <c r="I84" s="113">
        <f>AT40</f>
        <v>68</v>
      </c>
      <c r="J84" s="107">
        <f t="shared" si="2"/>
        <v>40.23668639</v>
      </c>
      <c r="K84" s="145" t="s">
        <v>85</v>
      </c>
      <c r="L84" s="132"/>
      <c r="M84" s="132"/>
      <c r="N84" s="132"/>
      <c r="O84" s="132"/>
      <c r="P84" s="132"/>
      <c r="Q84" s="132"/>
      <c r="R84" s="132"/>
      <c r="S84" s="132"/>
      <c r="T84" s="132"/>
      <c r="U84" s="132"/>
      <c r="V84" s="132"/>
      <c r="W84" s="132"/>
      <c r="X84" s="132"/>
      <c r="Y84" s="132"/>
      <c r="Z84" s="132"/>
      <c r="AA84" s="132"/>
      <c r="AB84" s="132"/>
      <c r="AC84" s="132"/>
      <c r="AD84" s="132"/>
      <c r="AE84" s="132"/>
      <c r="AF84" s="132"/>
      <c r="AG84" s="132"/>
      <c r="AH84" s="132"/>
      <c r="AI84" s="132"/>
      <c r="AJ84" s="132"/>
      <c r="AK84" s="132"/>
      <c r="AL84" s="133"/>
      <c r="AM84" s="134"/>
    </row>
    <row r="85" ht="15.75" customHeight="1">
      <c r="A85" s="94"/>
      <c r="B85" s="95"/>
      <c r="C85" s="95"/>
      <c r="D85" s="95"/>
      <c r="E85" s="95"/>
      <c r="F85" s="103"/>
      <c r="G85" s="47"/>
      <c r="H85" s="130">
        <v>20.0</v>
      </c>
      <c r="I85" s="113">
        <f>AU40</f>
        <v>27</v>
      </c>
      <c r="J85" s="107">
        <f t="shared" si="2"/>
        <v>15.97633136</v>
      </c>
      <c r="K85" s="135" t="s">
        <v>83</v>
      </c>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2"/>
      <c r="AL85" s="133"/>
      <c r="AM85" s="134"/>
    </row>
    <row r="86" ht="15.75" customHeight="1">
      <c r="A86" s="94"/>
      <c r="B86" s="95"/>
      <c r="C86" s="95"/>
      <c r="D86" s="95"/>
      <c r="E86" s="95"/>
      <c r="F86" s="103"/>
      <c r="G86" s="47"/>
      <c r="H86" s="130">
        <v>21.0</v>
      </c>
      <c r="I86" s="113">
        <f>AV40</f>
        <v>13</v>
      </c>
      <c r="J86" s="107">
        <f t="shared" si="2"/>
        <v>7.692307692</v>
      </c>
      <c r="K86" s="135" t="s">
        <v>78</v>
      </c>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2"/>
      <c r="AL86" s="133"/>
      <c r="AM86" s="134"/>
    </row>
    <row r="87" ht="15.75" customHeight="1">
      <c r="A87" s="85"/>
      <c r="B87" s="85"/>
      <c r="C87" s="85"/>
      <c r="D87" s="85"/>
      <c r="E87" s="85"/>
      <c r="F87" s="146"/>
      <c r="G87" s="65"/>
      <c r="H87" s="130">
        <v>22.0</v>
      </c>
      <c r="I87" s="113">
        <f>AW40</f>
        <v>31</v>
      </c>
      <c r="J87" s="107">
        <f t="shared" si="2"/>
        <v>18.34319527</v>
      </c>
      <c r="K87" s="137" t="s">
        <v>86</v>
      </c>
      <c r="L87" s="147"/>
      <c r="M87" s="147"/>
      <c r="N87" s="147"/>
      <c r="O87" s="147"/>
      <c r="P87" s="147"/>
      <c r="Q87" s="147"/>
      <c r="R87" s="147"/>
      <c r="S87" s="147"/>
      <c r="T87" s="147"/>
      <c r="U87" s="147"/>
      <c r="V87" s="147"/>
      <c r="W87" s="147"/>
      <c r="X87" s="147"/>
      <c r="Y87" s="147"/>
      <c r="Z87" s="147"/>
      <c r="AA87" s="147"/>
      <c r="AB87" s="147"/>
      <c r="AC87" s="147"/>
      <c r="AD87" s="147"/>
      <c r="AE87" s="147"/>
      <c r="AF87" s="147"/>
      <c r="AG87" s="147"/>
      <c r="AH87" s="147"/>
      <c r="AI87" s="147"/>
      <c r="AJ87" s="147"/>
      <c r="AK87" s="147"/>
      <c r="AL87" s="148"/>
      <c r="AM87" s="134"/>
    </row>
    <row r="88" ht="25.5" customHeight="1"/>
    <row r="89" ht="18.0" customHeight="1">
      <c r="A89" s="89"/>
      <c r="B89" s="90"/>
      <c r="C89" s="90"/>
      <c r="D89" s="90"/>
      <c r="E89" s="90"/>
      <c r="F89" s="91"/>
      <c r="G89" s="149" t="s">
        <v>87</v>
      </c>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150"/>
      <c r="BF89" s="89"/>
      <c r="BG89" s="90"/>
      <c r="BH89" s="90"/>
      <c r="BI89" s="90"/>
      <c r="BJ89" s="90"/>
      <c r="BK89" s="90"/>
      <c r="BL89" s="90"/>
      <c r="BM89" s="36"/>
    </row>
    <row r="90" ht="18.0" customHeight="1">
      <c r="A90" s="94"/>
      <c r="B90" s="95"/>
      <c r="C90" s="95"/>
      <c r="D90" s="95"/>
      <c r="E90" s="95"/>
      <c r="F90" s="103"/>
      <c r="G90" s="151"/>
      <c r="H90" s="152"/>
      <c r="I90" s="153">
        <v>501.0</v>
      </c>
      <c r="J90" s="153">
        <v>502.0</v>
      </c>
      <c r="K90" s="153">
        <v>503.0</v>
      </c>
      <c r="L90" s="153">
        <v>504.0</v>
      </c>
      <c r="M90" s="153">
        <v>505.0</v>
      </c>
      <c r="N90" s="153">
        <v>506.0</v>
      </c>
      <c r="O90" s="153">
        <v>507.0</v>
      </c>
      <c r="P90" s="153">
        <v>508.0</v>
      </c>
      <c r="Q90" s="153">
        <v>509.0</v>
      </c>
      <c r="R90" s="153">
        <v>510.0</v>
      </c>
      <c r="S90" s="152" t="s">
        <v>88</v>
      </c>
      <c r="T90" s="154" t="s">
        <v>44</v>
      </c>
      <c r="U90" s="153">
        <v>501.0</v>
      </c>
      <c r="V90" s="153">
        <v>502.0</v>
      </c>
      <c r="W90" s="153">
        <v>503.0</v>
      </c>
      <c r="X90" s="153">
        <v>504.0</v>
      </c>
      <c r="Y90" s="153">
        <v>505.0</v>
      </c>
      <c r="Z90" s="153">
        <v>506.0</v>
      </c>
      <c r="AA90" s="153">
        <v>507.0</v>
      </c>
      <c r="AB90" s="153">
        <v>508.0</v>
      </c>
      <c r="AC90" s="153">
        <v>509.0</v>
      </c>
      <c r="AD90" s="153">
        <v>510.0</v>
      </c>
      <c r="AE90" s="152" t="s">
        <v>88</v>
      </c>
      <c r="AF90" s="155" t="s">
        <v>42</v>
      </c>
      <c r="AG90" s="153">
        <v>501.0</v>
      </c>
      <c r="AH90" s="153">
        <v>502.0</v>
      </c>
      <c r="AI90" s="153">
        <v>503.0</v>
      </c>
      <c r="AJ90" s="153">
        <v>504.0</v>
      </c>
      <c r="AK90" s="153">
        <v>505.0</v>
      </c>
      <c r="AL90" s="153">
        <v>506.0</v>
      </c>
      <c r="AM90" s="153">
        <v>507.0</v>
      </c>
      <c r="AN90" s="153">
        <v>508.0</v>
      </c>
      <c r="AO90" s="153">
        <v>509.0</v>
      </c>
      <c r="AP90" s="153">
        <v>510.0</v>
      </c>
      <c r="AQ90" s="152" t="s">
        <v>88</v>
      </c>
      <c r="AR90" s="155" t="s">
        <v>41</v>
      </c>
      <c r="AS90" s="153">
        <v>501.0</v>
      </c>
      <c r="AT90" s="153">
        <v>502.0</v>
      </c>
      <c r="AU90" s="153">
        <v>503.0</v>
      </c>
      <c r="AV90" s="153">
        <v>504.0</v>
      </c>
      <c r="AW90" s="153">
        <v>505.0</v>
      </c>
      <c r="AX90" s="153">
        <v>506.0</v>
      </c>
      <c r="AY90" s="153">
        <v>507.0</v>
      </c>
      <c r="AZ90" s="153">
        <v>508.0</v>
      </c>
      <c r="BA90" s="153">
        <v>509.0</v>
      </c>
      <c r="BB90" s="153">
        <v>510.0</v>
      </c>
      <c r="BC90" s="152" t="s">
        <v>88</v>
      </c>
      <c r="BD90" s="155" t="s">
        <v>43</v>
      </c>
      <c r="BF90" s="94"/>
      <c r="BG90" s="95"/>
      <c r="BH90" s="95"/>
      <c r="BI90" s="95"/>
      <c r="BJ90" s="95"/>
      <c r="BK90" s="95"/>
      <c r="BL90" s="95"/>
      <c r="BM90" s="46"/>
    </row>
    <row r="91" ht="18.0" customHeight="1">
      <c r="A91" s="94"/>
      <c r="B91" s="95"/>
      <c r="C91" s="95"/>
      <c r="D91" s="95"/>
      <c r="E91" s="95"/>
      <c r="F91" s="103"/>
      <c r="G91" s="156" t="s">
        <v>16</v>
      </c>
      <c r="H91" s="157">
        <v>1.0</v>
      </c>
      <c r="I91" s="158">
        <f t="array" ref="I91:I133">'5º Ano - 501'!$AM$75:$AM$117</f>
        <v>3</v>
      </c>
      <c r="J91" s="158">
        <f t="array" ref="J91:J133">'5º Ano - 502'!$AM$75:$AM$117</f>
        <v>15</v>
      </c>
      <c r="K91" s="158">
        <f t="array" ref="K91:K133">'5º Ano - 503'!$AM$75:$AM$117</f>
        <v>3</v>
      </c>
      <c r="L91" s="158">
        <f t="array" ref="L91:L133">'5º Ano - 504'!$AM$75:$AM$117</f>
        <v>5</v>
      </c>
      <c r="M91" s="158">
        <f t="array" ref="M91:M133">'5º Ano - 505'!$AM$75:$AM$117</f>
        <v>5</v>
      </c>
      <c r="N91" s="158">
        <f t="array" ref="N91:N133">'5º Ano - 506'!$AM$75:$AM$117</f>
        <v>2</v>
      </c>
      <c r="O91" s="158"/>
      <c r="P91" s="158"/>
      <c r="Q91" s="158"/>
      <c r="R91" s="158"/>
      <c r="S91" s="159">
        <f t="shared" ref="S91:S133" si="3">SUM(I91:R91)</f>
        <v>33</v>
      </c>
      <c r="T91" s="160">
        <f t="shared" ref="T91:T133" si="4">SUM(S91/F$18*100)</f>
        <v>19.52662722</v>
      </c>
      <c r="U91" s="158">
        <f t="array" ref="U91:U133">'5º Ano - 501'!$AO$75:$AO$117</f>
        <v>10</v>
      </c>
      <c r="V91" s="158">
        <f t="array" ref="V91:V133">'5º Ano - 502'!$AO$75:$AO$117</f>
        <v>8</v>
      </c>
      <c r="W91" s="158">
        <f t="array" ref="W91:W133">'5º Ano - 503'!$AO$75:$AO$117</f>
        <v>2</v>
      </c>
      <c r="X91" s="158">
        <f t="array" ref="X91:X133">'5º Ano - 504'!$AO$75:$AO$117</f>
        <v>9</v>
      </c>
      <c r="Y91" s="158">
        <f t="array" ref="Y91:Y133">'5º Ano - 505'!$AO$75:$AO$117</f>
        <v>15</v>
      </c>
      <c r="Z91" s="158">
        <f t="array" ref="Z91:Z133">'5º Ano - 506'!$AO$75:$AO$117</f>
        <v>1</v>
      </c>
      <c r="AA91" s="158"/>
      <c r="AB91" s="158"/>
      <c r="AC91" s="158"/>
      <c r="AD91" s="158"/>
      <c r="AE91" s="159">
        <f t="shared" ref="AE91:AE133" si="5">SUM(U91:AD91)</f>
        <v>45</v>
      </c>
      <c r="AF91" s="161">
        <f t="shared" ref="AF91:AF133" si="6">SUM(AE91/F$18*100)</f>
        <v>26.62721893</v>
      </c>
      <c r="AG91" s="162">
        <f t="array" ref="AG91:AG133">'5º Ano - 501'!$AQ$75:$AQ$117</f>
        <v>6</v>
      </c>
      <c r="AH91" s="162">
        <f t="array" ref="AH91:AH133">'5º Ano - 502'!$AQ$75:$AQ$117</f>
        <v>2</v>
      </c>
      <c r="AI91" s="162">
        <f t="array" ref="AI91:AI133">'5º Ano - 503'!$AQ$75:$AQ$117</f>
        <v>20</v>
      </c>
      <c r="AJ91" s="162">
        <f t="array" ref="AJ91:AJ133">'5º Ano - 504'!$AQ$75:$AQ$117</f>
        <v>9</v>
      </c>
      <c r="AK91" s="162">
        <f t="array" ref="AK91:AK133">'5º Ano - 505'!$AQ$75:$AQ$117</f>
        <v>5</v>
      </c>
      <c r="AL91" s="162">
        <f t="array" ref="AL91:AL133">'5º Ano - 506'!$AQ$75:$AQ$117</f>
        <v>18</v>
      </c>
      <c r="AM91" s="162"/>
      <c r="AN91" s="162"/>
      <c r="AO91" s="162"/>
      <c r="AP91" s="162"/>
      <c r="AQ91" s="159">
        <f t="shared" ref="AQ91:AQ133" si="7">SUM(AG91:AP91)</f>
        <v>60</v>
      </c>
      <c r="AR91" s="161">
        <f t="shared" ref="AR91:AR133" si="8">SUM(AQ91/F$18*100)</f>
        <v>35.50295858</v>
      </c>
      <c r="AS91" s="158">
        <f t="array" ref="AS91:AS133">'5º Ano - 501'!$AS$75:$AS$117</f>
        <v>9</v>
      </c>
      <c r="AT91" s="158">
        <f t="array" ref="AT91:AT133">'5º Ano - 502'!$AS$75:$AS$117</f>
        <v>4</v>
      </c>
      <c r="AU91" s="158">
        <f t="array" ref="AU91:AU133">'5º Ano - 503'!$AS$75:$AS$117</f>
        <v>2</v>
      </c>
      <c r="AV91" s="158">
        <f t="array" ref="AV91:AV133">'5º Ano - 504'!$AS$75:$AS$117</f>
        <v>4</v>
      </c>
      <c r="AW91" s="158">
        <f t="array" ref="AW91:AW133">'5º Ano - 505'!$AS$75:$AS$117</f>
        <v>4</v>
      </c>
      <c r="AX91" s="158">
        <f t="array" ref="AX91:AX133">'5º Ano - 506'!$AS$75:$AS$117</f>
        <v>1</v>
      </c>
      <c r="AY91" s="158"/>
      <c r="AZ91" s="158"/>
      <c r="BA91" s="158"/>
      <c r="BB91" s="158"/>
      <c r="BC91" s="159">
        <f t="shared" ref="BC91:BC133" si="9">SUM(AS91:BB91)</f>
        <v>24</v>
      </c>
      <c r="BD91" s="161">
        <f t="shared" ref="BD91:BD133" si="10">SUM(BC91/F$18*100)</f>
        <v>14.20118343</v>
      </c>
      <c r="BF91" s="94"/>
      <c r="BG91" s="95"/>
      <c r="BH91" s="95"/>
      <c r="BI91" s="95"/>
      <c r="BJ91" s="95"/>
      <c r="BK91" s="95"/>
      <c r="BL91" s="95"/>
      <c r="BM91" s="46"/>
    </row>
    <row r="92" ht="18.0" customHeight="1">
      <c r="A92" s="94"/>
      <c r="B92" s="95"/>
      <c r="C92" s="95"/>
      <c r="D92" s="95"/>
      <c r="E92" s="95"/>
      <c r="F92" s="103"/>
      <c r="H92" s="157">
        <v>2.0</v>
      </c>
      <c r="I92" s="158">
        <v>3.0</v>
      </c>
      <c r="J92" s="158">
        <v>2.0</v>
      </c>
      <c r="K92" s="158">
        <v>0.0</v>
      </c>
      <c r="L92" s="158">
        <v>6.0</v>
      </c>
      <c r="M92" s="158">
        <v>4.0</v>
      </c>
      <c r="N92" s="158">
        <v>0.0</v>
      </c>
      <c r="O92" s="158"/>
      <c r="P92" s="158"/>
      <c r="Q92" s="158"/>
      <c r="R92" s="163"/>
      <c r="S92" s="159">
        <f t="shared" si="3"/>
        <v>15</v>
      </c>
      <c r="T92" s="160">
        <f t="shared" si="4"/>
        <v>8.875739645</v>
      </c>
      <c r="U92" s="158">
        <v>13.0</v>
      </c>
      <c r="V92" s="158">
        <v>23.0</v>
      </c>
      <c r="W92" s="158">
        <v>3.0</v>
      </c>
      <c r="X92" s="158">
        <v>10.0</v>
      </c>
      <c r="Y92" s="158">
        <v>10.0</v>
      </c>
      <c r="Z92" s="158">
        <v>0.0</v>
      </c>
      <c r="AA92" s="158"/>
      <c r="AB92" s="158"/>
      <c r="AC92" s="158"/>
      <c r="AD92" s="158"/>
      <c r="AE92" s="159">
        <f t="shared" si="5"/>
        <v>59</v>
      </c>
      <c r="AF92" s="161">
        <f t="shared" si="6"/>
        <v>34.9112426</v>
      </c>
      <c r="AG92" s="162">
        <v>11.0</v>
      </c>
      <c r="AH92" s="158">
        <v>4.0</v>
      </c>
      <c r="AI92" s="158">
        <v>21.0</v>
      </c>
      <c r="AJ92" s="158">
        <v>6.0</v>
      </c>
      <c r="AK92" s="158">
        <v>12.0</v>
      </c>
      <c r="AL92" s="158">
        <v>21.0</v>
      </c>
      <c r="AM92" s="158"/>
      <c r="AN92" s="158"/>
      <c r="AO92" s="158"/>
      <c r="AP92" s="158"/>
      <c r="AQ92" s="159">
        <f t="shared" si="7"/>
        <v>75</v>
      </c>
      <c r="AR92" s="161">
        <f t="shared" si="8"/>
        <v>44.37869822</v>
      </c>
      <c r="AS92" s="158">
        <v>1.0</v>
      </c>
      <c r="AT92" s="158">
        <v>0.0</v>
      </c>
      <c r="AU92" s="158">
        <v>3.0</v>
      </c>
      <c r="AV92" s="158">
        <v>5.0</v>
      </c>
      <c r="AW92" s="158">
        <v>3.0</v>
      </c>
      <c r="AX92" s="158">
        <v>1.0</v>
      </c>
      <c r="AY92" s="158"/>
      <c r="AZ92" s="158"/>
      <c r="BA92" s="158"/>
      <c r="BB92" s="158"/>
      <c r="BC92" s="159">
        <f t="shared" si="9"/>
        <v>13</v>
      </c>
      <c r="BD92" s="161">
        <f t="shared" si="10"/>
        <v>7.692307692</v>
      </c>
      <c r="BF92" s="94"/>
      <c r="BG92" s="95"/>
      <c r="BH92" s="95"/>
      <c r="BI92" s="95"/>
      <c r="BJ92" s="95"/>
      <c r="BK92" s="95"/>
      <c r="BL92" s="95"/>
      <c r="BM92" s="46"/>
    </row>
    <row r="93" ht="18.0" customHeight="1">
      <c r="A93" s="94"/>
      <c r="B93" s="95"/>
      <c r="C93" s="95"/>
      <c r="D93" s="95"/>
      <c r="E93" s="95"/>
      <c r="F93" s="103"/>
      <c r="H93" s="157">
        <v>3.0</v>
      </c>
      <c r="I93" s="158">
        <v>2.0</v>
      </c>
      <c r="J93" s="158">
        <v>1.0</v>
      </c>
      <c r="K93" s="158">
        <v>1.0</v>
      </c>
      <c r="L93" s="158">
        <v>7.0</v>
      </c>
      <c r="M93" s="158">
        <v>1.0</v>
      </c>
      <c r="N93" s="158">
        <v>0.0</v>
      </c>
      <c r="O93" s="158"/>
      <c r="P93" s="158"/>
      <c r="Q93" s="158"/>
      <c r="R93" s="158"/>
      <c r="S93" s="159">
        <f t="shared" si="3"/>
        <v>12</v>
      </c>
      <c r="T93" s="160">
        <f t="shared" si="4"/>
        <v>7.100591716</v>
      </c>
      <c r="U93" s="158">
        <v>1.0</v>
      </c>
      <c r="V93" s="158">
        <v>2.0</v>
      </c>
      <c r="W93" s="158">
        <v>2.0</v>
      </c>
      <c r="X93" s="158">
        <v>5.0</v>
      </c>
      <c r="Y93" s="158">
        <v>6.0</v>
      </c>
      <c r="Z93" s="158">
        <v>2.0</v>
      </c>
      <c r="AA93" s="158"/>
      <c r="AB93" s="158"/>
      <c r="AC93" s="158"/>
      <c r="AD93" s="158"/>
      <c r="AE93" s="159">
        <f t="shared" si="5"/>
        <v>18</v>
      </c>
      <c r="AF93" s="161">
        <f t="shared" si="6"/>
        <v>10.65088757</v>
      </c>
      <c r="AG93" s="162">
        <v>15.0</v>
      </c>
      <c r="AH93" s="158">
        <v>12.0</v>
      </c>
      <c r="AI93" s="158">
        <v>24.0</v>
      </c>
      <c r="AJ93" s="158">
        <v>12.0</v>
      </c>
      <c r="AK93" s="158">
        <v>10.0</v>
      </c>
      <c r="AL93" s="158">
        <v>17.0</v>
      </c>
      <c r="AM93" s="158"/>
      <c r="AN93" s="158"/>
      <c r="AO93" s="158"/>
      <c r="AP93" s="158"/>
      <c r="AQ93" s="159">
        <f t="shared" si="7"/>
        <v>90</v>
      </c>
      <c r="AR93" s="161">
        <f t="shared" si="8"/>
        <v>53.25443787</v>
      </c>
      <c r="AS93" s="158">
        <v>10.0</v>
      </c>
      <c r="AT93" s="158">
        <v>14.0</v>
      </c>
      <c r="AU93" s="158">
        <v>0.0</v>
      </c>
      <c r="AV93" s="158">
        <v>3.0</v>
      </c>
      <c r="AW93" s="158">
        <v>12.0</v>
      </c>
      <c r="AX93" s="158">
        <v>3.0</v>
      </c>
      <c r="AY93" s="158"/>
      <c r="AZ93" s="158"/>
      <c r="BA93" s="158"/>
      <c r="BB93" s="158"/>
      <c r="BC93" s="159">
        <f t="shared" si="9"/>
        <v>42</v>
      </c>
      <c r="BD93" s="161">
        <f t="shared" si="10"/>
        <v>24.85207101</v>
      </c>
      <c r="BF93" s="94"/>
      <c r="BG93" s="95"/>
      <c r="BH93" s="95"/>
      <c r="BI93" s="95"/>
      <c r="BJ93" s="95"/>
      <c r="BK93" s="95"/>
      <c r="BL93" s="95"/>
      <c r="BM93" s="46"/>
    </row>
    <row r="94" ht="18.0" customHeight="1">
      <c r="A94" s="94"/>
      <c r="B94" s="95"/>
      <c r="C94" s="95"/>
      <c r="D94" s="95"/>
      <c r="E94" s="95"/>
      <c r="F94" s="103"/>
      <c r="H94" s="157">
        <v>4.0</v>
      </c>
      <c r="I94" s="158">
        <v>3.0</v>
      </c>
      <c r="J94" s="158">
        <v>8.0</v>
      </c>
      <c r="K94" s="158">
        <v>2.0</v>
      </c>
      <c r="L94" s="158">
        <v>5.0</v>
      </c>
      <c r="M94" s="158">
        <v>7.0</v>
      </c>
      <c r="N94" s="158">
        <v>1.0</v>
      </c>
      <c r="O94" s="158"/>
      <c r="P94" s="158"/>
      <c r="Q94" s="158"/>
      <c r="R94" s="158"/>
      <c r="S94" s="159">
        <f t="shared" si="3"/>
        <v>26</v>
      </c>
      <c r="T94" s="160">
        <f t="shared" si="4"/>
        <v>15.38461538</v>
      </c>
      <c r="U94" s="158">
        <v>22.0</v>
      </c>
      <c r="V94" s="158">
        <v>16.0</v>
      </c>
      <c r="W94" s="158">
        <v>23.0</v>
      </c>
      <c r="X94" s="158">
        <v>13.0</v>
      </c>
      <c r="Y94" s="158">
        <v>17.0</v>
      </c>
      <c r="Z94" s="158">
        <v>20.0</v>
      </c>
      <c r="AA94" s="158"/>
      <c r="AB94" s="158"/>
      <c r="AC94" s="158"/>
      <c r="AD94" s="158"/>
      <c r="AE94" s="159">
        <f t="shared" si="5"/>
        <v>111</v>
      </c>
      <c r="AF94" s="161">
        <f t="shared" si="6"/>
        <v>65.68047337</v>
      </c>
      <c r="AG94" s="162">
        <v>1.0</v>
      </c>
      <c r="AH94" s="158">
        <v>3.0</v>
      </c>
      <c r="AI94" s="158">
        <v>1.0</v>
      </c>
      <c r="AJ94" s="158">
        <v>4.0</v>
      </c>
      <c r="AK94" s="158">
        <v>3.0</v>
      </c>
      <c r="AL94" s="158">
        <v>0.0</v>
      </c>
      <c r="AM94" s="158"/>
      <c r="AN94" s="158"/>
      <c r="AO94" s="158"/>
      <c r="AP94" s="158"/>
      <c r="AQ94" s="159">
        <f t="shared" si="7"/>
        <v>12</v>
      </c>
      <c r="AR94" s="161">
        <f t="shared" si="8"/>
        <v>7.100591716</v>
      </c>
      <c r="AS94" s="158">
        <v>2.0</v>
      </c>
      <c r="AT94" s="158">
        <v>2.0</v>
      </c>
      <c r="AU94" s="158">
        <v>1.0</v>
      </c>
      <c r="AV94" s="158">
        <v>5.0</v>
      </c>
      <c r="AW94" s="158">
        <v>2.0</v>
      </c>
      <c r="AX94" s="158">
        <v>2.0</v>
      </c>
      <c r="AY94" s="158"/>
      <c r="AZ94" s="158"/>
      <c r="BA94" s="158"/>
      <c r="BB94" s="158"/>
      <c r="BC94" s="159">
        <f t="shared" si="9"/>
        <v>14</v>
      </c>
      <c r="BD94" s="161">
        <f t="shared" si="10"/>
        <v>8.284023669</v>
      </c>
      <c r="BF94" s="94"/>
      <c r="BG94" s="95"/>
      <c r="BH94" s="95"/>
      <c r="BI94" s="95"/>
      <c r="BJ94" s="95"/>
      <c r="BK94" s="95"/>
      <c r="BL94" s="95"/>
      <c r="BM94" s="46"/>
    </row>
    <row r="95" ht="18.0" customHeight="1">
      <c r="A95" s="94"/>
      <c r="B95" s="95"/>
      <c r="C95" s="95"/>
      <c r="D95" s="95"/>
      <c r="E95" s="95"/>
      <c r="F95" s="103"/>
      <c r="H95" s="157">
        <v>5.0</v>
      </c>
      <c r="I95" s="158">
        <v>9.0</v>
      </c>
      <c r="J95" s="158">
        <v>3.0</v>
      </c>
      <c r="K95" s="158">
        <v>0.0</v>
      </c>
      <c r="L95" s="158">
        <v>8.0</v>
      </c>
      <c r="M95" s="158">
        <v>8.0</v>
      </c>
      <c r="N95" s="158">
        <v>0.0</v>
      </c>
      <c r="O95" s="158"/>
      <c r="P95" s="158"/>
      <c r="Q95" s="158"/>
      <c r="R95" s="158"/>
      <c r="S95" s="159">
        <f t="shared" si="3"/>
        <v>28</v>
      </c>
      <c r="T95" s="160">
        <f t="shared" si="4"/>
        <v>16.56804734</v>
      </c>
      <c r="U95" s="158">
        <v>14.0</v>
      </c>
      <c r="V95" s="158">
        <v>19.0</v>
      </c>
      <c r="W95" s="158">
        <v>24.0</v>
      </c>
      <c r="X95" s="158">
        <v>14.0</v>
      </c>
      <c r="Y95" s="158">
        <v>9.0</v>
      </c>
      <c r="Z95" s="158">
        <v>19.0</v>
      </c>
      <c r="AA95" s="158"/>
      <c r="AB95" s="158"/>
      <c r="AC95" s="158"/>
      <c r="AD95" s="158"/>
      <c r="AE95" s="159">
        <f t="shared" si="5"/>
        <v>99</v>
      </c>
      <c r="AF95" s="161">
        <f t="shared" si="6"/>
        <v>58.57988166</v>
      </c>
      <c r="AG95" s="162">
        <v>0.0</v>
      </c>
      <c r="AH95" s="158">
        <v>0.0</v>
      </c>
      <c r="AI95" s="158">
        <v>2.0</v>
      </c>
      <c r="AJ95" s="158">
        <v>3.0</v>
      </c>
      <c r="AK95" s="158">
        <v>4.0</v>
      </c>
      <c r="AL95" s="158">
        <v>2.0</v>
      </c>
      <c r="AM95" s="158"/>
      <c r="AN95" s="158"/>
      <c r="AO95" s="158"/>
      <c r="AP95" s="158"/>
      <c r="AQ95" s="159">
        <f t="shared" si="7"/>
        <v>11</v>
      </c>
      <c r="AR95" s="161">
        <f t="shared" si="8"/>
        <v>6.50887574</v>
      </c>
      <c r="AS95" s="158">
        <v>5.0</v>
      </c>
      <c r="AT95" s="158">
        <v>7.0</v>
      </c>
      <c r="AU95" s="158">
        <v>1.0</v>
      </c>
      <c r="AV95" s="158">
        <v>2.0</v>
      </c>
      <c r="AW95" s="158">
        <v>8.0</v>
      </c>
      <c r="AX95" s="158">
        <v>2.0</v>
      </c>
      <c r="AY95" s="158"/>
      <c r="AZ95" s="158"/>
      <c r="BA95" s="158"/>
      <c r="BB95" s="158"/>
      <c r="BC95" s="159">
        <f t="shared" si="9"/>
        <v>25</v>
      </c>
      <c r="BD95" s="161">
        <f t="shared" si="10"/>
        <v>14.79289941</v>
      </c>
      <c r="BF95" s="94"/>
      <c r="BG95" s="95"/>
      <c r="BH95" s="95"/>
      <c r="BI95" s="95"/>
      <c r="BJ95" s="95"/>
      <c r="BK95" s="95"/>
      <c r="BL95" s="95"/>
      <c r="BM95" s="46"/>
    </row>
    <row r="96" ht="18.0" customHeight="1">
      <c r="A96" s="94"/>
      <c r="B96" s="95"/>
      <c r="C96" s="95"/>
      <c r="D96" s="95"/>
      <c r="E96" s="95"/>
      <c r="F96" s="103"/>
      <c r="H96" s="157">
        <v>6.0</v>
      </c>
      <c r="I96" s="158">
        <v>5.0</v>
      </c>
      <c r="J96" s="158">
        <v>10.0</v>
      </c>
      <c r="K96" s="158">
        <v>19.0</v>
      </c>
      <c r="L96" s="158">
        <v>10.0</v>
      </c>
      <c r="M96" s="158">
        <v>2.0</v>
      </c>
      <c r="N96" s="158">
        <v>1.0</v>
      </c>
      <c r="O96" s="158"/>
      <c r="P96" s="158"/>
      <c r="Q96" s="158"/>
      <c r="R96" s="158"/>
      <c r="S96" s="159">
        <f t="shared" si="3"/>
        <v>47</v>
      </c>
      <c r="T96" s="160">
        <f t="shared" si="4"/>
        <v>27.81065089</v>
      </c>
      <c r="U96" s="158">
        <v>4.0</v>
      </c>
      <c r="V96" s="158">
        <v>0.0</v>
      </c>
      <c r="W96" s="158">
        <v>4.0</v>
      </c>
      <c r="X96" s="158">
        <v>5.0</v>
      </c>
      <c r="Y96" s="158">
        <v>1.0</v>
      </c>
      <c r="Z96" s="158">
        <v>0.0</v>
      </c>
      <c r="AA96" s="158"/>
      <c r="AB96" s="158"/>
      <c r="AC96" s="158"/>
      <c r="AD96" s="158"/>
      <c r="AE96" s="159">
        <f t="shared" si="5"/>
        <v>14</v>
      </c>
      <c r="AF96" s="161">
        <f t="shared" si="6"/>
        <v>8.284023669</v>
      </c>
      <c r="AG96" s="162">
        <v>2.0</v>
      </c>
      <c r="AH96" s="158">
        <v>3.0</v>
      </c>
      <c r="AI96" s="158">
        <v>1.0</v>
      </c>
      <c r="AJ96" s="158">
        <v>6.0</v>
      </c>
      <c r="AK96" s="158">
        <v>9.0</v>
      </c>
      <c r="AL96" s="158">
        <v>1.0</v>
      </c>
      <c r="AM96" s="158"/>
      <c r="AN96" s="158"/>
      <c r="AO96" s="158"/>
      <c r="AP96" s="158"/>
      <c r="AQ96" s="159">
        <f t="shared" si="7"/>
        <v>22</v>
      </c>
      <c r="AR96" s="161">
        <f t="shared" si="8"/>
        <v>13.01775148</v>
      </c>
      <c r="AS96" s="158">
        <v>17.0</v>
      </c>
      <c r="AT96" s="158">
        <v>16.0</v>
      </c>
      <c r="AU96" s="158">
        <v>3.0</v>
      </c>
      <c r="AV96" s="158">
        <v>6.0</v>
      </c>
      <c r="AW96" s="158">
        <v>17.0</v>
      </c>
      <c r="AX96" s="158">
        <v>20.0</v>
      </c>
      <c r="AY96" s="158"/>
      <c r="AZ96" s="158"/>
      <c r="BA96" s="158"/>
      <c r="BB96" s="158"/>
      <c r="BC96" s="159">
        <f t="shared" si="9"/>
        <v>79</v>
      </c>
      <c r="BD96" s="161">
        <f t="shared" si="10"/>
        <v>46.74556213</v>
      </c>
      <c r="BF96" s="94"/>
      <c r="BG96" s="95"/>
      <c r="BH96" s="95"/>
      <c r="BI96" s="95"/>
      <c r="BJ96" s="95"/>
      <c r="BK96" s="95"/>
      <c r="BL96" s="95"/>
      <c r="BM96" s="46"/>
    </row>
    <row r="97" ht="18.0" customHeight="1">
      <c r="A97" s="94"/>
      <c r="B97" s="95"/>
      <c r="C97" s="95"/>
      <c r="D97" s="95"/>
      <c r="E97" s="95"/>
      <c r="F97" s="103"/>
      <c r="H97" s="157">
        <v>7.0</v>
      </c>
      <c r="I97" s="158">
        <v>5.0</v>
      </c>
      <c r="J97" s="158">
        <v>12.0</v>
      </c>
      <c r="K97" s="158">
        <v>3.0</v>
      </c>
      <c r="L97" s="158">
        <v>11.0</v>
      </c>
      <c r="M97" s="158">
        <v>3.0</v>
      </c>
      <c r="N97" s="158">
        <v>1.0</v>
      </c>
      <c r="O97" s="158"/>
      <c r="P97" s="158"/>
      <c r="Q97" s="158"/>
      <c r="R97" s="158"/>
      <c r="S97" s="159">
        <f t="shared" si="3"/>
        <v>35</v>
      </c>
      <c r="T97" s="160">
        <f t="shared" si="4"/>
        <v>20.71005917</v>
      </c>
      <c r="U97" s="158">
        <v>15.0</v>
      </c>
      <c r="V97" s="158">
        <v>14.0</v>
      </c>
      <c r="W97" s="158">
        <v>22.0</v>
      </c>
      <c r="X97" s="158">
        <v>9.0</v>
      </c>
      <c r="Y97" s="158">
        <v>16.0</v>
      </c>
      <c r="Z97" s="158">
        <v>18.0</v>
      </c>
      <c r="AA97" s="158"/>
      <c r="AB97" s="158"/>
      <c r="AC97" s="158"/>
      <c r="AD97" s="158"/>
      <c r="AE97" s="159">
        <f t="shared" si="5"/>
        <v>94</v>
      </c>
      <c r="AF97" s="161">
        <f t="shared" si="6"/>
        <v>55.62130178</v>
      </c>
      <c r="AG97" s="162">
        <v>4.0</v>
      </c>
      <c r="AH97" s="158">
        <v>2.0</v>
      </c>
      <c r="AI97" s="158">
        <v>1.0</v>
      </c>
      <c r="AJ97" s="158">
        <v>3.0</v>
      </c>
      <c r="AK97" s="158">
        <v>9.0</v>
      </c>
      <c r="AL97" s="158">
        <v>0.0</v>
      </c>
      <c r="AM97" s="158"/>
      <c r="AN97" s="158"/>
      <c r="AO97" s="158"/>
      <c r="AP97" s="158"/>
      <c r="AQ97" s="159">
        <f t="shared" si="7"/>
        <v>19</v>
      </c>
      <c r="AR97" s="161">
        <f t="shared" si="8"/>
        <v>11.24260355</v>
      </c>
      <c r="AS97" s="158">
        <v>4.0</v>
      </c>
      <c r="AT97" s="158">
        <v>1.0</v>
      </c>
      <c r="AU97" s="158">
        <v>1.0</v>
      </c>
      <c r="AV97" s="158">
        <v>4.0</v>
      </c>
      <c r="AW97" s="158">
        <v>1.0</v>
      </c>
      <c r="AX97" s="158">
        <v>3.0</v>
      </c>
      <c r="AY97" s="158"/>
      <c r="AZ97" s="158"/>
      <c r="BA97" s="158"/>
      <c r="BB97" s="158"/>
      <c r="BC97" s="159">
        <f t="shared" si="9"/>
        <v>14</v>
      </c>
      <c r="BD97" s="161">
        <f t="shared" si="10"/>
        <v>8.284023669</v>
      </c>
      <c r="BF97" s="94"/>
      <c r="BG97" s="95"/>
      <c r="BH97" s="95"/>
      <c r="BI97" s="95"/>
      <c r="BJ97" s="95"/>
      <c r="BK97" s="95"/>
      <c r="BL97" s="95"/>
      <c r="BM97" s="46"/>
    </row>
    <row r="98" ht="18.0" customHeight="1">
      <c r="A98" s="94"/>
      <c r="B98" s="95"/>
      <c r="C98" s="95"/>
      <c r="D98" s="95"/>
      <c r="E98" s="95"/>
      <c r="F98" s="103"/>
      <c r="H98" s="157">
        <v>8.0</v>
      </c>
      <c r="I98" s="158">
        <v>0.0</v>
      </c>
      <c r="J98" s="158">
        <v>1.0</v>
      </c>
      <c r="K98" s="158">
        <v>3.0</v>
      </c>
      <c r="L98" s="158">
        <v>2.0</v>
      </c>
      <c r="M98" s="158">
        <v>1.0</v>
      </c>
      <c r="N98" s="158">
        <v>2.0</v>
      </c>
      <c r="O98" s="158"/>
      <c r="P98" s="158"/>
      <c r="Q98" s="158"/>
      <c r="R98" s="158"/>
      <c r="S98" s="159">
        <f t="shared" si="3"/>
        <v>9</v>
      </c>
      <c r="T98" s="160">
        <f t="shared" si="4"/>
        <v>5.325443787</v>
      </c>
      <c r="U98" s="158">
        <v>16.0</v>
      </c>
      <c r="V98" s="158">
        <v>17.0</v>
      </c>
      <c r="W98" s="158">
        <v>22.0</v>
      </c>
      <c r="X98" s="158">
        <v>16.0</v>
      </c>
      <c r="Y98" s="158">
        <v>15.0</v>
      </c>
      <c r="Z98" s="158">
        <v>19.0</v>
      </c>
      <c r="AA98" s="158"/>
      <c r="AB98" s="158"/>
      <c r="AC98" s="158"/>
      <c r="AD98" s="158"/>
      <c r="AE98" s="159">
        <f t="shared" si="5"/>
        <v>105</v>
      </c>
      <c r="AF98" s="161">
        <f t="shared" si="6"/>
        <v>62.13017751</v>
      </c>
      <c r="AG98" s="162">
        <v>6.0</v>
      </c>
      <c r="AH98" s="158">
        <v>2.0</v>
      </c>
      <c r="AI98" s="158">
        <v>1.0</v>
      </c>
      <c r="AJ98" s="158">
        <v>6.0</v>
      </c>
      <c r="AK98" s="158">
        <v>9.0</v>
      </c>
      <c r="AL98" s="158">
        <v>2.0</v>
      </c>
      <c r="AM98" s="158"/>
      <c r="AN98" s="158"/>
      <c r="AO98" s="158"/>
      <c r="AP98" s="158"/>
      <c r="AQ98" s="159">
        <f t="shared" si="7"/>
        <v>26</v>
      </c>
      <c r="AR98" s="161">
        <f t="shared" si="8"/>
        <v>15.38461538</v>
      </c>
      <c r="AS98" s="158">
        <v>6.0</v>
      </c>
      <c r="AT98" s="158">
        <v>8.0</v>
      </c>
      <c r="AU98" s="158">
        <v>1.0</v>
      </c>
      <c r="AV98" s="158">
        <v>3.0</v>
      </c>
      <c r="AW98" s="158">
        <v>4.0</v>
      </c>
      <c r="AX98" s="158">
        <v>0.0</v>
      </c>
      <c r="AY98" s="158"/>
      <c r="AZ98" s="158"/>
      <c r="BA98" s="158"/>
      <c r="BB98" s="158"/>
      <c r="BC98" s="159">
        <f t="shared" si="9"/>
        <v>22</v>
      </c>
      <c r="BD98" s="161">
        <f t="shared" si="10"/>
        <v>13.01775148</v>
      </c>
      <c r="BF98" s="94"/>
      <c r="BG98" s="95"/>
      <c r="BH98" s="95"/>
      <c r="BI98" s="95"/>
      <c r="BJ98" s="95"/>
      <c r="BK98" s="95"/>
      <c r="BL98" s="95"/>
      <c r="BM98" s="46"/>
    </row>
    <row r="99" ht="18.0" customHeight="1">
      <c r="A99" s="94"/>
      <c r="B99" s="95"/>
      <c r="C99" s="95"/>
      <c r="D99" s="95"/>
      <c r="E99" s="95"/>
      <c r="F99" s="103"/>
      <c r="H99" s="157">
        <v>9.0</v>
      </c>
      <c r="I99" s="158">
        <v>17.0</v>
      </c>
      <c r="J99" s="158">
        <v>19.0</v>
      </c>
      <c r="K99" s="158">
        <v>22.0</v>
      </c>
      <c r="L99" s="158">
        <v>17.0</v>
      </c>
      <c r="M99" s="158">
        <v>14.0</v>
      </c>
      <c r="N99" s="158">
        <v>19.0</v>
      </c>
      <c r="O99" s="158"/>
      <c r="P99" s="158"/>
      <c r="Q99" s="158"/>
      <c r="R99" s="158"/>
      <c r="S99" s="159">
        <f t="shared" si="3"/>
        <v>108</v>
      </c>
      <c r="T99" s="160">
        <f t="shared" si="4"/>
        <v>63.90532544</v>
      </c>
      <c r="U99" s="158">
        <v>8.0</v>
      </c>
      <c r="V99" s="158">
        <v>8.0</v>
      </c>
      <c r="W99" s="158">
        <v>2.0</v>
      </c>
      <c r="X99" s="158">
        <v>4.0</v>
      </c>
      <c r="Y99" s="158">
        <v>14.0</v>
      </c>
      <c r="Z99" s="158">
        <v>2.0</v>
      </c>
      <c r="AA99" s="158"/>
      <c r="AB99" s="158"/>
      <c r="AC99" s="158"/>
      <c r="AD99" s="158"/>
      <c r="AE99" s="159">
        <f t="shared" si="5"/>
        <v>38</v>
      </c>
      <c r="AF99" s="161">
        <f t="shared" si="6"/>
        <v>22.4852071</v>
      </c>
      <c r="AG99" s="162">
        <v>2.0</v>
      </c>
      <c r="AH99" s="158">
        <v>2.0</v>
      </c>
      <c r="AI99" s="158">
        <v>1.0</v>
      </c>
      <c r="AJ99" s="158">
        <v>3.0</v>
      </c>
      <c r="AK99" s="158">
        <v>0.0</v>
      </c>
      <c r="AL99" s="158">
        <v>1.0</v>
      </c>
      <c r="AM99" s="158"/>
      <c r="AN99" s="158"/>
      <c r="AO99" s="158"/>
      <c r="AP99" s="158"/>
      <c r="AQ99" s="159">
        <f t="shared" si="7"/>
        <v>9</v>
      </c>
      <c r="AR99" s="161">
        <f t="shared" si="8"/>
        <v>5.325443787</v>
      </c>
      <c r="AS99" s="158">
        <v>1.0</v>
      </c>
      <c r="AT99" s="158">
        <v>0.0</v>
      </c>
      <c r="AU99" s="158">
        <v>2.0</v>
      </c>
      <c r="AV99" s="158">
        <v>2.0</v>
      </c>
      <c r="AW99" s="158">
        <v>1.0</v>
      </c>
      <c r="AX99" s="158">
        <v>1.0</v>
      </c>
      <c r="AY99" s="158"/>
      <c r="AZ99" s="158"/>
      <c r="BA99" s="158"/>
      <c r="BB99" s="158"/>
      <c r="BC99" s="159">
        <f t="shared" si="9"/>
        <v>7</v>
      </c>
      <c r="BD99" s="161">
        <f t="shared" si="10"/>
        <v>4.142011834</v>
      </c>
      <c r="BF99" s="94"/>
      <c r="BG99" s="95"/>
      <c r="BH99" s="95"/>
      <c r="BI99" s="95"/>
      <c r="BJ99" s="95"/>
      <c r="BK99" s="95"/>
      <c r="BL99" s="95"/>
      <c r="BM99" s="46"/>
    </row>
    <row r="100" ht="18.0" customHeight="1">
      <c r="A100" s="94"/>
      <c r="B100" s="95"/>
      <c r="C100" s="95"/>
      <c r="D100" s="95"/>
      <c r="E100" s="95"/>
      <c r="F100" s="103"/>
      <c r="H100" s="157">
        <v>10.0</v>
      </c>
      <c r="I100" s="158">
        <v>7.0</v>
      </c>
      <c r="J100" s="158">
        <v>5.0</v>
      </c>
      <c r="K100" s="158">
        <v>3.0</v>
      </c>
      <c r="L100" s="158">
        <v>10.0</v>
      </c>
      <c r="M100" s="158">
        <v>8.0</v>
      </c>
      <c r="N100" s="158">
        <v>1.0</v>
      </c>
      <c r="O100" s="158"/>
      <c r="P100" s="158"/>
      <c r="Q100" s="158"/>
      <c r="R100" s="158"/>
      <c r="S100" s="159">
        <f t="shared" si="3"/>
        <v>34</v>
      </c>
      <c r="T100" s="160">
        <f t="shared" si="4"/>
        <v>20.1183432</v>
      </c>
      <c r="U100" s="158">
        <v>3.0</v>
      </c>
      <c r="V100" s="158">
        <v>4.0</v>
      </c>
      <c r="W100" s="158">
        <v>1.0</v>
      </c>
      <c r="X100" s="158">
        <v>5.0</v>
      </c>
      <c r="Y100" s="158">
        <v>5.0</v>
      </c>
      <c r="Z100" s="158">
        <v>1.0</v>
      </c>
      <c r="AA100" s="158"/>
      <c r="AB100" s="158"/>
      <c r="AC100" s="158"/>
      <c r="AD100" s="158"/>
      <c r="AE100" s="159">
        <f t="shared" si="5"/>
        <v>19</v>
      </c>
      <c r="AF100" s="161">
        <f t="shared" si="6"/>
        <v>11.24260355</v>
      </c>
      <c r="AG100" s="162">
        <v>13.0</v>
      </c>
      <c r="AH100" s="158">
        <v>15.0</v>
      </c>
      <c r="AI100" s="158">
        <v>22.0</v>
      </c>
      <c r="AJ100" s="158">
        <v>7.0</v>
      </c>
      <c r="AK100" s="158">
        <v>10.0</v>
      </c>
      <c r="AL100" s="158">
        <v>20.0</v>
      </c>
      <c r="AM100" s="158"/>
      <c r="AN100" s="158"/>
      <c r="AO100" s="158"/>
      <c r="AP100" s="158"/>
      <c r="AQ100" s="159">
        <f t="shared" si="7"/>
        <v>87</v>
      </c>
      <c r="AR100" s="161">
        <f t="shared" si="8"/>
        <v>51.47928994</v>
      </c>
      <c r="AS100" s="158">
        <v>5.0</v>
      </c>
      <c r="AT100" s="158">
        <v>5.0</v>
      </c>
      <c r="AU100" s="158">
        <v>1.0</v>
      </c>
      <c r="AV100" s="158">
        <v>5.0</v>
      </c>
      <c r="AW100" s="158">
        <v>6.0</v>
      </c>
      <c r="AX100" s="158">
        <v>1.0</v>
      </c>
      <c r="AY100" s="158"/>
      <c r="AZ100" s="158"/>
      <c r="BA100" s="158"/>
      <c r="BB100" s="158"/>
      <c r="BC100" s="159">
        <f t="shared" si="9"/>
        <v>23</v>
      </c>
      <c r="BD100" s="161">
        <f t="shared" si="10"/>
        <v>13.60946746</v>
      </c>
      <c r="BF100" s="94"/>
      <c r="BG100" s="95"/>
      <c r="BH100" s="95"/>
      <c r="BI100" s="95"/>
      <c r="BJ100" s="95"/>
      <c r="BK100" s="95"/>
      <c r="BL100" s="95"/>
      <c r="BM100" s="46"/>
    </row>
    <row r="101" ht="18.0" customHeight="1">
      <c r="A101" s="94"/>
      <c r="B101" s="95"/>
      <c r="C101" s="95"/>
      <c r="D101" s="95"/>
      <c r="E101" s="95"/>
      <c r="F101" s="103"/>
      <c r="H101" s="157">
        <v>11.0</v>
      </c>
      <c r="I101" s="158">
        <v>1.0</v>
      </c>
      <c r="J101" s="158">
        <v>6.0</v>
      </c>
      <c r="K101" s="158">
        <v>2.0</v>
      </c>
      <c r="L101" s="158">
        <v>7.0</v>
      </c>
      <c r="M101" s="158">
        <v>3.0</v>
      </c>
      <c r="N101" s="158">
        <v>0.0</v>
      </c>
      <c r="O101" s="158"/>
      <c r="P101" s="158"/>
      <c r="Q101" s="158"/>
      <c r="R101" s="158"/>
      <c r="S101" s="159">
        <f t="shared" si="3"/>
        <v>19</v>
      </c>
      <c r="T101" s="160">
        <f t="shared" si="4"/>
        <v>11.24260355</v>
      </c>
      <c r="U101" s="158">
        <v>1.0</v>
      </c>
      <c r="V101" s="158">
        <v>3.0</v>
      </c>
      <c r="W101" s="158">
        <v>1.0</v>
      </c>
      <c r="X101" s="158">
        <v>1.0</v>
      </c>
      <c r="Y101" s="158">
        <v>2.0</v>
      </c>
      <c r="Z101" s="158">
        <v>1.0</v>
      </c>
      <c r="AA101" s="158"/>
      <c r="AB101" s="158"/>
      <c r="AC101" s="158"/>
      <c r="AD101" s="158"/>
      <c r="AE101" s="159">
        <f t="shared" si="5"/>
        <v>9</v>
      </c>
      <c r="AF101" s="161">
        <f t="shared" si="6"/>
        <v>5.325443787</v>
      </c>
      <c r="AG101" s="162">
        <v>26.0</v>
      </c>
      <c r="AH101" s="158">
        <v>17.0</v>
      </c>
      <c r="AI101" s="158">
        <v>23.0</v>
      </c>
      <c r="AJ101" s="158">
        <v>15.0</v>
      </c>
      <c r="AK101" s="158">
        <v>21.0</v>
      </c>
      <c r="AL101" s="158">
        <v>22.0</v>
      </c>
      <c r="AM101" s="158"/>
      <c r="AN101" s="158"/>
      <c r="AO101" s="158"/>
      <c r="AP101" s="158"/>
      <c r="AQ101" s="159">
        <f t="shared" si="7"/>
        <v>124</v>
      </c>
      <c r="AR101" s="161">
        <f t="shared" si="8"/>
        <v>73.37278107</v>
      </c>
      <c r="AS101" s="158">
        <v>0.0</v>
      </c>
      <c r="AT101" s="158">
        <v>3.0</v>
      </c>
      <c r="AU101" s="158">
        <v>1.0</v>
      </c>
      <c r="AV101" s="158">
        <v>4.0</v>
      </c>
      <c r="AW101" s="158">
        <v>3.0</v>
      </c>
      <c r="AX101" s="158">
        <v>0.0</v>
      </c>
      <c r="AY101" s="158"/>
      <c r="AZ101" s="158"/>
      <c r="BA101" s="158"/>
      <c r="BB101" s="158"/>
      <c r="BC101" s="159">
        <f t="shared" si="9"/>
        <v>11</v>
      </c>
      <c r="BD101" s="161">
        <f t="shared" si="10"/>
        <v>6.50887574</v>
      </c>
      <c r="BF101" s="94"/>
      <c r="BG101" s="95"/>
      <c r="BH101" s="95"/>
      <c r="BI101" s="95"/>
      <c r="BJ101" s="95"/>
      <c r="BK101" s="95"/>
      <c r="BL101" s="95"/>
      <c r="BM101" s="46"/>
    </row>
    <row r="102" ht="18.0" customHeight="1">
      <c r="A102" s="94"/>
      <c r="B102" s="95"/>
      <c r="C102" s="95"/>
      <c r="D102" s="95"/>
      <c r="E102" s="95"/>
      <c r="F102" s="103"/>
      <c r="H102" s="157">
        <v>12.0</v>
      </c>
      <c r="I102" s="158">
        <v>7.0</v>
      </c>
      <c r="J102" s="158">
        <v>12.0</v>
      </c>
      <c r="K102" s="158">
        <v>3.0</v>
      </c>
      <c r="L102" s="158">
        <v>6.0</v>
      </c>
      <c r="M102" s="158">
        <v>3.0</v>
      </c>
      <c r="N102" s="158">
        <v>1.0</v>
      </c>
      <c r="O102" s="158"/>
      <c r="P102" s="158"/>
      <c r="Q102" s="158"/>
      <c r="R102" s="158"/>
      <c r="S102" s="159">
        <f t="shared" si="3"/>
        <v>32</v>
      </c>
      <c r="T102" s="160">
        <f t="shared" si="4"/>
        <v>18.93491124</v>
      </c>
      <c r="U102" s="158">
        <v>1.0</v>
      </c>
      <c r="V102" s="158">
        <v>14.0</v>
      </c>
      <c r="W102" s="158">
        <v>1.0</v>
      </c>
      <c r="X102" s="158">
        <v>4.0</v>
      </c>
      <c r="Y102" s="158">
        <v>2.0</v>
      </c>
      <c r="Z102" s="158">
        <v>2.0</v>
      </c>
      <c r="AA102" s="158"/>
      <c r="AB102" s="158"/>
      <c r="AC102" s="158"/>
      <c r="AD102" s="158"/>
      <c r="AE102" s="159">
        <f t="shared" si="5"/>
        <v>24</v>
      </c>
      <c r="AF102" s="161">
        <f t="shared" si="6"/>
        <v>14.20118343</v>
      </c>
      <c r="AG102" s="162">
        <v>2.0</v>
      </c>
      <c r="AH102" s="158">
        <v>0.0</v>
      </c>
      <c r="AI102" s="158">
        <v>22.0</v>
      </c>
      <c r="AJ102" s="158">
        <v>5.0</v>
      </c>
      <c r="AK102" s="158">
        <v>20.0</v>
      </c>
      <c r="AL102" s="158">
        <v>19.0</v>
      </c>
      <c r="AM102" s="158"/>
      <c r="AN102" s="158"/>
      <c r="AO102" s="158"/>
      <c r="AP102" s="158"/>
      <c r="AQ102" s="159">
        <f t="shared" si="7"/>
        <v>68</v>
      </c>
      <c r="AR102" s="161">
        <f t="shared" si="8"/>
        <v>40.23668639</v>
      </c>
      <c r="AS102" s="158">
        <v>18.0</v>
      </c>
      <c r="AT102" s="158">
        <v>2.0</v>
      </c>
      <c r="AU102" s="158">
        <v>1.0</v>
      </c>
      <c r="AV102" s="158">
        <v>12.0</v>
      </c>
      <c r="AW102" s="158">
        <v>4.0</v>
      </c>
      <c r="AX102" s="158">
        <v>1.0</v>
      </c>
      <c r="AY102" s="158"/>
      <c r="AZ102" s="158"/>
      <c r="BA102" s="158"/>
      <c r="BB102" s="158"/>
      <c r="BC102" s="159">
        <f t="shared" si="9"/>
        <v>38</v>
      </c>
      <c r="BD102" s="161">
        <f t="shared" si="10"/>
        <v>22.4852071</v>
      </c>
      <c r="BF102" s="94"/>
      <c r="BG102" s="95"/>
      <c r="BH102" s="95"/>
      <c r="BI102" s="95"/>
      <c r="BJ102" s="95"/>
      <c r="BK102" s="95"/>
      <c r="BL102" s="95"/>
      <c r="BM102" s="46"/>
    </row>
    <row r="103" ht="18.0" customHeight="1">
      <c r="A103" s="94"/>
      <c r="B103" s="95"/>
      <c r="C103" s="95"/>
      <c r="D103" s="95"/>
      <c r="E103" s="95"/>
      <c r="F103" s="103"/>
      <c r="H103" s="157">
        <v>13.0</v>
      </c>
      <c r="I103" s="158">
        <v>17.0</v>
      </c>
      <c r="J103" s="158">
        <v>25.0</v>
      </c>
      <c r="K103" s="158">
        <v>21.0</v>
      </c>
      <c r="L103" s="158">
        <v>13.0</v>
      </c>
      <c r="M103" s="158">
        <v>22.0</v>
      </c>
      <c r="N103" s="158">
        <v>20.0</v>
      </c>
      <c r="O103" s="158"/>
      <c r="P103" s="158"/>
      <c r="Q103" s="158"/>
      <c r="R103" s="158"/>
      <c r="S103" s="159">
        <f t="shared" si="3"/>
        <v>118</v>
      </c>
      <c r="T103" s="160">
        <f t="shared" si="4"/>
        <v>69.82248521</v>
      </c>
      <c r="U103" s="158">
        <v>3.0</v>
      </c>
      <c r="V103" s="158">
        <v>0.0</v>
      </c>
      <c r="W103" s="158">
        <v>2.0</v>
      </c>
      <c r="X103" s="158">
        <v>6.0</v>
      </c>
      <c r="Y103" s="158">
        <v>0.0</v>
      </c>
      <c r="Z103" s="158">
        <v>2.0</v>
      </c>
      <c r="AA103" s="158"/>
      <c r="AB103" s="158"/>
      <c r="AC103" s="158"/>
      <c r="AD103" s="158"/>
      <c r="AE103" s="159">
        <f t="shared" si="5"/>
        <v>13</v>
      </c>
      <c r="AF103" s="161">
        <f t="shared" si="6"/>
        <v>7.692307692</v>
      </c>
      <c r="AG103" s="162">
        <v>5.0</v>
      </c>
      <c r="AH103" s="158">
        <v>3.0</v>
      </c>
      <c r="AI103" s="158">
        <v>3.0</v>
      </c>
      <c r="AJ103" s="158">
        <v>8.0</v>
      </c>
      <c r="AK103" s="158">
        <v>4.0</v>
      </c>
      <c r="AL103" s="158">
        <v>0.0</v>
      </c>
      <c r="AM103" s="158"/>
      <c r="AN103" s="158"/>
      <c r="AO103" s="158"/>
      <c r="AP103" s="158"/>
      <c r="AQ103" s="159">
        <f t="shared" si="7"/>
        <v>23</v>
      </c>
      <c r="AR103" s="161">
        <f t="shared" si="8"/>
        <v>13.60946746</v>
      </c>
      <c r="AS103" s="158">
        <v>3.0</v>
      </c>
      <c r="AT103" s="158">
        <v>0.0</v>
      </c>
      <c r="AU103" s="158">
        <v>1.0</v>
      </c>
      <c r="AV103" s="158">
        <v>0.0</v>
      </c>
      <c r="AW103" s="158">
        <v>3.0</v>
      </c>
      <c r="AX103" s="158">
        <v>1.0</v>
      </c>
      <c r="AY103" s="158"/>
      <c r="AZ103" s="158"/>
      <c r="BA103" s="158"/>
      <c r="BB103" s="158"/>
      <c r="BC103" s="159">
        <f t="shared" si="9"/>
        <v>8</v>
      </c>
      <c r="BD103" s="161">
        <f t="shared" si="10"/>
        <v>4.733727811</v>
      </c>
      <c r="BF103" s="94"/>
      <c r="BG103" s="95"/>
      <c r="BH103" s="95"/>
      <c r="BI103" s="95"/>
      <c r="BJ103" s="95"/>
      <c r="BK103" s="95"/>
      <c r="BL103" s="95"/>
      <c r="BM103" s="46"/>
    </row>
    <row r="104" ht="18.0" customHeight="1">
      <c r="A104" s="94"/>
      <c r="B104" s="95"/>
      <c r="C104" s="95"/>
      <c r="D104" s="95"/>
      <c r="E104" s="95"/>
      <c r="F104" s="103"/>
      <c r="H104" s="157">
        <v>14.0</v>
      </c>
      <c r="I104" s="158">
        <v>1.0</v>
      </c>
      <c r="J104" s="158">
        <v>0.0</v>
      </c>
      <c r="K104" s="158">
        <v>2.0</v>
      </c>
      <c r="L104" s="158">
        <v>6.0</v>
      </c>
      <c r="M104" s="158">
        <v>5.0</v>
      </c>
      <c r="N104" s="158">
        <v>0.0</v>
      </c>
      <c r="O104" s="158"/>
      <c r="P104" s="158"/>
      <c r="Q104" s="158"/>
      <c r="R104" s="158"/>
      <c r="S104" s="159">
        <f t="shared" si="3"/>
        <v>14</v>
      </c>
      <c r="T104" s="160">
        <f t="shared" si="4"/>
        <v>8.284023669</v>
      </c>
      <c r="U104" s="158">
        <v>25.0</v>
      </c>
      <c r="V104" s="158">
        <v>24.0</v>
      </c>
      <c r="W104" s="158">
        <v>24.0</v>
      </c>
      <c r="X104" s="158">
        <v>12.0</v>
      </c>
      <c r="Y104" s="158">
        <v>20.0</v>
      </c>
      <c r="Z104" s="158">
        <v>21.0</v>
      </c>
      <c r="AA104" s="158"/>
      <c r="AB104" s="158"/>
      <c r="AC104" s="158"/>
      <c r="AD104" s="158"/>
      <c r="AE104" s="159">
        <f t="shared" si="5"/>
        <v>126</v>
      </c>
      <c r="AF104" s="161">
        <f t="shared" si="6"/>
        <v>74.55621302</v>
      </c>
      <c r="AG104" s="162">
        <v>1.0</v>
      </c>
      <c r="AH104" s="158">
        <v>3.0</v>
      </c>
      <c r="AI104" s="158">
        <v>1.0</v>
      </c>
      <c r="AJ104" s="158">
        <v>7.0</v>
      </c>
      <c r="AK104" s="158">
        <v>2.0</v>
      </c>
      <c r="AL104" s="158">
        <v>0.0</v>
      </c>
      <c r="AM104" s="158"/>
      <c r="AN104" s="158"/>
      <c r="AO104" s="158"/>
      <c r="AP104" s="158"/>
      <c r="AQ104" s="159">
        <f t="shared" si="7"/>
        <v>14</v>
      </c>
      <c r="AR104" s="161">
        <f t="shared" si="8"/>
        <v>8.284023669</v>
      </c>
      <c r="AS104" s="158">
        <v>1.0</v>
      </c>
      <c r="AT104" s="158">
        <v>1.0</v>
      </c>
      <c r="AU104" s="158">
        <v>0.0</v>
      </c>
      <c r="AV104" s="158">
        <v>2.0</v>
      </c>
      <c r="AW104" s="158">
        <v>2.0</v>
      </c>
      <c r="AX104" s="158">
        <v>2.0</v>
      </c>
      <c r="AY104" s="158"/>
      <c r="AZ104" s="158"/>
      <c r="BA104" s="158"/>
      <c r="BB104" s="158"/>
      <c r="BC104" s="159">
        <f t="shared" si="9"/>
        <v>8</v>
      </c>
      <c r="BD104" s="161">
        <f t="shared" si="10"/>
        <v>4.733727811</v>
      </c>
      <c r="BF104" s="94"/>
      <c r="BG104" s="95"/>
      <c r="BH104" s="95"/>
      <c r="BI104" s="95"/>
      <c r="BJ104" s="95"/>
      <c r="BK104" s="95"/>
      <c r="BL104" s="95"/>
      <c r="BM104" s="46"/>
    </row>
    <row r="105" ht="18.0" customHeight="1">
      <c r="A105" s="94"/>
      <c r="B105" s="95"/>
      <c r="C105" s="95"/>
      <c r="D105" s="95"/>
      <c r="E105" s="95"/>
      <c r="F105" s="103"/>
      <c r="H105" s="157">
        <v>15.0</v>
      </c>
      <c r="I105" s="158">
        <v>3.0</v>
      </c>
      <c r="J105" s="158">
        <v>0.0</v>
      </c>
      <c r="K105" s="158">
        <v>4.0</v>
      </c>
      <c r="L105" s="158">
        <v>5.0</v>
      </c>
      <c r="M105" s="158">
        <v>5.0</v>
      </c>
      <c r="N105" s="158">
        <v>1.0</v>
      </c>
      <c r="O105" s="158"/>
      <c r="P105" s="158"/>
      <c r="Q105" s="158"/>
      <c r="R105" s="158"/>
      <c r="S105" s="159">
        <f t="shared" si="3"/>
        <v>18</v>
      </c>
      <c r="T105" s="160">
        <f t="shared" si="4"/>
        <v>10.65088757</v>
      </c>
      <c r="U105" s="158">
        <v>13.0</v>
      </c>
      <c r="V105" s="158">
        <v>0.0</v>
      </c>
      <c r="W105" s="158">
        <v>19.0</v>
      </c>
      <c r="X105" s="158">
        <v>9.0</v>
      </c>
      <c r="Y105" s="158">
        <v>8.0</v>
      </c>
      <c r="Z105" s="158">
        <v>2.0</v>
      </c>
      <c r="AA105" s="158"/>
      <c r="AB105" s="158"/>
      <c r="AC105" s="158"/>
      <c r="AD105" s="158"/>
      <c r="AE105" s="159">
        <f t="shared" si="5"/>
        <v>51</v>
      </c>
      <c r="AF105" s="161">
        <f t="shared" si="6"/>
        <v>30.17751479</v>
      </c>
      <c r="AG105" s="162">
        <v>11.0</v>
      </c>
      <c r="AH105" s="158">
        <v>1.0</v>
      </c>
      <c r="AI105" s="158">
        <v>4.0</v>
      </c>
      <c r="AJ105" s="158">
        <v>9.0</v>
      </c>
      <c r="AK105" s="158">
        <v>15.0</v>
      </c>
      <c r="AL105" s="158">
        <v>3.0</v>
      </c>
      <c r="AM105" s="158"/>
      <c r="AN105" s="158"/>
      <c r="AO105" s="158"/>
      <c r="AP105" s="158"/>
      <c r="AQ105" s="159">
        <f t="shared" si="7"/>
        <v>43</v>
      </c>
      <c r="AR105" s="161">
        <f t="shared" si="8"/>
        <v>25.44378698</v>
      </c>
      <c r="AS105" s="158">
        <v>1.0</v>
      </c>
      <c r="AT105" s="158">
        <v>27.0</v>
      </c>
      <c r="AU105" s="158">
        <v>0.0</v>
      </c>
      <c r="AV105" s="158">
        <v>4.0</v>
      </c>
      <c r="AW105" s="158">
        <v>0.0</v>
      </c>
      <c r="AX105" s="158">
        <v>17.0</v>
      </c>
      <c r="AY105" s="158"/>
      <c r="AZ105" s="158"/>
      <c r="BA105" s="158"/>
      <c r="BB105" s="158"/>
      <c r="BC105" s="159">
        <f t="shared" si="9"/>
        <v>49</v>
      </c>
      <c r="BD105" s="161">
        <f t="shared" si="10"/>
        <v>28.99408284</v>
      </c>
      <c r="BF105" s="94"/>
      <c r="BG105" s="95"/>
      <c r="BH105" s="95"/>
      <c r="BI105" s="95"/>
      <c r="BJ105" s="95"/>
      <c r="BK105" s="95"/>
      <c r="BL105" s="95"/>
      <c r="BM105" s="46"/>
    </row>
    <row r="106" ht="18.0" customHeight="1">
      <c r="A106" s="94"/>
      <c r="B106" s="95"/>
      <c r="C106" s="95"/>
      <c r="D106" s="95"/>
      <c r="E106" s="95"/>
      <c r="F106" s="103"/>
      <c r="H106" s="157">
        <v>16.0</v>
      </c>
      <c r="I106" s="158">
        <v>16.0</v>
      </c>
      <c r="J106" s="158">
        <v>25.0</v>
      </c>
      <c r="K106" s="158">
        <v>24.0</v>
      </c>
      <c r="L106" s="158">
        <v>14.0</v>
      </c>
      <c r="M106" s="158">
        <v>7.0</v>
      </c>
      <c r="N106" s="158">
        <v>20.0</v>
      </c>
      <c r="O106" s="158"/>
      <c r="P106" s="158"/>
      <c r="Q106" s="158"/>
      <c r="R106" s="158"/>
      <c r="S106" s="159">
        <f t="shared" si="3"/>
        <v>106</v>
      </c>
      <c r="T106" s="160">
        <f t="shared" si="4"/>
        <v>62.72189349</v>
      </c>
      <c r="U106" s="158">
        <v>2.0</v>
      </c>
      <c r="V106" s="158">
        <v>1.0</v>
      </c>
      <c r="W106" s="158">
        <v>2.0</v>
      </c>
      <c r="X106" s="158">
        <v>2.0</v>
      </c>
      <c r="Y106" s="158">
        <v>2.0</v>
      </c>
      <c r="Z106" s="158">
        <v>1.0</v>
      </c>
      <c r="AA106" s="158"/>
      <c r="AB106" s="158"/>
      <c r="AC106" s="158"/>
      <c r="AD106" s="158"/>
      <c r="AE106" s="159">
        <f t="shared" si="5"/>
        <v>10</v>
      </c>
      <c r="AF106" s="161">
        <f t="shared" si="6"/>
        <v>5.917159763</v>
      </c>
      <c r="AG106" s="162">
        <v>9.0</v>
      </c>
      <c r="AH106" s="158">
        <v>0.0</v>
      </c>
      <c r="AI106" s="158">
        <v>1.0</v>
      </c>
      <c r="AJ106" s="158">
        <v>8.0</v>
      </c>
      <c r="AK106" s="158">
        <v>19.0</v>
      </c>
      <c r="AL106" s="158">
        <v>1.0</v>
      </c>
      <c r="AM106" s="158"/>
      <c r="AN106" s="158"/>
      <c r="AO106" s="158"/>
      <c r="AP106" s="158"/>
      <c r="AQ106" s="159">
        <f t="shared" si="7"/>
        <v>38</v>
      </c>
      <c r="AR106" s="161">
        <f t="shared" si="8"/>
        <v>22.4852071</v>
      </c>
      <c r="AS106" s="158">
        <v>1.0</v>
      </c>
      <c r="AT106" s="158">
        <v>2.0</v>
      </c>
      <c r="AU106" s="158">
        <v>0.0</v>
      </c>
      <c r="AV106" s="158">
        <v>3.0</v>
      </c>
      <c r="AW106" s="158">
        <v>1.0</v>
      </c>
      <c r="AX106" s="158">
        <v>1.0</v>
      </c>
      <c r="AY106" s="158"/>
      <c r="AZ106" s="158"/>
      <c r="BA106" s="158"/>
      <c r="BB106" s="158"/>
      <c r="BC106" s="159">
        <f t="shared" si="9"/>
        <v>8</v>
      </c>
      <c r="BD106" s="161">
        <f t="shared" si="10"/>
        <v>4.733727811</v>
      </c>
      <c r="BF106" s="94"/>
      <c r="BG106" s="95"/>
      <c r="BH106" s="95"/>
      <c r="BI106" s="95"/>
      <c r="BJ106" s="95"/>
      <c r="BK106" s="95"/>
      <c r="BL106" s="95"/>
      <c r="BM106" s="46"/>
    </row>
    <row r="107" ht="18.0" customHeight="1">
      <c r="A107" s="94"/>
      <c r="B107" s="95"/>
      <c r="C107" s="95"/>
      <c r="D107" s="95"/>
      <c r="E107" s="95"/>
      <c r="F107" s="103"/>
      <c r="H107" s="112">
        <v>17.0</v>
      </c>
      <c r="I107" s="158">
        <v>20.0</v>
      </c>
      <c r="J107" s="158">
        <v>25.0</v>
      </c>
      <c r="K107" s="158">
        <v>17.0</v>
      </c>
      <c r="L107" s="158">
        <v>11.0</v>
      </c>
      <c r="M107" s="158">
        <v>16.0</v>
      </c>
      <c r="N107" s="158">
        <v>22.0</v>
      </c>
      <c r="O107" s="158"/>
      <c r="P107" s="158"/>
      <c r="Q107" s="158"/>
      <c r="R107" s="158"/>
      <c r="S107" s="159">
        <f t="shared" si="3"/>
        <v>111</v>
      </c>
      <c r="T107" s="160">
        <f t="shared" si="4"/>
        <v>65.68047337</v>
      </c>
      <c r="U107" s="158">
        <v>1.0</v>
      </c>
      <c r="V107" s="158">
        <v>0.0</v>
      </c>
      <c r="W107" s="158">
        <v>6.0</v>
      </c>
      <c r="X107" s="158">
        <v>9.0</v>
      </c>
      <c r="Y107" s="158">
        <v>1.0</v>
      </c>
      <c r="Z107" s="158">
        <v>0.0</v>
      </c>
      <c r="AA107" s="158"/>
      <c r="AB107" s="158"/>
      <c r="AC107" s="158"/>
      <c r="AD107" s="158"/>
      <c r="AE107" s="159">
        <f t="shared" si="5"/>
        <v>17</v>
      </c>
      <c r="AF107" s="161">
        <f t="shared" si="6"/>
        <v>10.0591716</v>
      </c>
      <c r="AG107" s="162">
        <v>3.0</v>
      </c>
      <c r="AH107" s="158">
        <v>3.0</v>
      </c>
      <c r="AI107" s="158">
        <v>1.0</v>
      </c>
      <c r="AJ107" s="158">
        <v>2.0</v>
      </c>
      <c r="AK107" s="158">
        <v>10.0</v>
      </c>
      <c r="AL107" s="158">
        <v>0.0</v>
      </c>
      <c r="AM107" s="158"/>
      <c r="AN107" s="158"/>
      <c r="AO107" s="158"/>
      <c r="AP107" s="158"/>
      <c r="AQ107" s="159">
        <f t="shared" si="7"/>
        <v>19</v>
      </c>
      <c r="AR107" s="161">
        <f t="shared" si="8"/>
        <v>11.24260355</v>
      </c>
      <c r="AS107" s="158">
        <v>4.0</v>
      </c>
      <c r="AT107" s="158">
        <v>0.0</v>
      </c>
      <c r="AU107" s="158">
        <v>3.0</v>
      </c>
      <c r="AV107" s="158">
        <v>5.0</v>
      </c>
      <c r="AW107" s="158">
        <v>2.0</v>
      </c>
      <c r="AX107" s="158">
        <v>1.0</v>
      </c>
      <c r="AY107" s="158"/>
      <c r="AZ107" s="158"/>
      <c r="BA107" s="158"/>
      <c r="BB107" s="158"/>
      <c r="BC107" s="159">
        <f t="shared" si="9"/>
        <v>15</v>
      </c>
      <c r="BD107" s="161">
        <f t="shared" si="10"/>
        <v>8.875739645</v>
      </c>
      <c r="BF107" s="94"/>
      <c r="BG107" s="95"/>
      <c r="BH107" s="95"/>
      <c r="BI107" s="95"/>
      <c r="BJ107" s="95"/>
      <c r="BK107" s="95"/>
      <c r="BL107" s="95"/>
      <c r="BM107" s="46"/>
    </row>
    <row r="108" ht="18.0" customHeight="1">
      <c r="A108" s="94"/>
      <c r="B108" s="95"/>
      <c r="C108" s="95"/>
      <c r="D108" s="95"/>
      <c r="E108" s="95"/>
      <c r="F108" s="103"/>
      <c r="H108" s="112">
        <v>18.0</v>
      </c>
      <c r="I108" s="158">
        <v>19.0</v>
      </c>
      <c r="J108" s="158">
        <v>25.0</v>
      </c>
      <c r="K108" s="158">
        <v>18.0</v>
      </c>
      <c r="L108" s="158">
        <v>15.0</v>
      </c>
      <c r="M108" s="158">
        <v>14.0</v>
      </c>
      <c r="N108" s="158">
        <v>20.0</v>
      </c>
      <c r="O108" s="158"/>
      <c r="P108" s="158"/>
      <c r="Q108" s="158"/>
      <c r="R108" s="158"/>
      <c r="S108" s="159">
        <f t="shared" si="3"/>
        <v>111</v>
      </c>
      <c r="T108" s="160">
        <f t="shared" si="4"/>
        <v>65.68047337</v>
      </c>
      <c r="U108" s="158">
        <v>6.0</v>
      </c>
      <c r="V108" s="158">
        <v>2.0</v>
      </c>
      <c r="W108" s="158">
        <v>1.0</v>
      </c>
      <c r="X108" s="158">
        <v>8.0</v>
      </c>
      <c r="Y108" s="158">
        <v>9.0</v>
      </c>
      <c r="Z108" s="158">
        <v>0.0</v>
      </c>
      <c r="AA108" s="158"/>
      <c r="AB108" s="158"/>
      <c r="AC108" s="158"/>
      <c r="AD108" s="158"/>
      <c r="AE108" s="159">
        <f t="shared" si="5"/>
        <v>26</v>
      </c>
      <c r="AF108" s="161">
        <f t="shared" si="6"/>
        <v>15.38461538</v>
      </c>
      <c r="AG108" s="162">
        <v>1.0</v>
      </c>
      <c r="AH108" s="158">
        <v>1.0</v>
      </c>
      <c r="AI108" s="158">
        <v>5.0</v>
      </c>
      <c r="AJ108" s="158">
        <v>2.0</v>
      </c>
      <c r="AK108" s="158">
        <v>2.0</v>
      </c>
      <c r="AL108" s="158">
        <v>3.0</v>
      </c>
      <c r="AM108" s="158"/>
      <c r="AN108" s="158"/>
      <c r="AO108" s="158"/>
      <c r="AP108" s="158"/>
      <c r="AQ108" s="159">
        <f t="shared" si="7"/>
        <v>14</v>
      </c>
      <c r="AR108" s="161">
        <f t="shared" si="8"/>
        <v>8.284023669</v>
      </c>
      <c r="AS108" s="158">
        <v>2.0</v>
      </c>
      <c r="AT108" s="158">
        <v>0.0</v>
      </c>
      <c r="AU108" s="158">
        <v>3.0</v>
      </c>
      <c r="AV108" s="158">
        <v>2.0</v>
      </c>
      <c r="AW108" s="158">
        <v>4.0</v>
      </c>
      <c r="AX108" s="158">
        <v>0.0</v>
      </c>
      <c r="AY108" s="158"/>
      <c r="AZ108" s="158"/>
      <c r="BA108" s="158"/>
      <c r="BB108" s="158"/>
      <c r="BC108" s="159">
        <f t="shared" si="9"/>
        <v>11</v>
      </c>
      <c r="BD108" s="161">
        <f t="shared" si="10"/>
        <v>6.50887574</v>
      </c>
      <c r="BF108" s="94"/>
      <c r="BG108" s="95"/>
      <c r="BH108" s="95"/>
      <c r="BI108" s="95"/>
      <c r="BJ108" s="95"/>
      <c r="BK108" s="95"/>
      <c r="BL108" s="95"/>
      <c r="BM108" s="46"/>
    </row>
    <row r="109" ht="18.0" customHeight="1">
      <c r="A109" s="94"/>
      <c r="B109" s="95"/>
      <c r="C109" s="95"/>
      <c r="D109" s="95"/>
      <c r="E109" s="95"/>
      <c r="F109" s="103"/>
      <c r="H109" s="112">
        <v>19.0</v>
      </c>
      <c r="I109" s="158">
        <v>0.0</v>
      </c>
      <c r="J109" s="158">
        <v>0.0</v>
      </c>
      <c r="K109" s="158">
        <v>1.0</v>
      </c>
      <c r="L109" s="158">
        <v>3.0</v>
      </c>
      <c r="M109" s="158">
        <v>0.0</v>
      </c>
      <c r="N109" s="158">
        <v>0.0</v>
      </c>
      <c r="O109" s="158"/>
      <c r="P109" s="158"/>
      <c r="Q109" s="158"/>
      <c r="R109" s="158"/>
      <c r="S109" s="159">
        <f t="shared" si="3"/>
        <v>4</v>
      </c>
      <c r="T109" s="160">
        <f t="shared" si="4"/>
        <v>2.366863905</v>
      </c>
      <c r="U109" s="158">
        <v>7.0</v>
      </c>
      <c r="V109" s="158">
        <v>5.0</v>
      </c>
      <c r="W109" s="158">
        <v>2.0</v>
      </c>
      <c r="X109" s="158">
        <v>7.0</v>
      </c>
      <c r="Y109" s="158">
        <v>5.0</v>
      </c>
      <c r="Z109" s="158">
        <v>0.0</v>
      </c>
      <c r="AA109" s="158"/>
      <c r="AB109" s="158"/>
      <c r="AC109" s="158"/>
      <c r="AD109" s="158"/>
      <c r="AE109" s="159">
        <f t="shared" si="5"/>
        <v>26</v>
      </c>
      <c r="AF109" s="161">
        <f t="shared" si="6"/>
        <v>15.38461538</v>
      </c>
      <c r="AG109" s="162">
        <v>17.0</v>
      </c>
      <c r="AH109" s="158">
        <v>21.0</v>
      </c>
      <c r="AI109" s="158">
        <v>22.0</v>
      </c>
      <c r="AJ109" s="158">
        <v>10.0</v>
      </c>
      <c r="AK109" s="158">
        <v>22.0</v>
      </c>
      <c r="AL109" s="158">
        <v>19.0</v>
      </c>
      <c r="AM109" s="158"/>
      <c r="AN109" s="158"/>
      <c r="AO109" s="158"/>
      <c r="AP109" s="158"/>
      <c r="AQ109" s="159">
        <f t="shared" si="7"/>
        <v>111</v>
      </c>
      <c r="AR109" s="161">
        <f t="shared" si="8"/>
        <v>65.68047337</v>
      </c>
      <c r="AS109" s="158">
        <v>3.0</v>
      </c>
      <c r="AT109" s="158">
        <v>2.0</v>
      </c>
      <c r="AU109" s="158">
        <v>2.0</v>
      </c>
      <c r="AV109" s="158">
        <v>7.0</v>
      </c>
      <c r="AW109" s="158">
        <v>2.0</v>
      </c>
      <c r="AX109" s="158">
        <v>4.0</v>
      </c>
      <c r="AY109" s="158"/>
      <c r="AZ109" s="158"/>
      <c r="BA109" s="158"/>
      <c r="BB109" s="158"/>
      <c r="BC109" s="159">
        <f t="shared" si="9"/>
        <v>20</v>
      </c>
      <c r="BD109" s="161">
        <f t="shared" si="10"/>
        <v>11.83431953</v>
      </c>
      <c r="BF109" s="94"/>
      <c r="BG109" s="95"/>
      <c r="BH109" s="95"/>
      <c r="BI109" s="95"/>
      <c r="BJ109" s="95"/>
      <c r="BK109" s="95"/>
      <c r="BL109" s="95"/>
      <c r="BM109" s="46"/>
    </row>
    <row r="110" ht="18.0" customHeight="1">
      <c r="A110" s="94"/>
      <c r="B110" s="95"/>
      <c r="C110" s="95"/>
      <c r="D110" s="95"/>
      <c r="E110" s="95"/>
      <c r="F110" s="103"/>
      <c r="H110" s="112">
        <v>20.0</v>
      </c>
      <c r="I110" s="158">
        <v>0.0</v>
      </c>
      <c r="J110" s="158">
        <v>1.0</v>
      </c>
      <c r="K110" s="158">
        <v>1.0</v>
      </c>
      <c r="L110" s="158">
        <v>4.0</v>
      </c>
      <c r="M110" s="158">
        <v>3.0</v>
      </c>
      <c r="N110" s="158">
        <v>0.0</v>
      </c>
      <c r="O110" s="158"/>
      <c r="P110" s="158"/>
      <c r="Q110" s="158"/>
      <c r="R110" s="158"/>
      <c r="S110" s="159">
        <f t="shared" si="3"/>
        <v>9</v>
      </c>
      <c r="T110" s="160">
        <f t="shared" si="4"/>
        <v>5.325443787</v>
      </c>
      <c r="U110" s="158">
        <v>4.0</v>
      </c>
      <c r="V110" s="158">
        <v>2.0</v>
      </c>
      <c r="W110" s="158">
        <v>5.0</v>
      </c>
      <c r="X110" s="158">
        <v>8.0</v>
      </c>
      <c r="Y110" s="158">
        <v>2.0</v>
      </c>
      <c r="Z110" s="158">
        <v>3.0</v>
      </c>
      <c r="AA110" s="158"/>
      <c r="AB110" s="158"/>
      <c r="AC110" s="158"/>
      <c r="AD110" s="158"/>
      <c r="AE110" s="159">
        <f t="shared" si="5"/>
        <v>24</v>
      </c>
      <c r="AF110" s="161">
        <f t="shared" si="6"/>
        <v>14.20118343</v>
      </c>
      <c r="AG110" s="162">
        <v>5.0</v>
      </c>
      <c r="AH110" s="158">
        <v>5.0</v>
      </c>
      <c r="AI110" s="158">
        <v>1.0</v>
      </c>
      <c r="AJ110" s="158">
        <v>11.0</v>
      </c>
      <c r="AK110" s="158">
        <v>8.0</v>
      </c>
      <c r="AL110" s="158">
        <v>2.0</v>
      </c>
      <c r="AM110" s="158"/>
      <c r="AN110" s="158"/>
      <c r="AO110" s="158"/>
      <c r="AP110" s="158"/>
      <c r="AQ110" s="159">
        <f t="shared" si="7"/>
        <v>32</v>
      </c>
      <c r="AR110" s="161">
        <f t="shared" si="8"/>
        <v>18.93491124</v>
      </c>
      <c r="AS110" s="158">
        <v>19.0</v>
      </c>
      <c r="AT110" s="158">
        <v>20.0</v>
      </c>
      <c r="AU110" s="158">
        <v>20.0</v>
      </c>
      <c r="AV110" s="158">
        <v>4.0</v>
      </c>
      <c r="AW110" s="158">
        <v>16.0</v>
      </c>
      <c r="AX110" s="158">
        <v>18.0</v>
      </c>
      <c r="AY110" s="158"/>
      <c r="AZ110" s="158"/>
      <c r="BA110" s="158"/>
      <c r="BB110" s="158"/>
      <c r="BC110" s="159">
        <f t="shared" si="9"/>
        <v>97</v>
      </c>
      <c r="BD110" s="161">
        <f t="shared" si="10"/>
        <v>57.3964497</v>
      </c>
      <c r="BF110" s="94"/>
      <c r="BG110" s="95"/>
      <c r="BH110" s="95"/>
      <c r="BI110" s="95"/>
      <c r="BJ110" s="95"/>
      <c r="BK110" s="95"/>
      <c r="BL110" s="95"/>
      <c r="BM110" s="46"/>
    </row>
    <row r="111" ht="18.0" customHeight="1">
      <c r="A111" s="94"/>
      <c r="B111" s="95"/>
      <c r="C111" s="95"/>
      <c r="D111" s="95"/>
      <c r="E111" s="95"/>
      <c r="F111" s="103"/>
      <c r="H111" s="112">
        <v>21.0</v>
      </c>
      <c r="I111" s="158">
        <v>2.0</v>
      </c>
      <c r="J111" s="158">
        <v>0.0</v>
      </c>
      <c r="K111" s="158">
        <v>1.0</v>
      </c>
      <c r="L111" s="158">
        <v>6.0</v>
      </c>
      <c r="M111" s="158">
        <v>1.0</v>
      </c>
      <c r="N111" s="158">
        <v>1.0</v>
      </c>
      <c r="O111" s="158"/>
      <c r="P111" s="158"/>
      <c r="Q111" s="158"/>
      <c r="R111" s="158"/>
      <c r="S111" s="159">
        <f t="shared" si="3"/>
        <v>11</v>
      </c>
      <c r="T111" s="160">
        <f t="shared" si="4"/>
        <v>6.50887574</v>
      </c>
      <c r="U111" s="158">
        <v>15.0</v>
      </c>
      <c r="V111" s="158">
        <v>21.0</v>
      </c>
      <c r="W111" s="158">
        <v>21.0</v>
      </c>
      <c r="X111" s="158">
        <v>9.0</v>
      </c>
      <c r="Y111" s="158">
        <v>22.0</v>
      </c>
      <c r="Z111" s="158">
        <v>19.0</v>
      </c>
      <c r="AA111" s="158"/>
      <c r="AB111" s="158"/>
      <c r="AC111" s="158"/>
      <c r="AD111" s="158"/>
      <c r="AE111" s="159">
        <f t="shared" si="5"/>
        <v>107</v>
      </c>
      <c r="AF111" s="161">
        <f t="shared" si="6"/>
        <v>63.31360947</v>
      </c>
      <c r="AG111" s="162">
        <v>5.0</v>
      </c>
      <c r="AH111" s="158">
        <v>6.0</v>
      </c>
      <c r="AI111" s="158">
        <v>1.0</v>
      </c>
      <c r="AJ111" s="158">
        <v>4.0</v>
      </c>
      <c r="AK111" s="158">
        <v>5.0</v>
      </c>
      <c r="AL111" s="158">
        <v>1.0</v>
      </c>
      <c r="AM111" s="158"/>
      <c r="AN111" s="158"/>
      <c r="AO111" s="158"/>
      <c r="AP111" s="158"/>
      <c r="AQ111" s="159">
        <f t="shared" si="7"/>
        <v>22</v>
      </c>
      <c r="AR111" s="161">
        <f t="shared" si="8"/>
        <v>13.01775148</v>
      </c>
      <c r="AS111" s="158">
        <v>6.0</v>
      </c>
      <c r="AT111" s="158">
        <v>0.0</v>
      </c>
      <c r="AU111" s="158">
        <v>3.0</v>
      </c>
      <c r="AV111" s="158">
        <v>8.0</v>
      </c>
      <c r="AW111" s="158">
        <v>1.0</v>
      </c>
      <c r="AX111" s="158">
        <v>2.0</v>
      </c>
      <c r="AY111" s="158"/>
      <c r="AZ111" s="158"/>
      <c r="BA111" s="158"/>
      <c r="BB111" s="158"/>
      <c r="BC111" s="159">
        <f t="shared" si="9"/>
        <v>20</v>
      </c>
      <c r="BD111" s="161">
        <f t="shared" si="10"/>
        <v>11.83431953</v>
      </c>
      <c r="BF111" s="94"/>
      <c r="BG111" s="95"/>
      <c r="BH111" s="95"/>
      <c r="BI111" s="95"/>
      <c r="BJ111" s="95"/>
      <c r="BK111" s="95"/>
      <c r="BL111" s="95"/>
      <c r="BM111" s="46"/>
    </row>
    <row r="112" ht="18.0" customHeight="1">
      <c r="A112" s="94"/>
      <c r="B112" s="95"/>
      <c r="C112" s="95"/>
      <c r="D112" s="95"/>
      <c r="E112" s="95"/>
      <c r="F112" s="103"/>
      <c r="G112" s="164" t="s">
        <v>17</v>
      </c>
      <c r="H112" s="130">
        <v>1.0</v>
      </c>
      <c r="I112" s="158">
        <v>26.0</v>
      </c>
      <c r="J112" s="158">
        <v>28.0</v>
      </c>
      <c r="K112" s="158">
        <v>25.0</v>
      </c>
      <c r="L112" s="158">
        <v>13.0</v>
      </c>
      <c r="M112" s="158">
        <v>26.0</v>
      </c>
      <c r="N112" s="158">
        <v>19.0</v>
      </c>
      <c r="O112" s="158"/>
      <c r="P112" s="158"/>
      <c r="Q112" s="158"/>
      <c r="R112" s="158"/>
      <c r="S112" s="159">
        <f t="shared" si="3"/>
        <v>137</v>
      </c>
      <c r="T112" s="160">
        <f t="shared" si="4"/>
        <v>81.06508876</v>
      </c>
      <c r="U112" s="158">
        <v>0.0</v>
      </c>
      <c r="V112" s="158">
        <v>0.0</v>
      </c>
      <c r="W112" s="158">
        <v>1.0</v>
      </c>
      <c r="X112" s="158">
        <v>3.0</v>
      </c>
      <c r="Y112" s="158">
        <v>2.0</v>
      </c>
      <c r="Z112" s="158">
        <v>1.0</v>
      </c>
      <c r="AA112" s="158"/>
      <c r="AB112" s="158"/>
      <c r="AC112" s="158"/>
      <c r="AD112" s="158"/>
      <c r="AE112" s="159">
        <f t="shared" si="5"/>
        <v>7</v>
      </c>
      <c r="AF112" s="161">
        <f t="shared" si="6"/>
        <v>4.142011834</v>
      </c>
      <c r="AG112" s="162">
        <v>1.0</v>
      </c>
      <c r="AH112" s="158">
        <v>1.0</v>
      </c>
      <c r="AI112" s="158">
        <v>0.0</v>
      </c>
      <c r="AJ112" s="158">
        <v>10.0</v>
      </c>
      <c r="AK112" s="158">
        <v>0.0</v>
      </c>
      <c r="AL112" s="158">
        <v>2.0</v>
      </c>
      <c r="AM112" s="158"/>
      <c r="AN112" s="158"/>
      <c r="AO112" s="158"/>
      <c r="AP112" s="158"/>
      <c r="AQ112" s="159">
        <f t="shared" si="7"/>
        <v>14</v>
      </c>
      <c r="AR112" s="161">
        <f t="shared" si="8"/>
        <v>8.284023669</v>
      </c>
      <c r="AS112" s="158">
        <v>1.0</v>
      </c>
      <c r="AT112" s="158">
        <v>0.0</v>
      </c>
      <c r="AU112" s="158">
        <v>0.0</v>
      </c>
      <c r="AV112" s="158">
        <v>1.0</v>
      </c>
      <c r="AW112" s="158">
        <v>1.0</v>
      </c>
      <c r="AX112" s="158">
        <v>0.0</v>
      </c>
      <c r="AY112" s="158"/>
      <c r="AZ112" s="158"/>
      <c r="BA112" s="158"/>
      <c r="BB112" s="158"/>
      <c r="BC112" s="159">
        <f t="shared" si="9"/>
        <v>3</v>
      </c>
      <c r="BD112" s="161">
        <f t="shared" si="10"/>
        <v>1.775147929</v>
      </c>
      <c r="BF112" s="94"/>
      <c r="BG112" s="95"/>
      <c r="BH112" s="95"/>
      <c r="BI112" s="95"/>
      <c r="BJ112" s="95"/>
      <c r="BK112" s="95"/>
      <c r="BL112" s="95"/>
      <c r="BM112" s="46"/>
    </row>
    <row r="113" ht="18.0" customHeight="1">
      <c r="A113" s="94"/>
      <c r="B113" s="95"/>
      <c r="C113" s="95"/>
      <c r="D113" s="95"/>
      <c r="E113" s="95"/>
      <c r="F113" s="103"/>
      <c r="H113" s="130">
        <v>2.0</v>
      </c>
      <c r="I113" s="158">
        <v>1.0</v>
      </c>
      <c r="J113" s="158">
        <v>1.0</v>
      </c>
      <c r="K113" s="158">
        <v>0.0</v>
      </c>
      <c r="L113" s="158">
        <v>3.0</v>
      </c>
      <c r="M113" s="158">
        <v>1.0</v>
      </c>
      <c r="N113" s="158">
        <v>0.0</v>
      </c>
      <c r="O113" s="158"/>
      <c r="P113" s="158"/>
      <c r="Q113" s="158"/>
      <c r="R113" s="158"/>
      <c r="S113" s="159">
        <f t="shared" si="3"/>
        <v>6</v>
      </c>
      <c r="T113" s="160">
        <f t="shared" si="4"/>
        <v>3.550295858</v>
      </c>
      <c r="U113" s="158">
        <v>0.0</v>
      </c>
      <c r="V113" s="158">
        <v>1.0</v>
      </c>
      <c r="W113" s="158">
        <v>2.0</v>
      </c>
      <c r="X113" s="158">
        <v>6.0</v>
      </c>
      <c r="Y113" s="158">
        <v>2.0</v>
      </c>
      <c r="Z113" s="158">
        <v>0.0</v>
      </c>
      <c r="AA113" s="158"/>
      <c r="AB113" s="158"/>
      <c r="AC113" s="158"/>
      <c r="AD113" s="158"/>
      <c r="AE113" s="159">
        <f t="shared" si="5"/>
        <v>11</v>
      </c>
      <c r="AF113" s="161">
        <f t="shared" si="6"/>
        <v>6.50887574</v>
      </c>
      <c r="AG113" s="162">
        <v>2.0</v>
      </c>
      <c r="AH113" s="158">
        <v>2.0</v>
      </c>
      <c r="AI113" s="158">
        <v>0.0</v>
      </c>
      <c r="AJ113" s="158">
        <v>3.0</v>
      </c>
      <c r="AK113" s="158">
        <v>3.0</v>
      </c>
      <c r="AL113" s="158">
        <v>4.0</v>
      </c>
      <c r="AM113" s="158"/>
      <c r="AN113" s="158"/>
      <c r="AO113" s="158"/>
      <c r="AP113" s="158"/>
      <c r="AQ113" s="159">
        <f t="shared" si="7"/>
        <v>14</v>
      </c>
      <c r="AR113" s="161">
        <f t="shared" si="8"/>
        <v>8.284023669</v>
      </c>
      <c r="AS113" s="158">
        <v>24.0</v>
      </c>
      <c r="AT113" s="158">
        <v>24.0</v>
      </c>
      <c r="AU113" s="158">
        <v>24.0</v>
      </c>
      <c r="AV113" s="158">
        <v>15.0</v>
      </c>
      <c r="AW113" s="158">
        <v>23.0</v>
      </c>
      <c r="AX113" s="158">
        <v>19.0</v>
      </c>
      <c r="AY113" s="158"/>
      <c r="AZ113" s="158"/>
      <c r="BA113" s="158"/>
      <c r="BB113" s="158"/>
      <c r="BC113" s="159">
        <f t="shared" si="9"/>
        <v>129</v>
      </c>
      <c r="BD113" s="161">
        <f t="shared" si="10"/>
        <v>76.33136095</v>
      </c>
      <c r="BF113" s="94"/>
      <c r="BG113" s="95"/>
      <c r="BH113" s="95"/>
      <c r="BI113" s="95"/>
      <c r="BJ113" s="95"/>
      <c r="BK113" s="95"/>
      <c r="BL113" s="95"/>
      <c r="BM113" s="46"/>
    </row>
    <row r="114" ht="18.0" customHeight="1">
      <c r="A114" s="94"/>
      <c r="B114" s="95"/>
      <c r="C114" s="95"/>
      <c r="D114" s="95"/>
      <c r="E114" s="95"/>
      <c r="F114" s="103"/>
      <c r="H114" s="130">
        <v>3.0</v>
      </c>
      <c r="I114" s="158">
        <v>0.0</v>
      </c>
      <c r="J114" s="158">
        <v>0.0</v>
      </c>
      <c r="K114" s="158">
        <v>0.0</v>
      </c>
      <c r="L114" s="158">
        <v>6.0</v>
      </c>
      <c r="M114" s="158">
        <v>2.0</v>
      </c>
      <c r="N114" s="158">
        <v>0.0</v>
      </c>
      <c r="O114" s="158"/>
      <c r="P114" s="158"/>
      <c r="Q114" s="158"/>
      <c r="R114" s="158"/>
      <c r="S114" s="159">
        <f t="shared" si="3"/>
        <v>8</v>
      </c>
      <c r="T114" s="160">
        <f t="shared" si="4"/>
        <v>4.733727811</v>
      </c>
      <c r="U114" s="158">
        <v>24.0</v>
      </c>
      <c r="V114" s="158">
        <v>27.0</v>
      </c>
      <c r="W114" s="158">
        <v>25.0</v>
      </c>
      <c r="X114" s="158">
        <v>15.0</v>
      </c>
      <c r="Y114" s="158">
        <v>25.0</v>
      </c>
      <c r="Z114" s="158">
        <v>21.0</v>
      </c>
      <c r="AA114" s="158"/>
      <c r="AB114" s="158"/>
      <c r="AC114" s="158"/>
      <c r="AD114" s="158"/>
      <c r="AE114" s="159">
        <f t="shared" si="5"/>
        <v>137</v>
      </c>
      <c r="AF114" s="161">
        <f t="shared" si="6"/>
        <v>81.06508876</v>
      </c>
      <c r="AG114" s="162">
        <v>3.0</v>
      </c>
      <c r="AH114" s="158">
        <v>1.0</v>
      </c>
      <c r="AI114" s="158">
        <v>0.0</v>
      </c>
      <c r="AJ114" s="158">
        <v>2.0</v>
      </c>
      <c r="AK114" s="158">
        <v>2.0</v>
      </c>
      <c r="AL114" s="158">
        <v>2.0</v>
      </c>
      <c r="AM114" s="158"/>
      <c r="AN114" s="158"/>
      <c r="AO114" s="158"/>
      <c r="AP114" s="158"/>
      <c r="AQ114" s="159">
        <f t="shared" si="7"/>
        <v>10</v>
      </c>
      <c r="AR114" s="161">
        <f t="shared" si="8"/>
        <v>5.917159763</v>
      </c>
      <c r="AS114" s="158">
        <v>1.0</v>
      </c>
      <c r="AT114" s="158">
        <v>1.0</v>
      </c>
      <c r="AU114" s="158">
        <v>1.0</v>
      </c>
      <c r="AV114" s="158">
        <v>4.0</v>
      </c>
      <c r="AW114" s="158">
        <v>0.0</v>
      </c>
      <c r="AX114" s="158">
        <v>0.0</v>
      </c>
      <c r="AY114" s="158"/>
      <c r="AZ114" s="158"/>
      <c r="BA114" s="158"/>
      <c r="BB114" s="158"/>
      <c r="BC114" s="159">
        <f t="shared" si="9"/>
        <v>7</v>
      </c>
      <c r="BD114" s="161">
        <f t="shared" si="10"/>
        <v>4.142011834</v>
      </c>
      <c r="BF114" s="94"/>
      <c r="BG114" s="95"/>
      <c r="BH114" s="95"/>
      <c r="BI114" s="95"/>
      <c r="BJ114" s="95"/>
      <c r="BK114" s="95"/>
      <c r="BL114" s="95"/>
      <c r="BM114" s="46"/>
    </row>
    <row r="115" ht="18.0" customHeight="1">
      <c r="A115" s="94"/>
      <c r="B115" s="95"/>
      <c r="C115" s="95"/>
      <c r="D115" s="95"/>
      <c r="E115" s="95"/>
      <c r="F115" s="103"/>
      <c r="H115" s="130">
        <v>4.0</v>
      </c>
      <c r="I115" s="158">
        <v>0.0</v>
      </c>
      <c r="J115" s="158">
        <v>1.0</v>
      </c>
      <c r="K115" s="158">
        <v>0.0</v>
      </c>
      <c r="L115" s="158">
        <v>2.0</v>
      </c>
      <c r="M115" s="158">
        <v>0.0</v>
      </c>
      <c r="N115" s="158">
        <v>0.0</v>
      </c>
      <c r="O115" s="158"/>
      <c r="P115" s="158"/>
      <c r="Q115" s="158"/>
      <c r="R115" s="158"/>
      <c r="S115" s="159">
        <f t="shared" si="3"/>
        <v>3</v>
      </c>
      <c r="T115" s="160">
        <f t="shared" si="4"/>
        <v>1.775147929</v>
      </c>
      <c r="U115" s="158">
        <v>2.0</v>
      </c>
      <c r="V115" s="158">
        <v>3.0</v>
      </c>
      <c r="W115" s="158">
        <v>2.0</v>
      </c>
      <c r="X115" s="158">
        <v>18.0</v>
      </c>
      <c r="Y115" s="158">
        <v>4.0</v>
      </c>
      <c r="Z115" s="158">
        <v>4.0</v>
      </c>
      <c r="AA115" s="158"/>
      <c r="AB115" s="158"/>
      <c r="AC115" s="158"/>
      <c r="AD115" s="158"/>
      <c r="AE115" s="159">
        <f t="shared" si="5"/>
        <v>33</v>
      </c>
      <c r="AF115" s="161">
        <f t="shared" si="6"/>
        <v>19.52662722</v>
      </c>
      <c r="AG115" s="162">
        <v>0.0</v>
      </c>
      <c r="AH115" s="158">
        <v>0.0</v>
      </c>
      <c r="AI115" s="158">
        <v>0.0</v>
      </c>
      <c r="AJ115" s="158">
        <v>1.0</v>
      </c>
      <c r="AK115" s="158">
        <v>3.0</v>
      </c>
      <c r="AL115" s="158">
        <v>0.0</v>
      </c>
      <c r="AM115" s="158"/>
      <c r="AN115" s="158"/>
      <c r="AO115" s="158"/>
      <c r="AP115" s="158"/>
      <c r="AQ115" s="159">
        <f t="shared" si="7"/>
        <v>4</v>
      </c>
      <c r="AR115" s="161">
        <f t="shared" si="8"/>
        <v>2.366863905</v>
      </c>
      <c r="AS115" s="158">
        <v>26.0</v>
      </c>
      <c r="AT115" s="158">
        <v>25.0</v>
      </c>
      <c r="AU115" s="158">
        <v>24.0</v>
      </c>
      <c r="AV115" s="158">
        <v>6.0</v>
      </c>
      <c r="AW115" s="158">
        <v>22.0</v>
      </c>
      <c r="AX115" s="158">
        <v>19.0</v>
      </c>
      <c r="AY115" s="158"/>
      <c r="AZ115" s="158"/>
      <c r="BA115" s="158"/>
      <c r="BB115" s="158"/>
      <c r="BC115" s="159">
        <f t="shared" si="9"/>
        <v>122</v>
      </c>
      <c r="BD115" s="161">
        <f t="shared" si="10"/>
        <v>72.18934911</v>
      </c>
      <c r="BF115" s="94"/>
      <c r="BG115" s="95"/>
      <c r="BH115" s="95"/>
      <c r="BI115" s="95"/>
      <c r="BJ115" s="95"/>
      <c r="BK115" s="95"/>
      <c r="BL115" s="95"/>
      <c r="BM115" s="46"/>
    </row>
    <row r="116" ht="18.0" customHeight="1">
      <c r="A116" s="94"/>
      <c r="B116" s="95"/>
      <c r="C116" s="95"/>
      <c r="D116" s="95"/>
      <c r="E116" s="95"/>
      <c r="F116" s="103"/>
      <c r="H116" s="130">
        <v>5.0</v>
      </c>
      <c r="I116" s="158">
        <v>2.0</v>
      </c>
      <c r="J116" s="158">
        <v>4.0</v>
      </c>
      <c r="K116" s="158">
        <v>1.0</v>
      </c>
      <c r="L116" s="158">
        <v>5.0</v>
      </c>
      <c r="M116" s="158">
        <v>3.0</v>
      </c>
      <c r="N116" s="158">
        <v>2.0</v>
      </c>
      <c r="O116" s="158"/>
      <c r="P116" s="158"/>
      <c r="Q116" s="158"/>
      <c r="R116" s="158"/>
      <c r="S116" s="159">
        <f t="shared" si="3"/>
        <v>17</v>
      </c>
      <c r="T116" s="160">
        <f t="shared" si="4"/>
        <v>10.0591716</v>
      </c>
      <c r="U116" s="158">
        <v>3.0</v>
      </c>
      <c r="V116" s="158">
        <v>2.0</v>
      </c>
      <c r="W116" s="158">
        <v>1.0</v>
      </c>
      <c r="X116" s="158">
        <v>5.0</v>
      </c>
      <c r="Y116" s="158">
        <v>1.0</v>
      </c>
      <c r="Z116" s="158">
        <v>2.0</v>
      </c>
      <c r="AA116" s="158"/>
      <c r="AB116" s="158"/>
      <c r="AC116" s="158"/>
      <c r="AD116" s="158"/>
      <c r="AE116" s="159">
        <f t="shared" si="5"/>
        <v>14</v>
      </c>
      <c r="AF116" s="161">
        <f t="shared" si="6"/>
        <v>8.284023669</v>
      </c>
      <c r="AG116" s="162">
        <v>20.0</v>
      </c>
      <c r="AH116" s="158">
        <v>22.0</v>
      </c>
      <c r="AI116" s="158">
        <v>24.0</v>
      </c>
      <c r="AJ116" s="158">
        <v>11.0</v>
      </c>
      <c r="AK116" s="158">
        <v>23.0</v>
      </c>
      <c r="AL116" s="158">
        <v>18.0</v>
      </c>
      <c r="AM116" s="158"/>
      <c r="AN116" s="158"/>
      <c r="AO116" s="158"/>
      <c r="AP116" s="158"/>
      <c r="AQ116" s="159">
        <f t="shared" si="7"/>
        <v>118</v>
      </c>
      <c r="AR116" s="161">
        <f t="shared" si="8"/>
        <v>69.82248521</v>
      </c>
      <c r="AS116" s="158">
        <v>3.0</v>
      </c>
      <c r="AT116" s="158">
        <v>1.0</v>
      </c>
      <c r="AU116" s="158">
        <v>0.0</v>
      </c>
      <c r="AV116" s="158">
        <v>5.0</v>
      </c>
      <c r="AW116" s="158">
        <v>2.0</v>
      </c>
      <c r="AX116" s="158">
        <v>1.0</v>
      </c>
      <c r="AY116" s="158"/>
      <c r="AZ116" s="158"/>
      <c r="BA116" s="158"/>
      <c r="BB116" s="158"/>
      <c r="BC116" s="159">
        <f t="shared" si="9"/>
        <v>12</v>
      </c>
      <c r="BD116" s="161">
        <f t="shared" si="10"/>
        <v>7.100591716</v>
      </c>
      <c r="BF116" s="94"/>
      <c r="BG116" s="95"/>
      <c r="BH116" s="95"/>
      <c r="BI116" s="95"/>
      <c r="BJ116" s="95"/>
      <c r="BK116" s="95"/>
      <c r="BL116" s="95"/>
      <c r="BM116" s="46"/>
    </row>
    <row r="117" ht="18.0" customHeight="1">
      <c r="A117" s="94"/>
      <c r="B117" s="95"/>
      <c r="C117" s="95"/>
      <c r="D117" s="95"/>
      <c r="E117" s="95"/>
      <c r="F117" s="103"/>
      <c r="H117" s="130">
        <v>6.0</v>
      </c>
      <c r="I117" s="158">
        <v>4.0</v>
      </c>
      <c r="J117" s="158">
        <v>4.0</v>
      </c>
      <c r="K117" s="158">
        <v>2.0</v>
      </c>
      <c r="L117" s="158">
        <v>2.0</v>
      </c>
      <c r="M117" s="158">
        <v>3.0</v>
      </c>
      <c r="N117" s="158">
        <v>0.0</v>
      </c>
      <c r="O117" s="158"/>
      <c r="P117" s="158"/>
      <c r="Q117" s="158"/>
      <c r="R117" s="158"/>
      <c r="S117" s="159">
        <f t="shared" si="3"/>
        <v>15</v>
      </c>
      <c r="T117" s="160">
        <f t="shared" si="4"/>
        <v>8.875739645</v>
      </c>
      <c r="U117" s="158">
        <v>3.0</v>
      </c>
      <c r="V117" s="158">
        <v>6.0</v>
      </c>
      <c r="W117" s="158">
        <v>1.0</v>
      </c>
      <c r="X117" s="158">
        <v>7.0</v>
      </c>
      <c r="Y117" s="158">
        <v>8.0</v>
      </c>
      <c r="Z117" s="158">
        <v>0.0</v>
      </c>
      <c r="AA117" s="158"/>
      <c r="AB117" s="158"/>
      <c r="AC117" s="158"/>
      <c r="AD117" s="158"/>
      <c r="AE117" s="159">
        <f t="shared" si="5"/>
        <v>25</v>
      </c>
      <c r="AF117" s="161">
        <f t="shared" si="6"/>
        <v>14.79289941</v>
      </c>
      <c r="AG117" s="162">
        <v>19.0</v>
      </c>
      <c r="AH117" s="158">
        <v>13.0</v>
      </c>
      <c r="AI117" s="158">
        <v>22.0</v>
      </c>
      <c r="AJ117" s="158">
        <v>6.0</v>
      </c>
      <c r="AK117" s="158">
        <v>14.0</v>
      </c>
      <c r="AL117" s="158">
        <v>22.0</v>
      </c>
      <c r="AM117" s="158"/>
      <c r="AN117" s="158"/>
      <c r="AO117" s="158"/>
      <c r="AP117" s="158"/>
      <c r="AQ117" s="159">
        <f t="shared" si="7"/>
        <v>96</v>
      </c>
      <c r="AR117" s="161">
        <f t="shared" si="8"/>
        <v>56.80473373</v>
      </c>
      <c r="AS117" s="158">
        <v>2.0</v>
      </c>
      <c r="AT117" s="158">
        <v>6.0</v>
      </c>
      <c r="AU117" s="158">
        <v>1.0</v>
      </c>
      <c r="AV117" s="158">
        <v>11.0</v>
      </c>
      <c r="AW117" s="158">
        <v>4.0</v>
      </c>
      <c r="AX117" s="158">
        <v>0.0</v>
      </c>
      <c r="AY117" s="158"/>
      <c r="AZ117" s="158"/>
      <c r="BA117" s="158"/>
      <c r="BB117" s="158"/>
      <c r="BC117" s="159">
        <f t="shared" si="9"/>
        <v>24</v>
      </c>
      <c r="BD117" s="161">
        <f t="shared" si="10"/>
        <v>14.20118343</v>
      </c>
      <c r="BF117" s="94"/>
      <c r="BG117" s="95"/>
      <c r="BH117" s="95"/>
      <c r="BI117" s="95"/>
      <c r="BJ117" s="95"/>
      <c r="BK117" s="95"/>
      <c r="BL117" s="95"/>
      <c r="BM117" s="46"/>
    </row>
    <row r="118" ht="18.0" customHeight="1">
      <c r="A118" s="94"/>
      <c r="B118" s="95"/>
      <c r="C118" s="95"/>
      <c r="D118" s="95"/>
      <c r="E118" s="95"/>
      <c r="F118" s="103"/>
      <c r="H118" s="130">
        <v>7.0</v>
      </c>
      <c r="I118" s="158">
        <v>4.0</v>
      </c>
      <c r="J118" s="158">
        <v>1.0</v>
      </c>
      <c r="K118" s="158">
        <v>1.0</v>
      </c>
      <c r="L118" s="158">
        <v>6.0</v>
      </c>
      <c r="M118" s="158">
        <v>1.0</v>
      </c>
      <c r="N118" s="158">
        <v>1.0</v>
      </c>
      <c r="O118" s="158"/>
      <c r="P118" s="158"/>
      <c r="Q118" s="158"/>
      <c r="R118" s="158"/>
      <c r="S118" s="159">
        <f t="shared" si="3"/>
        <v>14</v>
      </c>
      <c r="T118" s="160">
        <f t="shared" si="4"/>
        <v>8.284023669</v>
      </c>
      <c r="U118" s="158">
        <v>20.0</v>
      </c>
      <c r="V118" s="158">
        <v>21.0</v>
      </c>
      <c r="W118" s="158">
        <v>21.0</v>
      </c>
      <c r="X118" s="158">
        <v>8.0</v>
      </c>
      <c r="Y118" s="158">
        <v>23.0</v>
      </c>
      <c r="Z118" s="158">
        <v>18.0</v>
      </c>
      <c r="AA118" s="158"/>
      <c r="AB118" s="158"/>
      <c r="AC118" s="158"/>
      <c r="AD118" s="158"/>
      <c r="AE118" s="159">
        <f t="shared" si="5"/>
        <v>111</v>
      </c>
      <c r="AF118" s="161">
        <f t="shared" si="6"/>
        <v>65.68047337</v>
      </c>
      <c r="AG118" s="162">
        <v>0.0</v>
      </c>
      <c r="AH118" s="158">
        <v>6.0</v>
      </c>
      <c r="AI118" s="158">
        <v>4.0</v>
      </c>
      <c r="AJ118" s="158">
        <v>12.0</v>
      </c>
      <c r="AK118" s="158">
        <v>2.0</v>
      </c>
      <c r="AL118" s="158">
        <v>3.0</v>
      </c>
      <c r="AM118" s="158"/>
      <c r="AN118" s="158"/>
      <c r="AO118" s="158"/>
      <c r="AP118" s="158"/>
      <c r="AQ118" s="159">
        <f t="shared" si="7"/>
        <v>27</v>
      </c>
      <c r="AR118" s="161">
        <f t="shared" si="8"/>
        <v>15.97633136</v>
      </c>
      <c r="AS118" s="158">
        <v>4.0</v>
      </c>
      <c r="AT118" s="158">
        <v>0.0</v>
      </c>
      <c r="AU118" s="158">
        <v>0.0</v>
      </c>
      <c r="AV118" s="158">
        <v>1.0</v>
      </c>
      <c r="AW118" s="158">
        <v>2.0</v>
      </c>
      <c r="AX118" s="158">
        <v>0.0</v>
      </c>
      <c r="AY118" s="158"/>
      <c r="AZ118" s="158"/>
      <c r="BA118" s="158"/>
      <c r="BB118" s="158"/>
      <c r="BC118" s="159">
        <f t="shared" si="9"/>
        <v>7</v>
      </c>
      <c r="BD118" s="161">
        <f t="shared" si="10"/>
        <v>4.142011834</v>
      </c>
      <c r="BF118" s="94"/>
      <c r="BG118" s="95"/>
      <c r="BH118" s="95"/>
      <c r="BI118" s="95"/>
      <c r="BJ118" s="95"/>
      <c r="BK118" s="95"/>
      <c r="BL118" s="95"/>
      <c r="BM118" s="46"/>
    </row>
    <row r="119" ht="18.0" customHeight="1">
      <c r="A119" s="94"/>
      <c r="B119" s="95"/>
      <c r="C119" s="95"/>
      <c r="D119" s="95"/>
      <c r="E119" s="95"/>
      <c r="F119" s="103"/>
      <c r="H119" s="130">
        <v>8.0</v>
      </c>
      <c r="I119" s="158">
        <v>21.0</v>
      </c>
      <c r="J119" s="158">
        <v>25.0</v>
      </c>
      <c r="K119" s="158">
        <v>22.0</v>
      </c>
      <c r="L119" s="158">
        <v>16.0</v>
      </c>
      <c r="M119" s="158">
        <v>16.0</v>
      </c>
      <c r="N119" s="158">
        <v>20.0</v>
      </c>
      <c r="O119" s="158"/>
      <c r="P119" s="158"/>
      <c r="Q119" s="158"/>
      <c r="R119" s="158"/>
      <c r="S119" s="159">
        <f t="shared" si="3"/>
        <v>120</v>
      </c>
      <c r="T119" s="160">
        <f t="shared" si="4"/>
        <v>71.00591716</v>
      </c>
      <c r="U119" s="158">
        <v>3.0</v>
      </c>
      <c r="V119" s="158">
        <v>2.0</v>
      </c>
      <c r="W119" s="158">
        <v>0.0</v>
      </c>
      <c r="X119" s="158">
        <v>4.0</v>
      </c>
      <c r="Y119" s="158">
        <v>6.0</v>
      </c>
      <c r="Z119" s="158">
        <v>0.0</v>
      </c>
      <c r="AA119" s="158"/>
      <c r="AB119" s="158"/>
      <c r="AC119" s="158"/>
      <c r="AD119" s="158"/>
      <c r="AE119" s="159">
        <f t="shared" si="5"/>
        <v>15</v>
      </c>
      <c r="AF119" s="161">
        <f t="shared" si="6"/>
        <v>8.875739645</v>
      </c>
      <c r="AG119" s="162">
        <v>1.0</v>
      </c>
      <c r="AH119" s="158">
        <v>1.0</v>
      </c>
      <c r="AI119" s="158">
        <v>0.0</v>
      </c>
      <c r="AJ119" s="158">
        <v>3.0</v>
      </c>
      <c r="AK119" s="158">
        <v>0.0</v>
      </c>
      <c r="AL119" s="158">
        <v>3.0</v>
      </c>
      <c r="AM119" s="158"/>
      <c r="AN119" s="158"/>
      <c r="AO119" s="158"/>
      <c r="AP119" s="158"/>
      <c r="AQ119" s="159">
        <f t="shared" si="7"/>
        <v>8</v>
      </c>
      <c r="AR119" s="161">
        <f t="shared" si="8"/>
        <v>4.733727811</v>
      </c>
      <c r="AS119" s="158">
        <v>3.0</v>
      </c>
      <c r="AT119" s="158">
        <v>1.0</v>
      </c>
      <c r="AU119" s="158">
        <v>4.0</v>
      </c>
      <c r="AV119" s="158">
        <v>4.0</v>
      </c>
      <c r="AW119" s="158">
        <v>6.0</v>
      </c>
      <c r="AX119" s="158">
        <v>0.0</v>
      </c>
      <c r="AY119" s="158"/>
      <c r="AZ119" s="158"/>
      <c r="BA119" s="158"/>
      <c r="BB119" s="158"/>
      <c r="BC119" s="159">
        <f t="shared" si="9"/>
        <v>18</v>
      </c>
      <c r="BD119" s="161">
        <f t="shared" si="10"/>
        <v>10.65088757</v>
      </c>
      <c r="BF119" s="94"/>
      <c r="BG119" s="95"/>
      <c r="BH119" s="95"/>
      <c r="BI119" s="95"/>
      <c r="BJ119" s="95"/>
      <c r="BK119" s="95"/>
      <c r="BL119" s="95"/>
      <c r="BM119" s="46"/>
    </row>
    <row r="120" ht="18.0" customHeight="1">
      <c r="A120" s="94"/>
      <c r="B120" s="95"/>
      <c r="C120" s="95"/>
      <c r="D120" s="95"/>
      <c r="E120" s="95"/>
      <c r="F120" s="103"/>
      <c r="H120" s="130">
        <v>9.0</v>
      </c>
      <c r="I120" s="158">
        <v>2.0</v>
      </c>
      <c r="J120" s="158">
        <v>3.0</v>
      </c>
      <c r="K120" s="158">
        <v>1.0</v>
      </c>
      <c r="L120" s="158">
        <v>3.0</v>
      </c>
      <c r="M120" s="158">
        <v>4.0</v>
      </c>
      <c r="N120" s="158">
        <v>3.0</v>
      </c>
      <c r="O120" s="158"/>
      <c r="P120" s="158"/>
      <c r="Q120" s="158"/>
      <c r="R120" s="158"/>
      <c r="S120" s="159">
        <f t="shared" si="3"/>
        <v>16</v>
      </c>
      <c r="T120" s="160">
        <f t="shared" si="4"/>
        <v>9.467455621</v>
      </c>
      <c r="U120" s="158">
        <v>5.0</v>
      </c>
      <c r="V120" s="158">
        <v>1.0</v>
      </c>
      <c r="W120" s="158">
        <v>0.0</v>
      </c>
      <c r="X120" s="158">
        <v>6.0</v>
      </c>
      <c r="Y120" s="158">
        <v>3.0</v>
      </c>
      <c r="Z120" s="158">
        <v>0.0</v>
      </c>
      <c r="AA120" s="158"/>
      <c r="AB120" s="158"/>
      <c r="AC120" s="158"/>
      <c r="AD120" s="158"/>
      <c r="AE120" s="159">
        <f t="shared" si="5"/>
        <v>15</v>
      </c>
      <c r="AF120" s="161">
        <f t="shared" si="6"/>
        <v>8.875739645</v>
      </c>
      <c r="AG120" s="162">
        <v>5.0</v>
      </c>
      <c r="AH120" s="158">
        <v>1.0</v>
      </c>
      <c r="AI120" s="158">
        <v>2.0</v>
      </c>
      <c r="AJ120" s="158">
        <v>10.0</v>
      </c>
      <c r="AK120" s="158">
        <v>7.0</v>
      </c>
      <c r="AL120" s="158">
        <v>1.0</v>
      </c>
      <c r="AM120" s="158"/>
      <c r="AN120" s="158"/>
      <c r="AO120" s="158"/>
      <c r="AP120" s="158"/>
      <c r="AQ120" s="159">
        <f t="shared" si="7"/>
        <v>26</v>
      </c>
      <c r="AR120" s="161">
        <f t="shared" si="8"/>
        <v>15.38461538</v>
      </c>
      <c r="AS120" s="158">
        <v>16.0</v>
      </c>
      <c r="AT120" s="158">
        <v>24.0</v>
      </c>
      <c r="AU120" s="158">
        <v>23.0</v>
      </c>
      <c r="AV120" s="158">
        <v>8.0</v>
      </c>
      <c r="AW120" s="158">
        <v>15.0</v>
      </c>
      <c r="AX120" s="158">
        <v>18.0</v>
      </c>
      <c r="AY120" s="158"/>
      <c r="AZ120" s="158"/>
      <c r="BA120" s="158"/>
      <c r="BB120" s="158"/>
      <c r="BC120" s="159">
        <f t="shared" si="9"/>
        <v>104</v>
      </c>
      <c r="BD120" s="161">
        <f t="shared" si="10"/>
        <v>61.53846154</v>
      </c>
      <c r="BF120" s="94"/>
      <c r="BG120" s="95"/>
      <c r="BH120" s="95"/>
      <c r="BI120" s="95"/>
      <c r="BJ120" s="95"/>
      <c r="BK120" s="95"/>
      <c r="BL120" s="95"/>
      <c r="BM120" s="46"/>
    </row>
    <row r="121" ht="18.0" customHeight="1">
      <c r="A121" s="94"/>
      <c r="B121" s="95"/>
      <c r="C121" s="95"/>
      <c r="D121" s="95"/>
      <c r="E121" s="95"/>
      <c r="F121" s="103"/>
      <c r="H121" s="130">
        <v>10.0</v>
      </c>
      <c r="I121" s="158">
        <v>22.0</v>
      </c>
      <c r="J121" s="158">
        <v>14.0</v>
      </c>
      <c r="K121" s="158">
        <v>21.0</v>
      </c>
      <c r="L121" s="158">
        <v>12.0</v>
      </c>
      <c r="M121" s="158">
        <v>13.0</v>
      </c>
      <c r="N121" s="158">
        <v>17.0</v>
      </c>
      <c r="O121" s="158"/>
      <c r="P121" s="158"/>
      <c r="Q121" s="158"/>
      <c r="R121" s="158"/>
      <c r="S121" s="159">
        <f t="shared" si="3"/>
        <v>99</v>
      </c>
      <c r="T121" s="160">
        <f t="shared" si="4"/>
        <v>58.57988166</v>
      </c>
      <c r="U121" s="158">
        <v>1.0</v>
      </c>
      <c r="V121" s="158">
        <v>4.0</v>
      </c>
      <c r="W121" s="158">
        <v>2.0</v>
      </c>
      <c r="X121" s="158">
        <v>5.0</v>
      </c>
      <c r="Y121" s="158">
        <v>4.0</v>
      </c>
      <c r="Z121" s="158">
        <v>1.0</v>
      </c>
      <c r="AA121" s="158"/>
      <c r="AB121" s="158"/>
      <c r="AC121" s="158"/>
      <c r="AD121" s="158"/>
      <c r="AE121" s="159">
        <f t="shared" si="5"/>
        <v>17</v>
      </c>
      <c r="AF121" s="161">
        <f t="shared" si="6"/>
        <v>10.0591716</v>
      </c>
      <c r="AG121" s="162">
        <v>2.0</v>
      </c>
      <c r="AH121" s="158">
        <v>7.0</v>
      </c>
      <c r="AI121" s="158">
        <v>1.0</v>
      </c>
      <c r="AJ121" s="158">
        <v>7.0</v>
      </c>
      <c r="AK121" s="158">
        <v>7.0</v>
      </c>
      <c r="AL121" s="158">
        <v>2.0</v>
      </c>
      <c r="AM121" s="158"/>
      <c r="AN121" s="158"/>
      <c r="AO121" s="158"/>
      <c r="AP121" s="158"/>
      <c r="AQ121" s="159">
        <f t="shared" si="7"/>
        <v>26</v>
      </c>
      <c r="AR121" s="161">
        <f t="shared" si="8"/>
        <v>15.38461538</v>
      </c>
      <c r="AS121" s="158">
        <v>3.0</v>
      </c>
      <c r="AT121" s="158">
        <v>4.0</v>
      </c>
      <c r="AU121" s="158">
        <v>2.0</v>
      </c>
      <c r="AV121" s="158">
        <v>3.0</v>
      </c>
      <c r="AW121" s="158">
        <v>5.0</v>
      </c>
      <c r="AX121" s="158">
        <v>2.0</v>
      </c>
      <c r="AY121" s="158"/>
      <c r="AZ121" s="158"/>
      <c r="BA121" s="158"/>
      <c r="BB121" s="158"/>
      <c r="BC121" s="159">
        <f t="shared" si="9"/>
        <v>19</v>
      </c>
      <c r="BD121" s="161">
        <f t="shared" si="10"/>
        <v>11.24260355</v>
      </c>
      <c r="BF121" s="94"/>
      <c r="BG121" s="95"/>
      <c r="BH121" s="95"/>
      <c r="BI121" s="95"/>
      <c r="BJ121" s="95"/>
      <c r="BK121" s="95"/>
      <c r="BL121" s="95"/>
      <c r="BM121" s="46"/>
    </row>
    <row r="122" ht="18.0" customHeight="1">
      <c r="A122" s="94"/>
      <c r="B122" s="95"/>
      <c r="C122" s="95"/>
      <c r="D122" s="95"/>
      <c r="E122" s="95"/>
      <c r="F122" s="103"/>
      <c r="H122" s="130">
        <v>11.0</v>
      </c>
      <c r="I122" s="158">
        <v>0.0</v>
      </c>
      <c r="J122" s="158">
        <v>3.0</v>
      </c>
      <c r="K122" s="158">
        <v>2.0</v>
      </c>
      <c r="L122" s="158">
        <v>7.0</v>
      </c>
      <c r="M122" s="158">
        <v>3.0</v>
      </c>
      <c r="N122" s="158">
        <v>2.0</v>
      </c>
      <c r="O122" s="158"/>
      <c r="P122" s="158"/>
      <c r="Q122" s="158"/>
      <c r="R122" s="158"/>
      <c r="S122" s="159">
        <f t="shared" si="3"/>
        <v>17</v>
      </c>
      <c r="T122" s="160">
        <f t="shared" si="4"/>
        <v>10.0591716</v>
      </c>
      <c r="U122" s="158">
        <v>1.0</v>
      </c>
      <c r="V122" s="158">
        <v>0.0</v>
      </c>
      <c r="W122" s="158">
        <v>2.0</v>
      </c>
      <c r="X122" s="158">
        <v>2.0</v>
      </c>
      <c r="Y122" s="158">
        <v>4.0</v>
      </c>
      <c r="Z122" s="158">
        <v>2.0</v>
      </c>
      <c r="AA122" s="158"/>
      <c r="AB122" s="158"/>
      <c r="AC122" s="158"/>
      <c r="AD122" s="158"/>
      <c r="AE122" s="159">
        <f t="shared" si="5"/>
        <v>11</v>
      </c>
      <c r="AF122" s="161">
        <f t="shared" si="6"/>
        <v>6.50887574</v>
      </c>
      <c r="AG122" s="162">
        <v>25.0</v>
      </c>
      <c r="AH122" s="158">
        <v>26.0</v>
      </c>
      <c r="AI122" s="158">
        <v>22.0</v>
      </c>
      <c r="AJ122" s="158">
        <v>15.0</v>
      </c>
      <c r="AK122" s="158">
        <v>16.0</v>
      </c>
      <c r="AL122" s="158">
        <v>17.0</v>
      </c>
      <c r="AM122" s="158"/>
      <c r="AN122" s="158"/>
      <c r="AO122" s="158"/>
      <c r="AP122" s="158"/>
      <c r="AQ122" s="159">
        <f t="shared" si="7"/>
        <v>121</v>
      </c>
      <c r="AR122" s="161">
        <f t="shared" si="8"/>
        <v>71.59763314</v>
      </c>
      <c r="AS122" s="158">
        <v>2.0</v>
      </c>
      <c r="AT122" s="158">
        <v>0.0</v>
      </c>
      <c r="AU122" s="158">
        <v>0.0</v>
      </c>
      <c r="AV122" s="158">
        <v>3.0</v>
      </c>
      <c r="AW122" s="158">
        <v>6.0</v>
      </c>
      <c r="AX122" s="158">
        <v>2.0</v>
      </c>
      <c r="AY122" s="158"/>
      <c r="AZ122" s="158"/>
      <c r="BA122" s="158"/>
      <c r="BB122" s="158"/>
      <c r="BC122" s="159">
        <f t="shared" si="9"/>
        <v>13</v>
      </c>
      <c r="BD122" s="161">
        <f t="shared" si="10"/>
        <v>7.692307692</v>
      </c>
      <c r="BF122" s="94"/>
      <c r="BG122" s="95"/>
      <c r="BH122" s="95"/>
      <c r="BI122" s="95"/>
      <c r="BJ122" s="95"/>
      <c r="BK122" s="95"/>
      <c r="BL122" s="95"/>
      <c r="BM122" s="46"/>
    </row>
    <row r="123" ht="18.0" customHeight="1">
      <c r="A123" s="94"/>
      <c r="B123" s="95"/>
      <c r="C123" s="95"/>
      <c r="D123" s="95"/>
      <c r="E123" s="95"/>
      <c r="F123" s="103"/>
      <c r="H123" s="130">
        <v>12.0</v>
      </c>
      <c r="I123" s="158">
        <v>0.0</v>
      </c>
      <c r="J123" s="158">
        <v>2.0</v>
      </c>
      <c r="K123" s="158">
        <v>0.0</v>
      </c>
      <c r="L123" s="158">
        <v>2.0</v>
      </c>
      <c r="M123" s="158">
        <v>1.0</v>
      </c>
      <c r="N123" s="158">
        <v>1.0</v>
      </c>
      <c r="O123" s="158"/>
      <c r="P123" s="158"/>
      <c r="Q123" s="158"/>
      <c r="R123" s="158"/>
      <c r="S123" s="159">
        <f t="shared" si="3"/>
        <v>6</v>
      </c>
      <c r="T123" s="160">
        <f t="shared" si="4"/>
        <v>3.550295858</v>
      </c>
      <c r="U123" s="158">
        <v>26.0</v>
      </c>
      <c r="V123" s="158">
        <v>22.0</v>
      </c>
      <c r="W123" s="158">
        <v>24.0</v>
      </c>
      <c r="X123" s="158">
        <v>20.0</v>
      </c>
      <c r="Y123" s="158">
        <v>26.0</v>
      </c>
      <c r="Z123" s="158">
        <v>20.0</v>
      </c>
      <c r="AA123" s="158"/>
      <c r="AB123" s="158"/>
      <c r="AC123" s="158"/>
      <c r="AD123" s="158"/>
      <c r="AE123" s="159">
        <f t="shared" si="5"/>
        <v>138</v>
      </c>
      <c r="AF123" s="161">
        <f t="shared" si="6"/>
        <v>81.65680473</v>
      </c>
      <c r="AG123" s="162">
        <v>0.0</v>
      </c>
      <c r="AH123" s="158">
        <v>1.0</v>
      </c>
      <c r="AI123" s="158">
        <v>0.0</v>
      </c>
      <c r="AJ123" s="158">
        <v>0.0</v>
      </c>
      <c r="AK123" s="158">
        <v>1.0</v>
      </c>
      <c r="AL123" s="158">
        <v>1.0</v>
      </c>
      <c r="AM123" s="158"/>
      <c r="AN123" s="158"/>
      <c r="AO123" s="158"/>
      <c r="AP123" s="158"/>
      <c r="AQ123" s="159">
        <f t="shared" si="7"/>
        <v>3</v>
      </c>
      <c r="AR123" s="161">
        <f t="shared" si="8"/>
        <v>1.775147929</v>
      </c>
      <c r="AS123" s="158">
        <v>1.0</v>
      </c>
      <c r="AT123" s="158">
        <v>4.0</v>
      </c>
      <c r="AU123" s="158">
        <v>2.0</v>
      </c>
      <c r="AV123" s="158">
        <v>5.0</v>
      </c>
      <c r="AW123" s="158">
        <v>1.0</v>
      </c>
      <c r="AX123" s="158">
        <v>1.0</v>
      </c>
      <c r="AY123" s="158"/>
      <c r="AZ123" s="158"/>
      <c r="BA123" s="158"/>
      <c r="BB123" s="158"/>
      <c r="BC123" s="159">
        <f t="shared" si="9"/>
        <v>14</v>
      </c>
      <c r="BD123" s="161">
        <f t="shared" si="10"/>
        <v>8.284023669</v>
      </c>
      <c r="BF123" s="94"/>
      <c r="BG123" s="95"/>
      <c r="BH123" s="95"/>
      <c r="BI123" s="95"/>
      <c r="BJ123" s="95"/>
      <c r="BK123" s="95"/>
      <c r="BL123" s="95"/>
      <c r="BM123" s="46"/>
    </row>
    <row r="124" ht="18.0" customHeight="1">
      <c r="A124" s="94"/>
      <c r="B124" s="95"/>
      <c r="C124" s="95"/>
      <c r="D124" s="95"/>
      <c r="E124" s="95"/>
      <c r="F124" s="103"/>
      <c r="H124" s="130">
        <v>13.0</v>
      </c>
      <c r="I124" s="158">
        <v>2.0</v>
      </c>
      <c r="J124" s="158">
        <v>1.0</v>
      </c>
      <c r="K124" s="158">
        <v>1.0</v>
      </c>
      <c r="L124" s="158">
        <v>4.0</v>
      </c>
      <c r="M124" s="158">
        <v>0.0</v>
      </c>
      <c r="N124" s="158">
        <v>2.0</v>
      </c>
      <c r="O124" s="158"/>
      <c r="P124" s="158"/>
      <c r="Q124" s="158"/>
      <c r="R124" s="158"/>
      <c r="S124" s="159">
        <f t="shared" si="3"/>
        <v>10</v>
      </c>
      <c r="T124" s="160">
        <f t="shared" si="4"/>
        <v>5.917159763</v>
      </c>
      <c r="U124" s="158">
        <v>2.0</v>
      </c>
      <c r="V124" s="158">
        <v>5.0</v>
      </c>
      <c r="W124" s="158">
        <v>6.0</v>
      </c>
      <c r="X124" s="158">
        <v>6.0</v>
      </c>
      <c r="Y124" s="158">
        <v>1.0</v>
      </c>
      <c r="Z124" s="158">
        <v>2.0</v>
      </c>
      <c r="AA124" s="158"/>
      <c r="AB124" s="158"/>
      <c r="AC124" s="158"/>
      <c r="AD124" s="158"/>
      <c r="AE124" s="159">
        <f t="shared" si="5"/>
        <v>22</v>
      </c>
      <c r="AF124" s="161">
        <f t="shared" si="6"/>
        <v>13.01775148</v>
      </c>
      <c r="AG124" s="162">
        <v>2.0</v>
      </c>
      <c r="AH124" s="158">
        <v>6.0</v>
      </c>
      <c r="AI124" s="158">
        <v>2.0</v>
      </c>
      <c r="AJ124" s="158">
        <v>3.0</v>
      </c>
      <c r="AK124" s="158">
        <v>6.0</v>
      </c>
      <c r="AL124" s="158">
        <v>2.0</v>
      </c>
      <c r="AM124" s="158"/>
      <c r="AN124" s="158"/>
      <c r="AO124" s="158"/>
      <c r="AP124" s="158"/>
      <c r="AQ124" s="159">
        <f t="shared" si="7"/>
        <v>21</v>
      </c>
      <c r="AR124" s="161">
        <f t="shared" si="8"/>
        <v>12.4260355</v>
      </c>
      <c r="AS124" s="158">
        <v>21.0</v>
      </c>
      <c r="AT124" s="158">
        <v>17.0</v>
      </c>
      <c r="AU124" s="158">
        <v>17.0</v>
      </c>
      <c r="AV124" s="158">
        <v>14.0</v>
      </c>
      <c r="AW124" s="158">
        <v>22.0</v>
      </c>
      <c r="AX124" s="158">
        <v>17.0</v>
      </c>
      <c r="AY124" s="158"/>
      <c r="AZ124" s="158"/>
      <c r="BA124" s="158"/>
      <c r="BB124" s="158"/>
      <c r="BC124" s="159">
        <f t="shared" si="9"/>
        <v>108</v>
      </c>
      <c r="BD124" s="161">
        <f t="shared" si="10"/>
        <v>63.90532544</v>
      </c>
      <c r="BF124" s="94"/>
      <c r="BG124" s="95"/>
      <c r="BH124" s="95"/>
      <c r="BI124" s="95"/>
      <c r="BJ124" s="95"/>
      <c r="BK124" s="95"/>
      <c r="BL124" s="95"/>
      <c r="BM124" s="46"/>
    </row>
    <row r="125" ht="18.0" customHeight="1">
      <c r="A125" s="94"/>
      <c r="B125" s="95"/>
      <c r="C125" s="95"/>
      <c r="D125" s="95"/>
      <c r="E125" s="95"/>
      <c r="F125" s="103"/>
      <c r="H125" s="130">
        <v>14.0</v>
      </c>
      <c r="I125" s="158">
        <v>1.0</v>
      </c>
      <c r="J125" s="158">
        <v>2.0</v>
      </c>
      <c r="K125" s="158">
        <v>0.0</v>
      </c>
      <c r="L125" s="158">
        <v>5.0</v>
      </c>
      <c r="M125" s="158">
        <v>1.0</v>
      </c>
      <c r="N125" s="158">
        <v>0.0</v>
      </c>
      <c r="O125" s="158"/>
      <c r="P125" s="158"/>
      <c r="Q125" s="158"/>
      <c r="R125" s="158"/>
      <c r="S125" s="159">
        <f t="shared" si="3"/>
        <v>9</v>
      </c>
      <c r="T125" s="160">
        <f t="shared" si="4"/>
        <v>5.325443787</v>
      </c>
      <c r="U125" s="158">
        <v>23.0</v>
      </c>
      <c r="V125" s="158">
        <v>25.0</v>
      </c>
      <c r="W125" s="158">
        <v>24.0</v>
      </c>
      <c r="X125" s="158">
        <v>16.0</v>
      </c>
      <c r="Y125" s="158">
        <v>19.0</v>
      </c>
      <c r="Z125" s="158">
        <v>20.0</v>
      </c>
      <c r="AA125" s="158"/>
      <c r="AB125" s="158"/>
      <c r="AC125" s="158"/>
      <c r="AD125" s="158"/>
      <c r="AE125" s="159">
        <f t="shared" si="5"/>
        <v>127</v>
      </c>
      <c r="AF125" s="161">
        <f t="shared" si="6"/>
        <v>75.14792899</v>
      </c>
      <c r="AG125" s="162">
        <v>2.0</v>
      </c>
      <c r="AH125" s="158">
        <v>1.0</v>
      </c>
      <c r="AI125" s="158">
        <v>1.0</v>
      </c>
      <c r="AJ125" s="158">
        <v>5.0</v>
      </c>
      <c r="AK125" s="158">
        <v>6.0</v>
      </c>
      <c r="AL125" s="158">
        <v>1.0</v>
      </c>
      <c r="AM125" s="158"/>
      <c r="AN125" s="158"/>
      <c r="AO125" s="158"/>
      <c r="AP125" s="158"/>
      <c r="AQ125" s="159">
        <f t="shared" si="7"/>
        <v>16</v>
      </c>
      <c r="AR125" s="161">
        <f t="shared" si="8"/>
        <v>9.467455621</v>
      </c>
      <c r="AS125" s="158">
        <v>1.0</v>
      </c>
      <c r="AT125" s="158">
        <v>1.0</v>
      </c>
      <c r="AU125" s="158">
        <v>0.0</v>
      </c>
      <c r="AV125" s="158">
        <v>1.0</v>
      </c>
      <c r="AW125" s="158">
        <v>3.0</v>
      </c>
      <c r="AX125" s="158">
        <v>2.0</v>
      </c>
      <c r="AY125" s="158"/>
      <c r="AZ125" s="158"/>
      <c r="BA125" s="158"/>
      <c r="BB125" s="158"/>
      <c r="BC125" s="159">
        <f t="shared" si="9"/>
        <v>8</v>
      </c>
      <c r="BD125" s="161">
        <f t="shared" si="10"/>
        <v>4.733727811</v>
      </c>
      <c r="BF125" s="94"/>
      <c r="BG125" s="95"/>
      <c r="BH125" s="95"/>
      <c r="BI125" s="95"/>
      <c r="BJ125" s="95"/>
      <c r="BK125" s="95"/>
      <c r="BL125" s="95"/>
      <c r="BM125" s="46"/>
    </row>
    <row r="126" ht="18.0" customHeight="1">
      <c r="A126" s="94"/>
      <c r="B126" s="95"/>
      <c r="C126" s="95"/>
      <c r="D126" s="95"/>
      <c r="E126" s="95"/>
      <c r="F126" s="103"/>
      <c r="H126" s="130">
        <v>15.0</v>
      </c>
      <c r="I126" s="158">
        <v>6.0</v>
      </c>
      <c r="J126" s="158">
        <v>8.0</v>
      </c>
      <c r="K126" s="158">
        <v>4.0</v>
      </c>
      <c r="L126" s="158">
        <v>4.0</v>
      </c>
      <c r="M126" s="158">
        <v>7.0</v>
      </c>
      <c r="N126" s="158">
        <v>3.0</v>
      </c>
      <c r="O126" s="158"/>
      <c r="P126" s="158"/>
      <c r="Q126" s="158"/>
      <c r="R126" s="158"/>
      <c r="S126" s="159">
        <f t="shared" si="3"/>
        <v>32</v>
      </c>
      <c r="T126" s="160">
        <f t="shared" si="4"/>
        <v>18.93491124</v>
      </c>
      <c r="U126" s="158">
        <v>0.0</v>
      </c>
      <c r="V126" s="158">
        <v>0.0</v>
      </c>
      <c r="W126" s="158">
        <v>1.0</v>
      </c>
      <c r="X126" s="158">
        <v>4.0</v>
      </c>
      <c r="Y126" s="158">
        <v>4.0</v>
      </c>
      <c r="Z126" s="158">
        <v>0.0</v>
      </c>
      <c r="AA126" s="158"/>
      <c r="AB126" s="158"/>
      <c r="AC126" s="158"/>
      <c r="AD126" s="158"/>
      <c r="AE126" s="159">
        <f t="shared" si="5"/>
        <v>9</v>
      </c>
      <c r="AF126" s="161">
        <f t="shared" si="6"/>
        <v>5.325443787</v>
      </c>
      <c r="AG126" s="162">
        <v>20.0</v>
      </c>
      <c r="AH126" s="158">
        <v>19.0</v>
      </c>
      <c r="AI126" s="158">
        <v>20.0</v>
      </c>
      <c r="AJ126" s="158">
        <v>17.0</v>
      </c>
      <c r="AK126" s="158">
        <v>18.0</v>
      </c>
      <c r="AL126" s="158">
        <v>19.0</v>
      </c>
      <c r="AM126" s="158"/>
      <c r="AN126" s="158"/>
      <c r="AO126" s="158"/>
      <c r="AP126" s="158"/>
      <c r="AQ126" s="159">
        <f t="shared" si="7"/>
        <v>113</v>
      </c>
      <c r="AR126" s="161">
        <f t="shared" si="8"/>
        <v>66.86390533</v>
      </c>
      <c r="AS126" s="158">
        <v>0.0</v>
      </c>
      <c r="AT126" s="158">
        <v>2.0</v>
      </c>
      <c r="AU126" s="158">
        <v>0.0</v>
      </c>
      <c r="AV126" s="158">
        <v>2.0</v>
      </c>
      <c r="AW126" s="158">
        <v>0.0</v>
      </c>
      <c r="AX126" s="158">
        <v>1.0</v>
      </c>
      <c r="AY126" s="158"/>
      <c r="AZ126" s="158"/>
      <c r="BA126" s="158"/>
      <c r="BB126" s="158"/>
      <c r="BC126" s="159">
        <f t="shared" si="9"/>
        <v>5</v>
      </c>
      <c r="BD126" s="161">
        <f t="shared" si="10"/>
        <v>2.958579882</v>
      </c>
      <c r="BF126" s="94"/>
      <c r="BG126" s="95"/>
      <c r="BH126" s="95"/>
      <c r="BI126" s="95"/>
      <c r="BJ126" s="95"/>
      <c r="BK126" s="95"/>
      <c r="BL126" s="95"/>
      <c r="BM126" s="46"/>
    </row>
    <row r="127" ht="18.0" customHeight="1">
      <c r="A127" s="94"/>
      <c r="B127" s="95"/>
      <c r="C127" s="95"/>
      <c r="D127" s="95"/>
      <c r="E127" s="95"/>
      <c r="F127" s="103"/>
      <c r="H127" s="130">
        <v>16.0</v>
      </c>
      <c r="I127" s="158">
        <v>16.0</v>
      </c>
      <c r="J127" s="158">
        <v>22.0</v>
      </c>
      <c r="K127" s="158">
        <v>13.0</v>
      </c>
      <c r="L127" s="158">
        <v>10.0</v>
      </c>
      <c r="M127" s="158">
        <v>18.0</v>
      </c>
      <c r="N127" s="158">
        <v>17.0</v>
      </c>
      <c r="O127" s="158"/>
      <c r="P127" s="158"/>
      <c r="Q127" s="158"/>
      <c r="R127" s="158"/>
      <c r="S127" s="159">
        <f t="shared" si="3"/>
        <v>96</v>
      </c>
      <c r="T127" s="160">
        <f t="shared" si="4"/>
        <v>56.80473373</v>
      </c>
      <c r="U127" s="158">
        <v>4.0</v>
      </c>
      <c r="V127" s="158">
        <v>1.0</v>
      </c>
      <c r="W127" s="158">
        <v>2.0</v>
      </c>
      <c r="X127" s="158">
        <v>2.0</v>
      </c>
      <c r="Y127" s="158">
        <v>1.0</v>
      </c>
      <c r="Z127" s="158">
        <v>2.0</v>
      </c>
      <c r="AA127" s="158"/>
      <c r="AB127" s="158"/>
      <c r="AC127" s="158"/>
      <c r="AD127" s="158"/>
      <c r="AE127" s="159">
        <f t="shared" si="5"/>
        <v>12</v>
      </c>
      <c r="AF127" s="161">
        <f t="shared" si="6"/>
        <v>7.100591716</v>
      </c>
      <c r="AG127" s="162">
        <v>3.0</v>
      </c>
      <c r="AH127" s="158">
        <v>2.0</v>
      </c>
      <c r="AI127" s="158">
        <v>2.0</v>
      </c>
      <c r="AJ127" s="158">
        <v>2.0</v>
      </c>
      <c r="AK127" s="158">
        <v>2.0</v>
      </c>
      <c r="AL127" s="158">
        <v>1.0</v>
      </c>
      <c r="AM127" s="158"/>
      <c r="AN127" s="158"/>
      <c r="AO127" s="158"/>
      <c r="AP127" s="158"/>
      <c r="AQ127" s="159">
        <f t="shared" si="7"/>
        <v>12</v>
      </c>
      <c r="AR127" s="161">
        <f t="shared" si="8"/>
        <v>7.100591716</v>
      </c>
      <c r="AS127" s="158">
        <v>3.0</v>
      </c>
      <c r="AT127" s="158">
        <v>4.0</v>
      </c>
      <c r="AU127" s="158">
        <v>8.0</v>
      </c>
      <c r="AV127" s="158">
        <v>13.0</v>
      </c>
      <c r="AW127" s="158">
        <v>8.0</v>
      </c>
      <c r="AX127" s="158">
        <v>2.0</v>
      </c>
      <c r="AY127" s="158"/>
      <c r="AZ127" s="158"/>
      <c r="BA127" s="158"/>
      <c r="BB127" s="158"/>
      <c r="BC127" s="159">
        <f t="shared" si="9"/>
        <v>38</v>
      </c>
      <c r="BD127" s="161">
        <f t="shared" si="10"/>
        <v>22.4852071</v>
      </c>
      <c r="BF127" s="94"/>
      <c r="BG127" s="95"/>
      <c r="BH127" s="95"/>
      <c r="BI127" s="95"/>
      <c r="BJ127" s="95"/>
      <c r="BK127" s="95"/>
      <c r="BL127" s="95"/>
      <c r="BM127" s="46"/>
    </row>
    <row r="128" ht="18.0" customHeight="1">
      <c r="A128" s="94"/>
      <c r="B128" s="95"/>
      <c r="C128" s="95"/>
      <c r="D128" s="95"/>
      <c r="E128" s="95"/>
      <c r="F128" s="103"/>
      <c r="H128" s="130">
        <v>17.0</v>
      </c>
      <c r="I128" s="158">
        <v>6.0</v>
      </c>
      <c r="J128" s="158">
        <v>1.0</v>
      </c>
      <c r="K128" s="158">
        <v>1.0</v>
      </c>
      <c r="L128" s="158">
        <v>2.0</v>
      </c>
      <c r="M128" s="158">
        <v>2.0</v>
      </c>
      <c r="N128" s="158">
        <v>2.0</v>
      </c>
      <c r="O128" s="158"/>
      <c r="P128" s="158"/>
      <c r="Q128" s="158"/>
      <c r="R128" s="158"/>
      <c r="S128" s="159">
        <f t="shared" si="3"/>
        <v>14</v>
      </c>
      <c r="T128" s="160">
        <f t="shared" si="4"/>
        <v>8.284023669</v>
      </c>
      <c r="U128" s="158">
        <v>20.0</v>
      </c>
      <c r="V128" s="158">
        <v>24.0</v>
      </c>
      <c r="W128" s="158">
        <v>22.0</v>
      </c>
      <c r="X128" s="158">
        <v>17.0</v>
      </c>
      <c r="Y128" s="158">
        <v>18.0</v>
      </c>
      <c r="Z128" s="158">
        <v>15.0</v>
      </c>
      <c r="AA128" s="158"/>
      <c r="AB128" s="158"/>
      <c r="AC128" s="158"/>
      <c r="AD128" s="158"/>
      <c r="AE128" s="159">
        <f t="shared" si="5"/>
        <v>116</v>
      </c>
      <c r="AF128" s="161">
        <f t="shared" si="6"/>
        <v>68.63905325</v>
      </c>
      <c r="AG128" s="162">
        <v>1.0</v>
      </c>
      <c r="AH128" s="158">
        <v>3.0</v>
      </c>
      <c r="AI128" s="158">
        <v>2.0</v>
      </c>
      <c r="AJ128" s="158">
        <v>2.0</v>
      </c>
      <c r="AK128" s="158">
        <v>7.0</v>
      </c>
      <c r="AL128" s="158">
        <v>3.0</v>
      </c>
      <c r="AM128" s="158"/>
      <c r="AN128" s="158"/>
      <c r="AO128" s="158"/>
      <c r="AP128" s="158"/>
      <c r="AQ128" s="159">
        <f t="shared" si="7"/>
        <v>18</v>
      </c>
      <c r="AR128" s="161">
        <f t="shared" si="8"/>
        <v>10.65088757</v>
      </c>
      <c r="AS128" s="158">
        <v>0.0</v>
      </c>
      <c r="AT128" s="158">
        <v>1.0</v>
      </c>
      <c r="AU128" s="158">
        <v>0.0</v>
      </c>
      <c r="AV128" s="158">
        <v>6.0</v>
      </c>
      <c r="AW128" s="158">
        <v>2.0</v>
      </c>
      <c r="AX128" s="158">
        <v>2.0</v>
      </c>
      <c r="AY128" s="158"/>
      <c r="AZ128" s="158"/>
      <c r="BA128" s="158"/>
      <c r="BB128" s="158"/>
      <c r="BC128" s="159">
        <f t="shared" si="9"/>
        <v>11</v>
      </c>
      <c r="BD128" s="161">
        <f t="shared" si="10"/>
        <v>6.50887574</v>
      </c>
      <c r="BF128" s="94"/>
      <c r="BG128" s="95"/>
      <c r="BH128" s="95"/>
      <c r="BI128" s="95"/>
      <c r="BJ128" s="95"/>
      <c r="BK128" s="95"/>
      <c r="BL128" s="95"/>
      <c r="BM128" s="46"/>
    </row>
    <row r="129" ht="18.0" customHeight="1">
      <c r="A129" s="94"/>
      <c r="B129" s="95"/>
      <c r="C129" s="95"/>
      <c r="D129" s="95"/>
      <c r="E129" s="95"/>
      <c r="F129" s="103"/>
      <c r="H129" s="130">
        <v>18.0</v>
      </c>
      <c r="I129" s="158">
        <v>1.0</v>
      </c>
      <c r="J129" s="158">
        <v>2.0</v>
      </c>
      <c r="K129" s="158">
        <v>1.0</v>
      </c>
      <c r="L129" s="158">
        <v>5.0</v>
      </c>
      <c r="M129" s="158">
        <v>3.0</v>
      </c>
      <c r="N129" s="158">
        <v>1.0</v>
      </c>
      <c r="O129" s="158"/>
      <c r="P129" s="158"/>
      <c r="Q129" s="158"/>
      <c r="R129" s="158"/>
      <c r="S129" s="159">
        <f t="shared" si="3"/>
        <v>13</v>
      </c>
      <c r="T129" s="160">
        <f t="shared" si="4"/>
        <v>7.692307692</v>
      </c>
      <c r="U129" s="158">
        <v>2.0</v>
      </c>
      <c r="V129" s="158">
        <v>3.0</v>
      </c>
      <c r="W129" s="158">
        <v>0.0</v>
      </c>
      <c r="X129" s="158">
        <v>3.0</v>
      </c>
      <c r="Y129" s="158">
        <v>1.0</v>
      </c>
      <c r="Z129" s="158">
        <v>0.0</v>
      </c>
      <c r="AA129" s="158"/>
      <c r="AB129" s="158"/>
      <c r="AC129" s="158"/>
      <c r="AD129" s="158"/>
      <c r="AE129" s="159">
        <f t="shared" si="5"/>
        <v>9</v>
      </c>
      <c r="AF129" s="161">
        <f t="shared" si="6"/>
        <v>5.325443787</v>
      </c>
      <c r="AG129" s="162">
        <v>23.0</v>
      </c>
      <c r="AH129" s="158">
        <v>9.0</v>
      </c>
      <c r="AI129" s="158">
        <v>21.0</v>
      </c>
      <c r="AJ129" s="158">
        <v>18.0</v>
      </c>
      <c r="AK129" s="158">
        <v>21.0</v>
      </c>
      <c r="AL129" s="158">
        <v>20.0</v>
      </c>
      <c r="AM129" s="158"/>
      <c r="AN129" s="158"/>
      <c r="AO129" s="158"/>
      <c r="AP129" s="158"/>
      <c r="AQ129" s="159">
        <f t="shared" si="7"/>
        <v>112</v>
      </c>
      <c r="AR129" s="161">
        <f t="shared" si="8"/>
        <v>66.27218935</v>
      </c>
      <c r="AS129" s="158">
        <v>1.0</v>
      </c>
      <c r="AT129" s="158">
        <v>15.0</v>
      </c>
      <c r="AU129" s="158">
        <v>4.0</v>
      </c>
      <c r="AV129" s="158">
        <v>1.0</v>
      </c>
      <c r="AW129" s="158">
        <v>4.0</v>
      </c>
      <c r="AX129" s="158">
        <v>2.0</v>
      </c>
      <c r="AY129" s="158"/>
      <c r="AZ129" s="158"/>
      <c r="BA129" s="158"/>
      <c r="BB129" s="158"/>
      <c r="BC129" s="159">
        <f t="shared" si="9"/>
        <v>27</v>
      </c>
      <c r="BD129" s="161">
        <f t="shared" si="10"/>
        <v>15.97633136</v>
      </c>
      <c r="BF129" s="94"/>
      <c r="BG129" s="95"/>
      <c r="BH129" s="95"/>
      <c r="BI129" s="95"/>
      <c r="BJ129" s="95"/>
      <c r="BK129" s="95"/>
      <c r="BL129" s="95"/>
      <c r="BM129" s="46"/>
    </row>
    <row r="130" ht="18.0" customHeight="1">
      <c r="A130" s="94"/>
      <c r="B130" s="95"/>
      <c r="C130" s="95"/>
      <c r="D130" s="95"/>
      <c r="E130" s="95"/>
      <c r="F130" s="103"/>
      <c r="H130" s="130">
        <v>19.0</v>
      </c>
      <c r="I130" s="158">
        <v>8.0</v>
      </c>
      <c r="J130" s="158">
        <v>24.0</v>
      </c>
      <c r="K130" s="158">
        <v>4.0</v>
      </c>
      <c r="L130" s="158">
        <v>9.0</v>
      </c>
      <c r="M130" s="158">
        <v>10.0</v>
      </c>
      <c r="N130" s="158">
        <v>3.0</v>
      </c>
      <c r="O130" s="158"/>
      <c r="P130" s="158"/>
      <c r="Q130" s="158"/>
      <c r="R130" s="158"/>
      <c r="S130" s="159">
        <f t="shared" si="3"/>
        <v>58</v>
      </c>
      <c r="T130" s="160">
        <f t="shared" si="4"/>
        <v>34.31952663</v>
      </c>
      <c r="U130" s="158">
        <v>1.0</v>
      </c>
      <c r="V130" s="158">
        <v>1.0</v>
      </c>
      <c r="W130" s="158">
        <v>0.0</v>
      </c>
      <c r="X130" s="158">
        <v>9.0</v>
      </c>
      <c r="Y130" s="158">
        <v>4.0</v>
      </c>
      <c r="Z130" s="158">
        <v>2.0</v>
      </c>
      <c r="AA130" s="158"/>
      <c r="AB130" s="158"/>
      <c r="AC130" s="158"/>
      <c r="AD130" s="158"/>
      <c r="AE130" s="159">
        <f t="shared" si="5"/>
        <v>17</v>
      </c>
      <c r="AF130" s="161">
        <f t="shared" si="6"/>
        <v>10.0591716</v>
      </c>
      <c r="AG130" s="162">
        <v>6.0</v>
      </c>
      <c r="AH130" s="158">
        <v>2.0</v>
      </c>
      <c r="AI130" s="158">
        <v>1.0</v>
      </c>
      <c r="AJ130" s="158">
        <v>6.0</v>
      </c>
      <c r="AK130" s="158">
        <v>2.0</v>
      </c>
      <c r="AL130" s="158">
        <v>0.0</v>
      </c>
      <c r="AM130" s="158"/>
      <c r="AN130" s="158"/>
      <c r="AO130" s="158"/>
      <c r="AP130" s="158"/>
      <c r="AQ130" s="159">
        <f t="shared" si="7"/>
        <v>17</v>
      </c>
      <c r="AR130" s="161">
        <f t="shared" si="8"/>
        <v>10.0591716</v>
      </c>
      <c r="AS130" s="158">
        <v>12.0</v>
      </c>
      <c r="AT130" s="158">
        <v>2.0</v>
      </c>
      <c r="AU130" s="158">
        <v>21.0</v>
      </c>
      <c r="AV130" s="158">
        <v>3.0</v>
      </c>
      <c r="AW130" s="158">
        <v>13.0</v>
      </c>
      <c r="AX130" s="158">
        <v>17.0</v>
      </c>
      <c r="AY130" s="158"/>
      <c r="AZ130" s="158"/>
      <c r="BA130" s="158"/>
      <c r="BB130" s="158"/>
      <c r="BC130" s="159">
        <f t="shared" si="9"/>
        <v>68</v>
      </c>
      <c r="BD130" s="161">
        <f t="shared" si="10"/>
        <v>40.23668639</v>
      </c>
      <c r="BF130" s="94"/>
      <c r="BG130" s="95"/>
      <c r="BH130" s="95"/>
      <c r="BI130" s="95"/>
      <c r="BJ130" s="95"/>
      <c r="BK130" s="95"/>
      <c r="BL130" s="95"/>
      <c r="BM130" s="46"/>
    </row>
    <row r="131" ht="18.0" customHeight="1">
      <c r="A131" s="94"/>
      <c r="B131" s="95"/>
      <c r="C131" s="95"/>
      <c r="D131" s="95"/>
      <c r="E131" s="95"/>
      <c r="F131" s="103"/>
      <c r="H131" s="130">
        <v>20.0</v>
      </c>
      <c r="I131" s="158">
        <v>0.0</v>
      </c>
      <c r="J131" s="158">
        <v>0.0</v>
      </c>
      <c r="K131" s="158">
        <v>2.0</v>
      </c>
      <c r="L131" s="158">
        <v>2.0</v>
      </c>
      <c r="M131" s="158">
        <v>1.0</v>
      </c>
      <c r="N131" s="158">
        <v>0.0</v>
      </c>
      <c r="O131" s="158"/>
      <c r="P131" s="158"/>
      <c r="Q131" s="158"/>
      <c r="R131" s="158"/>
      <c r="S131" s="159">
        <f t="shared" si="3"/>
        <v>5</v>
      </c>
      <c r="T131" s="160">
        <f t="shared" si="4"/>
        <v>2.958579882</v>
      </c>
      <c r="U131" s="158">
        <v>4.0</v>
      </c>
      <c r="V131" s="158">
        <v>3.0</v>
      </c>
      <c r="W131" s="158">
        <v>3.0</v>
      </c>
      <c r="X131" s="158">
        <v>8.0</v>
      </c>
      <c r="Y131" s="158">
        <v>7.0</v>
      </c>
      <c r="Z131" s="158">
        <v>2.0</v>
      </c>
      <c r="AA131" s="158"/>
      <c r="AB131" s="158"/>
      <c r="AC131" s="158"/>
      <c r="AD131" s="158"/>
      <c r="AE131" s="159">
        <f t="shared" si="5"/>
        <v>27</v>
      </c>
      <c r="AF131" s="161">
        <f t="shared" si="6"/>
        <v>15.97633136</v>
      </c>
      <c r="AG131" s="162">
        <v>17.0</v>
      </c>
      <c r="AH131" s="158">
        <v>25.0</v>
      </c>
      <c r="AI131" s="158">
        <v>20.0</v>
      </c>
      <c r="AJ131" s="158">
        <v>12.0</v>
      </c>
      <c r="AK131" s="158">
        <v>19.0</v>
      </c>
      <c r="AL131" s="158">
        <v>19.0</v>
      </c>
      <c r="AM131" s="158"/>
      <c r="AN131" s="158"/>
      <c r="AO131" s="158"/>
      <c r="AP131" s="158"/>
      <c r="AQ131" s="159">
        <f t="shared" si="7"/>
        <v>112</v>
      </c>
      <c r="AR131" s="161">
        <f t="shared" si="8"/>
        <v>66.27218935</v>
      </c>
      <c r="AS131" s="158">
        <v>6.0</v>
      </c>
      <c r="AT131" s="158">
        <v>1.0</v>
      </c>
      <c r="AU131" s="158">
        <v>1.0</v>
      </c>
      <c r="AV131" s="158">
        <v>4.0</v>
      </c>
      <c r="AW131" s="158">
        <v>2.0</v>
      </c>
      <c r="AX131" s="158">
        <v>1.0</v>
      </c>
      <c r="AY131" s="158"/>
      <c r="AZ131" s="158"/>
      <c r="BA131" s="158"/>
      <c r="BB131" s="158"/>
      <c r="BC131" s="159">
        <f t="shared" si="9"/>
        <v>15</v>
      </c>
      <c r="BD131" s="161">
        <f t="shared" si="10"/>
        <v>8.875739645</v>
      </c>
      <c r="BF131" s="94"/>
      <c r="BG131" s="95"/>
      <c r="BH131" s="95"/>
      <c r="BI131" s="95"/>
      <c r="BJ131" s="95"/>
      <c r="BK131" s="95"/>
      <c r="BL131" s="95"/>
      <c r="BM131" s="46"/>
    </row>
    <row r="132" ht="18.0" customHeight="1">
      <c r="A132" s="94"/>
      <c r="B132" s="95"/>
      <c r="C132" s="95"/>
      <c r="D132" s="95"/>
      <c r="E132" s="95"/>
      <c r="F132" s="103"/>
      <c r="H132" s="130">
        <v>21.0</v>
      </c>
      <c r="I132" s="158">
        <v>4.0</v>
      </c>
      <c r="J132" s="158">
        <v>1.0</v>
      </c>
      <c r="K132" s="158">
        <v>0.0</v>
      </c>
      <c r="L132" s="158">
        <v>2.0</v>
      </c>
      <c r="M132" s="158">
        <v>1.0</v>
      </c>
      <c r="N132" s="158">
        <v>0.0</v>
      </c>
      <c r="O132" s="158"/>
      <c r="P132" s="158"/>
      <c r="Q132" s="158"/>
      <c r="R132" s="158"/>
      <c r="S132" s="159">
        <f t="shared" si="3"/>
        <v>8</v>
      </c>
      <c r="T132" s="160">
        <f t="shared" si="4"/>
        <v>4.733727811</v>
      </c>
      <c r="U132" s="158">
        <v>4.0</v>
      </c>
      <c r="V132" s="158">
        <v>4.0</v>
      </c>
      <c r="W132" s="158">
        <v>4.0</v>
      </c>
      <c r="X132" s="158">
        <v>5.0</v>
      </c>
      <c r="Y132" s="158">
        <v>6.0</v>
      </c>
      <c r="Z132" s="158">
        <v>1.0</v>
      </c>
      <c r="AA132" s="158"/>
      <c r="AB132" s="158"/>
      <c r="AC132" s="158"/>
      <c r="AD132" s="158"/>
      <c r="AE132" s="159">
        <f t="shared" si="5"/>
        <v>24</v>
      </c>
      <c r="AF132" s="161">
        <f t="shared" si="6"/>
        <v>14.20118343</v>
      </c>
      <c r="AG132" s="162">
        <v>18.0</v>
      </c>
      <c r="AH132" s="158">
        <v>21.0</v>
      </c>
      <c r="AI132" s="158">
        <v>21.0</v>
      </c>
      <c r="AJ132" s="158">
        <v>13.0</v>
      </c>
      <c r="AK132" s="158">
        <v>21.0</v>
      </c>
      <c r="AL132" s="158">
        <v>20.0</v>
      </c>
      <c r="AM132" s="158"/>
      <c r="AN132" s="158"/>
      <c r="AO132" s="158"/>
      <c r="AP132" s="158"/>
      <c r="AQ132" s="159">
        <f t="shared" si="7"/>
        <v>114</v>
      </c>
      <c r="AR132" s="161">
        <f t="shared" si="8"/>
        <v>67.4556213</v>
      </c>
      <c r="AS132" s="158">
        <v>1.0</v>
      </c>
      <c r="AT132" s="158">
        <v>3.0</v>
      </c>
      <c r="AU132" s="158">
        <v>1.0</v>
      </c>
      <c r="AV132" s="158">
        <v>6.0</v>
      </c>
      <c r="AW132" s="158">
        <v>1.0</v>
      </c>
      <c r="AX132" s="158">
        <v>1.0</v>
      </c>
      <c r="AY132" s="158"/>
      <c r="AZ132" s="158"/>
      <c r="BA132" s="158"/>
      <c r="BB132" s="158"/>
      <c r="BC132" s="159">
        <f t="shared" si="9"/>
        <v>13</v>
      </c>
      <c r="BD132" s="161">
        <f t="shared" si="10"/>
        <v>7.692307692</v>
      </c>
      <c r="BF132" s="94"/>
      <c r="BG132" s="95"/>
      <c r="BH132" s="95"/>
      <c r="BI132" s="95"/>
      <c r="BJ132" s="95"/>
      <c r="BK132" s="95"/>
      <c r="BL132" s="95"/>
      <c r="BM132" s="46"/>
    </row>
    <row r="133" ht="18.0" customHeight="1">
      <c r="A133" s="84"/>
      <c r="B133" s="85"/>
      <c r="C133" s="85"/>
      <c r="D133" s="85"/>
      <c r="E133" s="85"/>
      <c r="F133" s="146"/>
      <c r="H133" s="165">
        <v>22.0</v>
      </c>
      <c r="I133" s="158">
        <v>4.0</v>
      </c>
      <c r="J133" s="158">
        <v>8.0</v>
      </c>
      <c r="K133" s="158">
        <v>4.0</v>
      </c>
      <c r="L133" s="158">
        <v>8.0</v>
      </c>
      <c r="M133" s="158">
        <v>6.0</v>
      </c>
      <c r="N133" s="158">
        <v>1.0</v>
      </c>
      <c r="O133" s="158"/>
      <c r="P133" s="158"/>
      <c r="Q133" s="158"/>
      <c r="R133" s="158"/>
      <c r="S133" s="159">
        <f t="shared" si="3"/>
        <v>31</v>
      </c>
      <c r="T133" s="160">
        <f t="shared" si="4"/>
        <v>18.34319527</v>
      </c>
      <c r="U133" s="158">
        <v>16.0</v>
      </c>
      <c r="V133" s="158">
        <v>16.0</v>
      </c>
      <c r="W133" s="158">
        <v>19.0</v>
      </c>
      <c r="X133" s="158">
        <v>11.0</v>
      </c>
      <c r="Y133" s="158">
        <v>19.0</v>
      </c>
      <c r="Z133" s="158">
        <v>20.0</v>
      </c>
      <c r="AA133" s="158"/>
      <c r="AB133" s="158"/>
      <c r="AC133" s="158"/>
      <c r="AD133" s="158"/>
      <c r="AE133" s="159">
        <f t="shared" si="5"/>
        <v>101</v>
      </c>
      <c r="AF133" s="161">
        <f t="shared" si="6"/>
        <v>59.76331361</v>
      </c>
      <c r="AG133" s="162">
        <v>5.0</v>
      </c>
      <c r="AH133" s="158">
        <v>3.0</v>
      </c>
      <c r="AI133" s="158">
        <v>1.0</v>
      </c>
      <c r="AJ133" s="158">
        <v>5.0</v>
      </c>
      <c r="AK133" s="158">
        <v>3.0</v>
      </c>
      <c r="AL133" s="158">
        <v>1.0</v>
      </c>
      <c r="AM133" s="158"/>
      <c r="AN133" s="158"/>
      <c r="AO133" s="158"/>
      <c r="AP133" s="158"/>
      <c r="AQ133" s="159">
        <f t="shared" si="7"/>
        <v>18</v>
      </c>
      <c r="AR133" s="161">
        <f t="shared" si="8"/>
        <v>10.65088757</v>
      </c>
      <c r="AS133" s="158">
        <v>1.0</v>
      </c>
      <c r="AT133" s="158">
        <v>2.0</v>
      </c>
      <c r="AU133" s="158">
        <v>2.0</v>
      </c>
      <c r="AV133" s="158">
        <v>1.0</v>
      </c>
      <c r="AW133" s="158">
        <v>1.0</v>
      </c>
      <c r="AX133" s="158">
        <v>0.0</v>
      </c>
      <c r="AY133" s="158"/>
      <c r="AZ133" s="158"/>
      <c r="BA133" s="158"/>
      <c r="BB133" s="158"/>
      <c r="BC133" s="159">
        <f t="shared" si="9"/>
        <v>7</v>
      </c>
      <c r="BD133" s="161">
        <f t="shared" si="10"/>
        <v>4.142011834</v>
      </c>
      <c r="BF133" s="84"/>
      <c r="BG133" s="85"/>
      <c r="BH133" s="85"/>
      <c r="BI133" s="85"/>
      <c r="BJ133" s="85"/>
      <c r="BK133" s="85"/>
      <c r="BL133" s="85"/>
      <c r="BM133" s="87"/>
    </row>
    <row r="134" ht="18.0" customHeight="1"/>
    <row r="135" ht="15.75" customHeight="1">
      <c r="A135" s="90"/>
      <c r="B135" s="90"/>
      <c r="C135" s="90"/>
      <c r="D135" s="90"/>
      <c r="E135" s="90"/>
      <c r="F135" s="91"/>
      <c r="G135" s="166" t="s">
        <v>89</v>
      </c>
      <c r="H135" s="167"/>
      <c r="I135" s="167"/>
      <c r="J135" s="167"/>
      <c r="K135" s="167"/>
      <c r="L135" s="167"/>
      <c r="M135" s="167"/>
      <c r="N135" s="167"/>
      <c r="O135" s="167"/>
      <c r="P135" s="167"/>
      <c r="Q135" s="167"/>
      <c r="R135" s="168"/>
      <c r="S135" s="168"/>
      <c r="T135" s="168"/>
      <c r="U135" s="168"/>
      <c r="V135" s="169"/>
      <c r="X135" s="170"/>
      <c r="Y135" s="171"/>
      <c r="Z135" s="171"/>
      <c r="AA135" s="171"/>
      <c r="AB135" s="171"/>
      <c r="AC135" s="171"/>
      <c r="AD135" s="171"/>
      <c r="AE135" s="171"/>
      <c r="AF135" s="171"/>
      <c r="AG135" s="171"/>
      <c r="AH135" s="171"/>
      <c r="AI135" s="171"/>
      <c r="AJ135" s="171"/>
      <c r="AK135" s="171"/>
      <c r="AL135" s="171"/>
      <c r="AM135" s="171"/>
      <c r="AN135" s="171"/>
      <c r="AO135" s="171"/>
      <c r="AP135" s="171"/>
      <c r="AQ135" s="171"/>
      <c r="AR135" s="171"/>
      <c r="AS135" s="171"/>
      <c r="AT135" s="171"/>
      <c r="AU135" s="171"/>
      <c r="AV135" s="171"/>
      <c r="AW135" s="171"/>
      <c r="AX135" s="171"/>
      <c r="AY135" s="171"/>
      <c r="AZ135" s="171"/>
      <c r="BA135" s="171"/>
      <c r="BB135" s="171"/>
      <c r="BC135" s="171"/>
      <c r="BD135" s="171"/>
      <c r="BE135" s="171"/>
      <c r="BF135" s="171"/>
      <c r="BG135" s="171"/>
      <c r="BH135" s="171"/>
      <c r="BI135" s="171"/>
      <c r="BJ135" s="171"/>
      <c r="BK135" s="171"/>
      <c r="BL135" s="171"/>
      <c r="BM135" s="172"/>
    </row>
    <row r="136" ht="15.75" customHeight="1">
      <c r="A136" s="94"/>
      <c r="B136" s="95"/>
      <c r="C136" s="95"/>
      <c r="D136" s="95"/>
      <c r="E136" s="95"/>
      <c r="F136" s="103"/>
      <c r="G136" s="153">
        <v>501.0</v>
      </c>
      <c r="H136" s="153">
        <v>502.0</v>
      </c>
      <c r="I136" s="153">
        <v>503.0</v>
      </c>
      <c r="J136" s="153">
        <v>504.0</v>
      </c>
      <c r="K136" s="153">
        <v>505.0</v>
      </c>
      <c r="L136" s="153">
        <v>506.0</v>
      </c>
      <c r="M136" s="153">
        <v>507.0</v>
      </c>
      <c r="N136" s="153">
        <v>508.0</v>
      </c>
      <c r="O136" s="153">
        <v>509.0</v>
      </c>
      <c r="P136" s="153">
        <v>510.0</v>
      </c>
      <c r="Q136" s="173" t="s">
        <v>10</v>
      </c>
      <c r="R136" s="174" t="s">
        <v>54</v>
      </c>
      <c r="S136" s="175" t="s">
        <v>90</v>
      </c>
      <c r="T136" s="176"/>
      <c r="U136" s="176"/>
      <c r="V136" s="177"/>
      <c r="X136" s="178"/>
      <c r="AH136" s="179"/>
      <c r="AI136" s="179"/>
      <c r="AJ136" s="179"/>
      <c r="AK136" s="179"/>
      <c r="AL136" s="179"/>
      <c r="AM136" s="179"/>
      <c r="AN136" s="179"/>
      <c r="AO136" s="179"/>
      <c r="AP136" s="179"/>
      <c r="AQ136" s="179"/>
      <c r="AR136" s="179"/>
      <c r="AS136" s="179"/>
      <c r="AT136" s="179"/>
      <c r="AU136" s="179"/>
      <c r="AV136" s="179"/>
      <c r="AW136" s="179"/>
      <c r="AX136" s="179"/>
      <c r="AY136" s="179"/>
      <c r="AZ136" s="179"/>
      <c r="BA136" s="179"/>
      <c r="BB136" s="179"/>
      <c r="BC136" s="179"/>
      <c r="BD136" s="179"/>
      <c r="BE136" s="179"/>
      <c r="BF136" s="179"/>
      <c r="BL136" s="180"/>
      <c r="BM136" s="181"/>
    </row>
    <row r="137" ht="15.75" customHeight="1">
      <c r="A137" s="94"/>
      <c r="B137" s="95"/>
      <c r="C137" s="95"/>
      <c r="D137" s="95"/>
      <c r="E137" s="95"/>
      <c r="F137" s="103"/>
      <c r="G137" s="182">
        <f t="array" ref="G137:G140">'5º Ano - 501'!$D$121:$D$124</f>
        <v>8</v>
      </c>
      <c r="H137" s="182">
        <f t="array" ref="H137:H140">'5º Ano - 502'!$D$121:$D$124</f>
        <v>3</v>
      </c>
      <c r="I137" s="182">
        <f t="array" ref="I137:I140">'5º Ano - 503'!$D$121:$D$124</f>
        <v>5</v>
      </c>
      <c r="J137" s="182">
        <f t="array" ref="J137:J140">'5º Ano - 504'!$D$121:$D$124</f>
        <v>11</v>
      </c>
      <c r="K137" s="182">
        <f t="array" ref="K137:K140">'5º Ano - 505'!$D$121:$D$124</f>
        <v>2</v>
      </c>
      <c r="L137" s="182">
        <f t="array" ref="L137:L140">'5º Ano - 506'!$D$121:$D$124</f>
        <v>5</v>
      </c>
      <c r="M137" s="182"/>
      <c r="N137" s="182"/>
      <c r="O137" s="182"/>
      <c r="P137" s="182"/>
      <c r="Q137" s="183">
        <f t="shared" ref="Q137:Q140" si="11">SUM(G137:P137)</f>
        <v>34</v>
      </c>
      <c r="R137" s="184">
        <f t="shared" ref="R137:R140" si="12">SUM(Q137/F$18*100)</f>
        <v>20.1183432</v>
      </c>
      <c r="S137" s="185" t="s">
        <v>91</v>
      </c>
      <c r="T137" s="186"/>
      <c r="U137" s="186"/>
      <c r="V137" s="187"/>
      <c r="X137" s="178"/>
      <c r="AH137" s="179"/>
      <c r="AI137" s="179"/>
      <c r="AJ137" s="179"/>
      <c r="AK137" s="179"/>
      <c r="AL137" s="179"/>
      <c r="AM137" s="179"/>
      <c r="AN137" s="179"/>
      <c r="AO137" s="179"/>
      <c r="AP137" s="179"/>
      <c r="AQ137" s="179"/>
      <c r="AR137" s="179"/>
      <c r="AS137" s="179"/>
      <c r="AT137" s="179"/>
      <c r="AU137" s="179"/>
      <c r="AV137" s="179"/>
      <c r="AW137" s="179"/>
      <c r="AX137" s="179"/>
      <c r="AY137" s="179"/>
      <c r="AZ137" s="179"/>
      <c r="BA137" s="179"/>
      <c r="BB137" s="179"/>
      <c r="BC137" s="179"/>
      <c r="BD137" s="179"/>
      <c r="BE137" s="179"/>
      <c r="BF137" s="179"/>
      <c r="BL137" s="180"/>
      <c r="BM137" s="181"/>
    </row>
    <row r="138" ht="15.75" customHeight="1">
      <c r="A138" s="94"/>
      <c r="B138" s="95"/>
      <c r="C138" s="95"/>
      <c r="D138" s="95"/>
      <c r="E138" s="95"/>
      <c r="F138" s="103"/>
      <c r="G138" s="188">
        <v>5.0</v>
      </c>
      <c r="H138" s="189">
        <v>5.0</v>
      </c>
      <c r="I138" s="189">
        <v>3.0</v>
      </c>
      <c r="J138" s="189">
        <v>5.0</v>
      </c>
      <c r="K138" s="189">
        <v>3.0</v>
      </c>
      <c r="L138" s="189">
        <v>1.0</v>
      </c>
      <c r="M138" s="190"/>
      <c r="N138" s="189"/>
      <c r="O138" s="189"/>
      <c r="P138" s="189"/>
      <c r="Q138" s="183">
        <f t="shared" si="11"/>
        <v>22</v>
      </c>
      <c r="R138" s="184">
        <f t="shared" si="12"/>
        <v>13.01775148</v>
      </c>
      <c r="S138" s="191" t="s">
        <v>92</v>
      </c>
      <c r="T138" s="186"/>
      <c r="U138" s="186"/>
      <c r="V138" s="187"/>
      <c r="X138" s="178"/>
      <c r="Y138" s="192" t="s">
        <v>93</v>
      </c>
      <c r="AH138" s="179"/>
      <c r="AI138" s="179"/>
      <c r="AJ138" s="179"/>
      <c r="AK138" s="179"/>
      <c r="AL138" s="179"/>
      <c r="AM138" s="179"/>
      <c r="AN138" s="179"/>
      <c r="AO138" s="179"/>
      <c r="AP138" s="179"/>
      <c r="AQ138" s="179"/>
      <c r="AR138" s="179"/>
      <c r="AS138" s="179"/>
      <c r="AT138" s="179"/>
      <c r="AU138" s="179"/>
      <c r="AV138" s="179"/>
      <c r="AW138" s="179"/>
      <c r="AX138" s="179"/>
      <c r="AY138" s="179"/>
      <c r="AZ138" s="179"/>
      <c r="BA138" s="179"/>
      <c r="BB138" s="179"/>
      <c r="BC138" s="179"/>
      <c r="BD138" s="179"/>
      <c r="BE138" s="179"/>
      <c r="BF138" s="179"/>
      <c r="BL138" s="180"/>
      <c r="BM138" s="181"/>
    </row>
    <row r="139" ht="15.75" customHeight="1">
      <c r="A139" s="94"/>
      <c r="B139" s="95"/>
      <c r="C139" s="95"/>
      <c r="D139" s="95"/>
      <c r="E139" s="95"/>
      <c r="F139" s="103"/>
      <c r="G139" s="188">
        <v>13.0</v>
      </c>
      <c r="H139" s="189">
        <v>18.0</v>
      </c>
      <c r="I139" s="193">
        <v>15.0</v>
      </c>
      <c r="J139" s="189">
        <v>14.0</v>
      </c>
      <c r="K139" s="189">
        <v>13.0</v>
      </c>
      <c r="L139" s="189">
        <v>17.0</v>
      </c>
      <c r="M139" s="190"/>
      <c r="N139" s="189"/>
      <c r="O139" s="189"/>
      <c r="P139" s="189"/>
      <c r="Q139" s="183">
        <f t="shared" si="11"/>
        <v>90</v>
      </c>
      <c r="R139" s="184">
        <f t="shared" si="12"/>
        <v>53.25443787</v>
      </c>
      <c r="S139" s="194" t="s">
        <v>94</v>
      </c>
      <c r="T139" s="186"/>
      <c r="U139" s="186"/>
      <c r="V139" s="187"/>
      <c r="X139" s="178"/>
      <c r="Y139" s="179"/>
      <c r="Z139" s="179"/>
      <c r="AA139" s="179"/>
      <c r="AB139" s="179"/>
      <c r="AC139" s="179"/>
      <c r="AD139" s="179"/>
      <c r="AE139" s="179"/>
      <c r="AF139" s="179"/>
      <c r="AG139" s="179"/>
      <c r="AH139" s="179"/>
      <c r="AI139" s="179"/>
      <c r="AJ139" s="179"/>
      <c r="AK139" s="179"/>
      <c r="AL139" s="179"/>
      <c r="AM139" s="179"/>
      <c r="AN139" s="179"/>
      <c r="AO139" s="179"/>
      <c r="AP139" s="179"/>
      <c r="AQ139" s="179"/>
      <c r="AR139" s="179"/>
      <c r="AS139" s="179"/>
      <c r="AT139" s="179"/>
      <c r="AU139" s="179"/>
      <c r="AV139" s="179"/>
      <c r="AW139" s="179"/>
      <c r="AX139" s="179"/>
      <c r="AY139" s="179"/>
      <c r="AZ139" s="179"/>
      <c r="BA139" s="179"/>
      <c r="BB139" s="179"/>
      <c r="BC139" s="179"/>
      <c r="BD139" s="179"/>
      <c r="BE139" s="179"/>
      <c r="BF139" s="179"/>
      <c r="BL139" s="180"/>
      <c r="BM139" s="181"/>
    </row>
    <row r="140" ht="15.75" customHeight="1">
      <c r="A140" s="94"/>
      <c r="B140" s="95"/>
      <c r="C140" s="95"/>
      <c r="D140" s="95"/>
      <c r="E140" s="95"/>
      <c r="F140" s="103"/>
      <c r="G140" s="188">
        <v>3.0</v>
      </c>
      <c r="H140" s="189">
        <v>3.0</v>
      </c>
      <c r="I140" s="193">
        <v>6.0</v>
      </c>
      <c r="J140" s="189">
        <v>0.0</v>
      </c>
      <c r="K140" s="189">
        <v>11.0</v>
      </c>
      <c r="L140" s="189">
        <v>0.0</v>
      </c>
      <c r="M140" s="190"/>
      <c r="N140" s="189"/>
      <c r="O140" s="189"/>
      <c r="P140" s="189"/>
      <c r="Q140" s="183">
        <f t="shared" si="11"/>
        <v>23</v>
      </c>
      <c r="R140" s="184">
        <f t="shared" si="12"/>
        <v>13.60946746</v>
      </c>
      <c r="S140" s="195" t="s">
        <v>95</v>
      </c>
      <c r="T140" s="186"/>
      <c r="U140" s="186"/>
      <c r="V140" s="187"/>
      <c r="X140" s="178"/>
      <c r="Y140" s="179" t="s">
        <v>96</v>
      </c>
      <c r="Z140" s="179"/>
      <c r="AA140" s="179"/>
      <c r="AB140" s="179"/>
      <c r="AC140" s="179"/>
      <c r="AD140" s="179"/>
      <c r="AE140" s="179"/>
      <c r="AF140" s="179"/>
      <c r="AG140" s="179"/>
      <c r="AH140" s="179"/>
      <c r="AI140" s="179"/>
      <c r="AJ140" s="179"/>
      <c r="AK140" s="179"/>
      <c r="AL140" s="179"/>
      <c r="AM140" s="179"/>
      <c r="AN140" s="179"/>
      <c r="AO140" s="179"/>
      <c r="AP140" s="179"/>
      <c r="AQ140" s="179"/>
      <c r="AR140" s="179"/>
      <c r="AS140" s="179"/>
      <c r="AT140" s="179"/>
      <c r="AU140" s="179"/>
      <c r="AV140" s="179"/>
      <c r="AW140" s="179"/>
      <c r="AX140" s="179"/>
      <c r="AY140" s="179"/>
      <c r="AZ140" s="179"/>
      <c r="BA140" s="179"/>
      <c r="BB140" s="179"/>
      <c r="BC140" s="179"/>
      <c r="BD140" s="179"/>
      <c r="BE140" s="179"/>
      <c r="BF140" s="179"/>
      <c r="BL140" s="180"/>
      <c r="BM140" s="181"/>
    </row>
    <row r="141" ht="15.75" customHeight="1">
      <c r="A141" s="94"/>
      <c r="B141" s="95"/>
      <c r="C141" s="95"/>
      <c r="D141" s="95"/>
      <c r="E141" s="95"/>
      <c r="F141" s="103"/>
      <c r="M141" s="196"/>
      <c r="Q141" s="196"/>
      <c r="R141" s="197"/>
      <c r="S141" s="198"/>
      <c r="T141" s="196"/>
      <c r="U141" s="199"/>
      <c r="V141" s="196"/>
      <c r="X141" s="178"/>
      <c r="Y141" s="179" t="s">
        <v>97</v>
      </c>
      <c r="Z141" s="179"/>
      <c r="AA141" s="179"/>
      <c r="AB141" s="179"/>
      <c r="AC141" s="179"/>
      <c r="AD141" s="179"/>
      <c r="AE141" s="179"/>
      <c r="AF141" s="179"/>
      <c r="AG141" s="179"/>
      <c r="AH141" s="179"/>
      <c r="AI141" s="179"/>
      <c r="AJ141" s="179"/>
      <c r="AK141" s="179"/>
      <c r="AL141" s="179"/>
      <c r="AM141" s="179"/>
      <c r="AN141" s="179"/>
      <c r="AO141" s="179"/>
      <c r="AP141" s="179"/>
      <c r="AQ141" s="179"/>
      <c r="AR141" s="179"/>
      <c r="AS141" s="179"/>
      <c r="AT141" s="179"/>
      <c r="AU141" s="179"/>
      <c r="AV141" s="179"/>
      <c r="AW141" s="179"/>
      <c r="AX141" s="179"/>
      <c r="AY141" s="179"/>
      <c r="AZ141" s="179"/>
      <c r="BA141" s="179"/>
      <c r="BB141" s="179"/>
      <c r="BC141" s="179"/>
      <c r="BD141" s="179"/>
      <c r="BE141" s="179"/>
      <c r="BF141" s="179"/>
      <c r="BL141" s="180"/>
      <c r="BM141" s="181"/>
    </row>
    <row r="142" ht="15.75" customHeight="1">
      <c r="A142" s="94"/>
      <c r="B142" s="95"/>
      <c r="C142" s="95"/>
      <c r="D142" s="95"/>
      <c r="E142" s="95"/>
      <c r="F142" s="103"/>
      <c r="G142" s="200" t="s">
        <v>98</v>
      </c>
      <c r="H142" s="201"/>
      <c r="I142" s="201"/>
      <c r="J142" s="201"/>
      <c r="K142" s="201"/>
      <c r="L142" s="201"/>
      <c r="M142" s="202"/>
      <c r="N142" s="201"/>
      <c r="O142" s="201"/>
      <c r="P142" s="201"/>
      <c r="Q142" s="201"/>
      <c r="R142" s="201"/>
      <c r="S142" s="203"/>
      <c r="T142" s="204"/>
      <c r="U142" s="204"/>
      <c r="V142" s="205"/>
      <c r="X142" s="178"/>
      <c r="Y142" s="179" t="s">
        <v>99</v>
      </c>
      <c r="Z142" s="179"/>
      <c r="AA142" s="179"/>
      <c r="AB142" s="179"/>
      <c r="AC142" s="179"/>
      <c r="AD142" s="179"/>
      <c r="AE142" s="179"/>
      <c r="AF142" s="179"/>
      <c r="AG142" s="179"/>
      <c r="AH142" s="179"/>
      <c r="AI142" s="179"/>
      <c r="AJ142" s="179"/>
      <c r="AK142" s="179"/>
      <c r="AL142" s="179"/>
      <c r="AM142" s="179"/>
      <c r="AN142" s="179"/>
      <c r="AO142" s="179"/>
      <c r="AP142" s="179"/>
      <c r="AQ142" s="179"/>
      <c r="AR142" s="179"/>
      <c r="AS142" s="179"/>
      <c r="AT142" s="179"/>
      <c r="AU142" s="179"/>
      <c r="AV142" s="179"/>
      <c r="AW142" s="179"/>
      <c r="AX142" s="179"/>
      <c r="AY142" s="179"/>
      <c r="AZ142" s="179"/>
      <c r="BA142" s="179"/>
      <c r="BB142" s="179"/>
      <c r="BC142" s="179"/>
      <c r="BD142" s="179"/>
      <c r="BE142" s="179"/>
      <c r="BF142" s="179"/>
      <c r="BL142" s="180"/>
      <c r="BM142" s="181"/>
    </row>
    <row r="143" ht="15.75" customHeight="1">
      <c r="A143" s="94"/>
      <c r="B143" s="95"/>
      <c r="C143" s="95"/>
      <c r="D143" s="95"/>
      <c r="E143" s="95"/>
      <c r="F143" s="103"/>
      <c r="G143" s="153">
        <v>501.0</v>
      </c>
      <c r="H143" s="153">
        <v>502.0</v>
      </c>
      <c r="I143" s="153">
        <v>503.0</v>
      </c>
      <c r="J143" s="153">
        <v>504.0</v>
      </c>
      <c r="K143" s="153">
        <v>505.0</v>
      </c>
      <c r="L143" s="153">
        <v>506.0</v>
      </c>
      <c r="M143" s="153">
        <v>507.0</v>
      </c>
      <c r="N143" s="153">
        <v>508.0</v>
      </c>
      <c r="O143" s="153">
        <v>509.0</v>
      </c>
      <c r="P143" s="153">
        <v>510.0</v>
      </c>
      <c r="Q143" s="206" t="s">
        <v>10</v>
      </c>
      <c r="R143" s="207" t="s">
        <v>54</v>
      </c>
      <c r="S143" s="175" t="s">
        <v>90</v>
      </c>
      <c r="T143" s="176"/>
      <c r="U143" s="176"/>
      <c r="V143" s="177"/>
      <c r="X143" s="178"/>
      <c r="Y143" s="179" t="s">
        <v>100</v>
      </c>
      <c r="Z143" s="179"/>
      <c r="AA143" s="179"/>
      <c r="AB143" s="179"/>
      <c r="AC143" s="179"/>
      <c r="AD143" s="179"/>
      <c r="AE143" s="179"/>
      <c r="AF143" s="179"/>
      <c r="AG143" s="179"/>
      <c r="AH143" s="179"/>
      <c r="AI143" s="179"/>
      <c r="AJ143" s="179"/>
      <c r="AK143" s="179"/>
      <c r="AL143" s="179"/>
      <c r="AM143" s="179"/>
      <c r="AN143" s="179"/>
      <c r="AO143" s="179"/>
      <c r="AP143" s="179"/>
      <c r="AQ143" s="179"/>
      <c r="AR143" s="179"/>
      <c r="AS143" s="179"/>
      <c r="AT143" s="179"/>
      <c r="AU143" s="179"/>
      <c r="AV143" s="179"/>
      <c r="AW143" s="179"/>
      <c r="AX143" s="179"/>
      <c r="AY143" s="179"/>
      <c r="AZ143" s="179"/>
      <c r="BA143" s="179"/>
      <c r="BB143" s="179"/>
      <c r="BC143" s="179"/>
      <c r="BD143" s="179"/>
      <c r="BE143" s="179"/>
      <c r="BF143" s="179"/>
      <c r="BL143" s="180"/>
      <c r="BM143" s="181"/>
    </row>
    <row r="144" ht="15.75" customHeight="1">
      <c r="A144" s="94"/>
      <c r="B144" s="95"/>
      <c r="C144" s="95"/>
      <c r="D144" s="95"/>
      <c r="E144" s="95"/>
      <c r="F144" s="103"/>
      <c r="G144" s="208">
        <f t="array" ref="G144:G147">'5º Ano - 501'!$D$128:$D$131</f>
        <v>2</v>
      </c>
      <c r="H144" s="208">
        <f t="array" ref="H144:H147">'5º Ano - 502'!$D$128:$D$131</f>
        <v>1</v>
      </c>
      <c r="I144" s="208">
        <f t="array" ref="I144:I147">'5º Ano - 503'!$D$128:$D$131</f>
        <v>4</v>
      </c>
      <c r="J144" s="208">
        <f t="array" ref="J144:J147">'5º Ano - 504'!$D$128:$D$131</f>
        <v>8</v>
      </c>
      <c r="K144" s="208">
        <f t="array" ref="K144:K147">'5º Ano - 505'!$D$128:$D$131</f>
        <v>4</v>
      </c>
      <c r="L144" s="208">
        <f t="array" ref="L144:L147">'5º Ano - 506'!$D$128:$D$131</f>
        <v>1</v>
      </c>
      <c r="M144" s="208"/>
      <c r="N144" s="208"/>
      <c r="O144" s="208"/>
      <c r="P144" s="208"/>
      <c r="Q144" s="209">
        <f t="shared" ref="Q144:Q147" si="13">SUM(G144:P144)</f>
        <v>20</v>
      </c>
      <c r="R144" s="210">
        <f t="shared" ref="R144:R147" si="14">SUM(Q144/F$18*100)</f>
        <v>11.83431953</v>
      </c>
      <c r="S144" s="185" t="s">
        <v>91</v>
      </c>
      <c r="T144" s="186"/>
      <c r="U144" s="186"/>
      <c r="V144" s="187"/>
      <c r="X144" s="178"/>
      <c r="Y144" s="179"/>
      <c r="Z144" s="179"/>
      <c r="AA144" s="179"/>
      <c r="AB144" s="179"/>
      <c r="AC144" s="179"/>
      <c r="AD144" s="179"/>
      <c r="AE144" s="179"/>
      <c r="AF144" s="179"/>
      <c r="AG144" s="179"/>
      <c r="AH144" s="179"/>
      <c r="AI144" s="179"/>
      <c r="AJ144" s="179"/>
      <c r="AK144" s="179"/>
      <c r="AL144" s="179"/>
      <c r="AM144" s="179"/>
      <c r="AN144" s="179"/>
      <c r="AO144" s="179"/>
      <c r="AP144" s="179"/>
      <c r="AQ144" s="179"/>
      <c r="AR144" s="179"/>
      <c r="AS144" s="179"/>
      <c r="AT144" s="179"/>
      <c r="AU144" s="179"/>
      <c r="AV144" s="179"/>
      <c r="AW144" s="179"/>
      <c r="AX144" s="179"/>
      <c r="AY144" s="179"/>
      <c r="AZ144" s="179"/>
      <c r="BA144" s="179"/>
      <c r="BB144" s="179"/>
      <c r="BC144" s="179"/>
      <c r="BD144" s="179"/>
      <c r="BE144" s="179"/>
      <c r="BF144" s="179"/>
      <c r="BL144" s="180"/>
      <c r="BM144" s="181"/>
    </row>
    <row r="145" ht="15.75" customHeight="1">
      <c r="A145" s="94"/>
      <c r="B145" s="95"/>
      <c r="C145" s="95"/>
      <c r="D145" s="95"/>
      <c r="E145" s="95"/>
      <c r="F145" s="103"/>
      <c r="G145" s="208">
        <v>9.0</v>
      </c>
      <c r="H145" s="113">
        <v>6.0</v>
      </c>
      <c r="I145" s="113">
        <v>2.0</v>
      </c>
      <c r="J145" s="113">
        <v>15.0</v>
      </c>
      <c r="K145" s="113">
        <v>10.0</v>
      </c>
      <c r="L145" s="113">
        <v>1.0</v>
      </c>
      <c r="M145" s="113"/>
      <c r="N145" s="113"/>
      <c r="O145" s="113"/>
      <c r="P145" s="113"/>
      <c r="Q145" s="209">
        <f t="shared" si="13"/>
        <v>43</v>
      </c>
      <c r="R145" s="210">
        <f t="shared" si="14"/>
        <v>25.44378698</v>
      </c>
      <c r="S145" s="191" t="s">
        <v>92</v>
      </c>
      <c r="T145" s="186"/>
      <c r="U145" s="186"/>
      <c r="V145" s="187"/>
      <c r="X145" s="178"/>
      <c r="Y145" s="179" t="s">
        <v>101</v>
      </c>
      <c r="Z145" s="179"/>
      <c r="AA145" s="179"/>
      <c r="AB145" s="179"/>
      <c r="AC145" s="179"/>
      <c r="AD145" s="179"/>
      <c r="AE145" s="179"/>
      <c r="AF145" s="179"/>
      <c r="AG145" s="179"/>
      <c r="AH145" s="179"/>
      <c r="AI145" s="179"/>
      <c r="AJ145" s="179"/>
      <c r="AK145" s="179"/>
      <c r="AL145" s="179"/>
      <c r="AM145" s="179"/>
      <c r="AN145" s="179"/>
      <c r="AO145" s="179"/>
      <c r="AP145" s="179"/>
      <c r="AQ145" s="179"/>
      <c r="AR145" s="179"/>
      <c r="AS145" s="179"/>
      <c r="AT145" s="179"/>
      <c r="AU145" s="179"/>
      <c r="AV145" s="179"/>
      <c r="AW145" s="179"/>
      <c r="AX145" s="179"/>
      <c r="AY145" s="179"/>
      <c r="AZ145" s="179"/>
      <c r="BA145" s="179"/>
      <c r="BB145" s="179"/>
      <c r="BC145" s="179"/>
      <c r="BD145" s="179"/>
      <c r="BE145" s="179"/>
      <c r="BF145" s="179"/>
      <c r="BL145" s="180"/>
      <c r="BM145" s="181"/>
    </row>
    <row r="146" ht="15.75" customHeight="1">
      <c r="A146" s="94"/>
      <c r="B146" s="95"/>
      <c r="C146" s="95"/>
      <c r="D146" s="95"/>
      <c r="E146" s="95"/>
      <c r="F146" s="103"/>
      <c r="G146" s="208">
        <v>16.0</v>
      </c>
      <c r="H146" s="113">
        <v>20.0</v>
      </c>
      <c r="I146" s="113">
        <v>8.0</v>
      </c>
      <c r="J146" s="113">
        <v>7.0</v>
      </c>
      <c r="K146" s="113">
        <v>12.0</v>
      </c>
      <c r="L146" s="113">
        <v>3.0</v>
      </c>
      <c r="M146" s="113"/>
      <c r="N146" s="113"/>
      <c r="O146" s="113"/>
      <c r="P146" s="113"/>
      <c r="Q146" s="209">
        <f t="shared" si="13"/>
        <v>66</v>
      </c>
      <c r="R146" s="210">
        <f t="shared" si="14"/>
        <v>39.05325444</v>
      </c>
      <c r="S146" s="194" t="s">
        <v>94</v>
      </c>
      <c r="T146" s="186"/>
      <c r="U146" s="186"/>
      <c r="V146" s="187"/>
      <c r="X146" s="178"/>
      <c r="Y146" s="179" t="s">
        <v>102</v>
      </c>
      <c r="Z146" s="179"/>
      <c r="AA146" s="179"/>
      <c r="AB146" s="179"/>
      <c r="AC146" s="179"/>
      <c r="AD146" s="179"/>
      <c r="AE146" s="179"/>
      <c r="AF146" s="179"/>
      <c r="AG146" s="179"/>
      <c r="AH146" s="179"/>
      <c r="AI146" s="179"/>
      <c r="AJ146" s="179"/>
      <c r="AK146" s="179"/>
      <c r="AL146" s="179"/>
      <c r="AM146" s="179"/>
      <c r="AN146" s="179"/>
      <c r="AO146" s="179"/>
      <c r="AP146" s="179"/>
      <c r="AQ146" s="179"/>
      <c r="AR146" s="179"/>
      <c r="AS146" s="179"/>
      <c r="AT146" s="179"/>
      <c r="AU146" s="179"/>
      <c r="AV146" s="179"/>
      <c r="AW146" s="179"/>
      <c r="AX146" s="179"/>
      <c r="AY146" s="179"/>
      <c r="AZ146" s="179"/>
      <c r="BA146" s="179"/>
      <c r="BB146" s="179"/>
      <c r="BC146" s="179"/>
      <c r="BD146" s="179"/>
      <c r="BE146" s="179"/>
      <c r="BF146" s="179"/>
      <c r="BL146" s="180"/>
      <c r="BM146" s="181"/>
    </row>
    <row r="147" ht="15.75" customHeight="1">
      <c r="A147" s="94"/>
      <c r="B147" s="95"/>
      <c r="C147" s="95"/>
      <c r="D147" s="95"/>
      <c r="E147" s="95"/>
      <c r="F147" s="103"/>
      <c r="G147" s="208">
        <v>2.0</v>
      </c>
      <c r="H147" s="113">
        <v>2.0</v>
      </c>
      <c r="I147" s="113">
        <v>15.0</v>
      </c>
      <c r="J147" s="113">
        <v>0.0</v>
      </c>
      <c r="K147" s="113">
        <v>3.0</v>
      </c>
      <c r="L147" s="113">
        <v>18.0</v>
      </c>
      <c r="M147" s="113"/>
      <c r="N147" s="113"/>
      <c r="O147" s="113"/>
      <c r="P147" s="113"/>
      <c r="Q147" s="209">
        <f t="shared" si="13"/>
        <v>40</v>
      </c>
      <c r="R147" s="210">
        <f t="shared" si="14"/>
        <v>23.66863905</v>
      </c>
      <c r="S147" s="195" t="s">
        <v>95</v>
      </c>
      <c r="T147" s="186"/>
      <c r="U147" s="186"/>
      <c r="V147" s="187"/>
      <c r="X147" s="178"/>
      <c r="Y147" s="179" t="s">
        <v>103</v>
      </c>
      <c r="Z147" s="179"/>
      <c r="AA147" s="179"/>
      <c r="AB147" s="179"/>
      <c r="AC147" s="179"/>
      <c r="AD147" s="179"/>
      <c r="AE147" s="179"/>
      <c r="AF147" s="179"/>
      <c r="AG147" s="179"/>
      <c r="AH147" s="179"/>
      <c r="AI147" s="179"/>
      <c r="AJ147" s="179"/>
      <c r="AK147" s="179"/>
      <c r="AL147" s="179"/>
      <c r="AM147" s="179"/>
      <c r="AN147" s="179"/>
      <c r="AO147" s="179"/>
      <c r="AP147" s="179"/>
      <c r="AQ147" s="179"/>
      <c r="AR147" s="179"/>
      <c r="AS147" s="179"/>
      <c r="AT147" s="179"/>
      <c r="AU147" s="179"/>
      <c r="AV147" s="179"/>
      <c r="AW147" s="179"/>
      <c r="AX147" s="179"/>
      <c r="AY147" s="179"/>
      <c r="AZ147" s="179"/>
      <c r="BA147" s="179"/>
      <c r="BB147" s="179"/>
      <c r="BC147" s="179"/>
      <c r="BD147" s="179"/>
      <c r="BE147" s="179"/>
      <c r="BF147" s="179"/>
      <c r="BL147" s="180"/>
      <c r="BM147" s="181"/>
    </row>
    <row r="148" ht="15.75" customHeight="1">
      <c r="A148" s="94"/>
      <c r="B148" s="95"/>
      <c r="C148" s="95"/>
      <c r="D148" s="95"/>
      <c r="E148" s="95"/>
      <c r="F148" s="103"/>
      <c r="M148" s="196"/>
      <c r="Q148" s="196"/>
      <c r="R148" s="211"/>
      <c r="S148" s="198"/>
      <c r="T148" s="196"/>
      <c r="U148" s="196"/>
      <c r="V148" s="196"/>
      <c r="X148" s="178"/>
      <c r="Y148" s="179"/>
      <c r="Z148" s="179"/>
      <c r="AA148" s="179"/>
      <c r="AB148" s="179"/>
      <c r="AC148" s="179"/>
      <c r="AD148" s="179"/>
      <c r="AE148" s="179"/>
      <c r="AF148" s="179"/>
      <c r="AG148" s="179"/>
      <c r="AH148" s="179"/>
      <c r="AI148" s="179"/>
      <c r="AJ148" s="179"/>
      <c r="AK148" s="179"/>
      <c r="AL148" s="179"/>
      <c r="AM148" s="179"/>
      <c r="AN148" s="179"/>
      <c r="AO148" s="179"/>
      <c r="AP148" s="179"/>
      <c r="AQ148" s="179"/>
      <c r="AR148" s="179"/>
      <c r="AS148" s="179"/>
      <c r="AT148" s="179"/>
      <c r="AU148" s="179"/>
      <c r="AV148" s="179"/>
      <c r="AW148" s="179"/>
      <c r="AX148" s="179"/>
      <c r="AY148" s="179"/>
      <c r="AZ148" s="179"/>
      <c r="BA148" s="179"/>
      <c r="BB148" s="179"/>
      <c r="BC148" s="179"/>
      <c r="BD148" s="179"/>
      <c r="BE148" s="179"/>
      <c r="BF148" s="179"/>
      <c r="BL148" s="180"/>
      <c r="BM148" s="181"/>
    </row>
    <row r="149" ht="15.75" customHeight="1">
      <c r="A149" s="94"/>
      <c r="B149" s="95"/>
      <c r="C149" s="95"/>
      <c r="D149" s="95"/>
      <c r="E149" s="95"/>
      <c r="F149" s="103"/>
      <c r="G149" s="212" t="s">
        <v>17</v>
      </c>
      <c r="H149" s="213"/>
      <c r="I149" s="213"/>
      <c r="J149" s="213"/>
      <c r="K149" s="213"/>
      <c r="L149" s="213"/>
      <c r="M149" s="214"/>
      <c r="N149" s="213"/>
      <c r="O149" s="213"/>
      <c r="P149" s="213"/>
      <c r="Q149" s="215"/>
      <c r="R149" s="216"/>
      <c r="S149" s="215"/>
      <c r="T149" s="217"/>
      <c r="U149" s="217"/>
      <c r="V149" s="218"/>
      <c r="X149" s="178"/>
      <c r="Y149" s="179" t="s">
        <v>104</v>
      </c>
      <c r="Z149" s="179"/>
      <c r="AA149" s="179"/>
      <c r="AB149" s="179"/>
      <c r="AC149" s="179"/>
      <c r="AD149" s="179"/>
      <c r="AE149" s="179"/>
      <c r="AF149" s="179"/>
      <c r="AG149" s="179"/>
      <c r="AH149" s="179"/>
      <c r="AI149" s="179"/>
      <c r="AJ149" s="179"/>
      <c r="AK149" s="179"/>
      <c r="AL149" s="179"/>
      <c r="AM149" s="179"/>
      <c r="AN149" s="179"/>
      <c r="AO149" s="179"/>
      <c r="AP149" s="179"/>
      <c r="AQ149" s="179"/>
      <c r="AR149" s="179"/>
      <c r="AS149" s="179"/>
      <c r="AT149" s="179"/>
      <c r="AU149" s="179"/>
      <c r="AV149" s="179"/>
      <c r="AW149" s="179"/>
      <c r="AX149" s="179"/>
      <c r="AY149" s="179"/>
      <c r="AZ149" s="179"/>
      <c r="BA149" s="179"/>
      <c r="BB149" s="179"/>
      <c r="BC149" s="179"/>
      <c r="BD149" s="179"/>
      <c r="BE149" s="179"/>
      <c r="BF149" s="179"/>
      <c r="BL149" s="180"/>
      <c r="BM149" s="181"/>
    </row>
    <row r="150" ht="15.75" customHeight="1">
      <c r="A150" s="94"/>
      <c r="B150" s="95"/>
      <c r="C150" s="95"/>
      <c r="D150" s="95"/>
      <c r="E150" s="95"/>
      <c r="F150" s="103"/>
      <c r="G150" s="153">
        <v>501.0</v>
      </c>
      <c r="H150" s="153">
        <v>502.0</v>
      </c>
      <c r="I150" s="153">
        <v>503.0</v>
      </c>
      <c r="J150" s="153">
        <v>504.0</v>
      </c>
      <c r="K150" s="153">
        <v>505.0</v>
      </c>
      <c r="L150" s="153">
        <v>506.0</v>
      </c>
      <c r="M150" s="153">
        <v>507.0</v>
      </c>
      <c r="N150" s="153">
        <v>508.0</v>
      </c>
      <c r="O150" s="153">
        <v>509.0</v>
      </c>
      <c r="P150" s="153">
        <v>510.0</v>
      </c>
      <c r="Q150" s="173" t="s">
        <v>10</v>
      </c>
      <c r="R150" s="219" t="s">
        <v>54</v>
      </c>
      <c r="S150" s="175" t="s">
        <v>90</v>
      </c>
      <c r="T150" s="176"/>
      <c r="U150" s="176"/>
      <c r="V150" s="177"/>
      <c r="X150" s="178"/>
      <c r="Y150" s="179" t="s">
        <v>105</v>
      </c>
      <c r="Z150" s="179"/>
      <c r="AA150" s="179"/>
      <c r="AB150" s="179"/>
      <c r="AC150" s="179"/>
      <c r="AD150" s="179"/>
      <c r="AE150" s="179"/>
      <c r="AF150" s="179"/>
      <c r="AG150" s="179"/>
      <c r="BL150" s="180"/>
      <c r="BM150" s="220"/>
    </row>
    <row r="151" ht="15.75" customHeight="1">
      <c r="A151" s="94"/>
      <c r="B151" s="95"/>
      <c r="C151" s="95"/>
      <c r="D151" s="95"/>
      <c r="E151" s="95"/>
      <c r="F151" s="103"/>
      <c r="G151" s="188">
        <f t="array" ref="G151:G154">'5º Ano - 501'!$D$135:$D$138</f>
        <v>2</v>
      </c>
      <c r="H151" s="188">
        <f t="array" ref="H151:H154">'5º Ano - 502'!$D$135:$D$138</f>
        <v>1</v>
      </c>
      <c r="I151" s="188">
        <f t="array" ref="I151:I154">'5º Ano - 503'!$D$135:$D$138</f>
        <v>5</v>
      </c>
      <c r="J151" s="188">
        <f t="array" ref="J151:J154">'5º Ano - 504'!$D$135:$D$138</f>
        <v>7</v>
      </c>
      <c r="K151" s="188">
        <f t="array" ref="K151:K154">'5º Ano - 505'!$D$135:$D$138</f>
        <v>0</v>
      </c>
      <c r="L151" s="188">
        <f t="array" ref="L151:L154">'5º Ano - 506'!$D$135:$D$138</f>
        <v>1</v>
      </c>
      <c r="M151" s="188"/>
      <c r="N151" s="188"/>
      <c r="O151" s="188"/>
      <c r="P151" s="188"/>
      <c r="Q151" s="183">
        <f t="shared" ref="Q151:Q154" si="15">SUM(G151:P151)</f>
        <v>16</v>
      </c>
      <c r="R151" s="221">
        <f t="shared" ref="R151:R154" si="16">SUM(Q151/F$18*100)</f>
        <v>9.467455621</v>
      </c>
      <c r="S151" s="222" t="s">
        <v>91</v>
      </c>
      <c r="T151" s="186"/>
      <c r="U151" s="186"/>
      <c r="V151" s="187"/>
      <c r="X151" s="178"/>
      <c r="Y151" s="179" t="s">
        <v>106</v>
      </c>
      <c r="Z151" s="179"/>
      <c r="AA151" s="179"/>
      <c r="AB151" s="179"/>
      <c r="AC151" s="179"/>
      <c r="AD151" s="179"/>
      <c r="AE151" s="179"/>
      <c r="AF151" s="179"/>
      <c r="AG151" s="179"/>
      <c r="BL151" s="180"/>
      <c r="BM151" s="220"/>
    </row>
    <row r="152" ht="15.75" customHeight="1">
      <c r="A152" s="94"/>
      <c r="B152" s="95"/>
      <c r="C152" s="95"/>
      <c r="D152" s="95"/>
      <c r="E152" s="95"/>
      <c r="F152" s="103"/>
      <c r="G152" s="188">
        <v>3.0</v>
      </c>
      <c r="H152" s="189">
        <v>2.0</v>
      </c>
      <c r="I152" s="189">
        <v>1.0</v>
      </c>
      <c r="J152" s="189">
        <v>14.0</v>
      </c>
      <c r="K152" s="189">
        <v>11.0</v>
      </c>
      <c r="L152" s="189">
        <v>1.0</v>
      </c>
      <c r="M152" s="190"/>
      <c r="N152" s="189"/>
      <c r="O152" s="189"/>
      <c r="P152" s="189"/>
      <c r="Q152" s="183">
        <f t="shared" si="15"/>
        <v>32</v>
      </c>
      <c r="R152" s="221">
        <f t="shared" si="16"/>
        <v>18.93491124</v>
      </c>
      <c r="S152" s="191" t="s">
        <v>92</v>
      </c>
      <c r="T152" s="186"/>
      <c r="U152" s="186"/>
      <c r="V152" s="187"/>
      <c r="X152" s="178"/>
      <c r="BL152" s="180"/>
      <c r="BM152" s="220"/>
    </row>
    <row r="153" ht="15.75" customHeight="1">
      <c r="A153" s="94"/>
      <c r="B153" s="95"/>
      <c r="C153" s="95"/>
      <c r="D153" s="95"/>
      <c r="E153" s="95"/>
      <c r="F153" s="103"/>
      <c r="G153" s="188">
        <v>14.0</v>
      </c>
      <c r="H153" s="189">
        <v>10.0</v>
      </c>
      <c r="I153" s="189">
        <v>6.0</v>
      </c>
      <c r="J153" s="189">
        <v>8.0</v>
      </c>
      <c r="K153" s="189">
        <v>10.0</v>
      </c>
      <c r="L153" s="189">
        <v>9.0</v>
      </c>
      <c r="M153" s="190"/>
      <c r="N153" s="189"/>
      <c r="O153" s="189"/>
      <c r="P153" s="189"/>
      <c r="Q153" s="183">
        <f t="shared" si="15"/>
        <v>57</v>
      </c>
      <c r="R153" s="221">
        <f t="shared" si="16"/>
        <v>33.72781065</v>
      </c>
      <c r="S153" s="194" t="s">
        <v>94</v>
      </c>
      <c r="T153" s="186"/>
      <c r="U153" s="186"/>
      <c r="V153" s="187"/>
      <c r="X153" s="178"/>
      <c r="BL153" s="180"/>
      <c r="BM153" s="220"/>
    </row>
    <row r="154" ht="15.75" customHeight="1">
      <c r="A154" s="84"/>
      <c r="B154" s="85"/>
      <c r="C154" s="85"/>
      <c r="D154" s="85"/>
      <c r="E154" s="85"/>
      <c r="F154" s="146"/>
      <c r="G154" s="188">
        <v>10.0</v>
      </c>
      <c r="H154" s="189">
        <v>16.0</v>
      </c>
      <c r="I154" s="189">
        <v>17.0</v>
      </c>
      <c r="J154" s="189">
        <v>1.0</v>
      </c>
      <c r="K154" s="189">
        <v>8.0</v>
      </c>
      <c r="L154" s="189">
        <v>12.0</v>
      </c>
      <c r="M154" s="190"/>
      <c r="N154" s="189"/>
      <c r="O154" s="189"/>
      <c r="P154" s="189"/>
      <c r="Q154" s="183">
        <f t="shared" si="15"/>
        <v>64</v>
      </c>
      <c r="R154" s="221">
        <f t="shared" si="16"/>
        <v>37.86982249</v>
      </c>
      <c r="S154" s="195" t="s">
        <v>95</v>
      </c>
      <c r="T154" s="186"/>
      <c r="U154" s="186"/>
      <c r="V154" s="187"/>
      <c r="X154" s="223"/>
      <c r="Y154" s="224"/>
      <c r="Z154" s="224"/>
      <c r="AA154" s="224"/>
      <c r="AB154" s="224"/>
      <c r="AC154" s="224"/>
      <c r="AD154" s="224"/>
      <c r="AE154" s="224"/>
      <c r="AF154" s="224"/>
      <c r="AG154" s="224"/>
      <c r="AH154" s="224"/>
      <c r="AI154" s="224"/>
      <c r="AJ154" s="224"/>
      <c r="AK154" s="224"/>
      <c r="AL154" s="224"/>
      <c r="AM154" s="224"/>
      <c r="AN154" s="224"/>
      <c r="AO154" s="224"/>
      <c r="AP154" s="224"/>
      <c r="AQ154" s="224"/>
      <c r="AR154" s="224"/>
      <c r="AS154" s="224"/>
      <c r="AT154" s="224"/>
      <c r="AU154" s="224"/>
      <c r="AV154" s="224"/>
      <c r="AW154" s="224"/>
      <c r="AX154" s="224"/>
      <c r="AY154" s="224"/>
      <c r="AZ154" s="224"/>
      <c r="BA154" s="224"/>
      <c r="BB154" s="224"/>
      <c r="BC154" s="224"/>
      <c r="BD154" s="224"/>
      <c r="BE154" s="224"/>
      <c r="BF154" s="224"/>
      <c r="BG154" s="224"/>
      <c r="BH154" s="224"/>
      <c r="BI154" s="224"/>
      <c r="BJ154" s="224"/>
      <c r="BK154" s="224"/>
      <c r="BL154" s="224"/>
      <c r="BM154" s="225"/>
    </row>
    <row r="155" ht="73.5" customHeight="1">
      <c r="G155" s="224"/>
      <c r="H155" s="224"/>
      <c r="I155" s="224"/>
      <c r="J155" s="224"/>
      <c r="K155" s="224"/>
      <c r="L155" s="224"/>
      <c r="M155" s="224"/>
      <c r="N155" s="224"/>
      <c r="O155" s="224"/>
      <c r="P155" s="224"/>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c r="AM155" s="224"/>
      <c r="AN155" s="224"/>
      <c r="AO155" s="224"/>
      <c r="AP155" s="224"/>
      <c r="AQ155" s="224"/>
      <c r="AR155" s="224"/>
      <c r="AS155" s="224"/>
      <c r="AT155" s="224"/>
      <c r="AU155" s="224"/>
      <c r="AV155" s="224"/>
      <c r="AW155" s="224"/>
      <c r="AX155" s="224"/>
      <c r="AY155" s="224"/>
      <c r="AZ155" s="224"/>
      <c r="BA155" s="224"/>
      <c r="BB155" s="224"/>
      <c r="BC155" s="224"/>
      <c r="BD155" s="224"/>
      <c r="BE155" s="224"/>
      <c r="BF155" s="224"/>
      <c r="BG155" s="224"/>
      <c r="BH155" s="224"/>
      <c r="BI155" s="224"/>
      <c r="BJ155" s="224"/>
      <c r="BK155" s="224"/>
      <c r="BL155" s="224"/>
      <c r="BM155" s="224"/>
    </row>
    <row r="156" ht="15.75" customHeight="1"/>
    <row r="157" ht="15.75" customHeight="1">
      <c r="AW157" s="226" t="s">
        <v>107</v>
      </c>
    </row>
    <row r="158" ht="15.75" customHeight="1">
      <c r="AO158" s="227"/>
      <c r="AP158" s="227"/>
      <c r="AQ158" s="227"/>
      <c r="AR158" s="227"/>
      <c r="AS158" s="227"/>
      <c r="AT158" s="227"/>
      <c r="AU158" s="227"/>
      <c r="AV158" s="227"/>
      <c r="AW158" s="227" t="s">
        <v>108</v>
      </c>
      <c r="AX158" s="227"/>
      <c r="AY158" s="227"/>
      <c r="BA158" s="227"/>
    </row>
    <row r="159" ht="15.75" customHeight="1"/>
  </sheetData>
  <mergeCells count="47">
    <mergeCell ref="G25:AW25"/>
    <mergeCell ref="G26:AA26"/>
    <mergeCell ref="AB26:AW26"/>
    <mergeCell ref="BJ27:BJ29"/>
    <mergeCell ref="BK27:BK29"/>
    <mergeCell ref="A19:B19"/>
    <mergeCell ref="A20:B20"/>
    <mergeCell ref="A21:B21"/>
    <mergeCell ref="A23:F23"/>
    <mergeCell ref="BF25:BK25"/>
    <mergeCell ref="A26:A29"/>
    <mergeCell ref="F26:F29"/>
    <mergeCell ref="G6:BA7"/>
    <mergeCell ref="G9:BA10"/>
    <mergeCell ref="G12:BA12"/>
    <mergeCell ref="A15:F15"/>
    <mergeCell ref="A16:F16"/>
    <mergeCell ref="A17:F17"/>
    <mergeCell ref="A18:B18"/>
    <mergeCell ref="B26:B29"/>
    <mergeCell ref="C26:C29"/>
    <mergeCell ref="G45:G65"/>
    <mergeCell ref="G66:G87"/>
    <mergeCell ref="G91:G111"/>
    <mergeCell ref="G112:G133"/>
    <mergeCell ref="AY26:BD26"/>
    <mergeCell ref="BF26:BH26"/>
    <mergeCell ref="BF27:BF29"/>
    <mergeCell ref="BG27:BG29"/>
    <mergeCell ref="BI26:BK26"/>
    <mergeCell ref="AY27:AY29"/>
    <mergeCell ref="AZ27:AZ29"/>
    <mergeCell ref="BA27:BA29"/>
    <mergeCell ref="BB27:BB29"/>
    <mergeCell ref="BC27:BC29"/>
    <mergeCell ref="BD27:BD29"/>
    <mergeCell ref="BH27:BH29"/>
    <mergeCell ref="BI27:BI29"/>
    <mergeCell ref="J43:J44"/>
    <mergeCell ref="Y138:AG138"/>
    <mergeCell ref="D26:D29"/>
    <mergeCell ref="E26:E29"/>
    <mergeCell ref="G42:AL42"/>
    <mergeCell ref="G43:H44"/>
    <mergeCell ref="I43:I44"/>
    <mergeCell ref="K43:AL44"/>
    <mergeCell ref="G89:BD89"/>
  </mergeCells>
  <conditionalFormatting sqref="C31:G39">
    <cfRule type="containsText" dxfId="0" priority="1" operator="containsText" text="NÃO">
      <formula>NOT(ISERROR(SEARCH(("NÃO"),(C31))))</formula>
    </cfRule>
  </conditionalFormatting>
  <conditionalFormatting sqref="C31:G39">
    <cfRule type="containsText" dxfId="1" priority="2" operator="containsText" text="SIM">
      <formula>NOT(ISERROR(SEARCH(("SIM"),(C31))))</formula>
    </cfRule>
  </conditionalFormatting>
  <conditionalFormatting sqref="BD30:BK39">
    <cfRule type="containsText" dxfId="2" priority="3" operator="containsText" text="F">
      <formula>NOT(ISERROR(SEARCH(("F"),(BD30))))</formula>
    </cfRule>
  </conditionalFormatting>
  <conditionalFormatting sqref="AY30:BB39">
    <cfRule type="containsText" dxfId="3" priority="4" operator="containsText" text="F">
      <formula>NOT(ISERROR(SEARCH(("F"),(AY30))))</formula>
    </cfRule>
  </conditionalFormatting>
  <conditionalFormatting sqref="AY30:AY39">
    <cfRule type="containsText" dxfId="4" priority="5" operator="containsText" text="A">
      <formula>NOT(ISERROR(SEARCH(("A"),(AY30))))</formula>
    </cfRule>
  </conditionalFormatting>
  <conditionalFormatting sqref="AY30:AY39">
    <cfRule type="containsText" dxfId="5" priority="6" operator="containsText" text="B">
      <formula>NOT(ISERROR(SEARCH(("B"),(AY30))))</formula>
    </cfRule>
  </conditionalFormatting>
  <conditionalFormatting sqref="AY30:AY39">
    <cfRule type="containsText" dxfId="5" priority="7" operator="containsText" text="C">
      <formula>NOT(ISERROR(SEARCH(("C"),(AY30))))</formula>
    </cfRule>
  </conditionalFormatting>
  <conditionalFormatting sqref="AY30:AY39">
    <cfRule type="containsText" dxfId="5" priority="8" operator="containsText" text="X">
      <formula>NOT(ISERROR(SEARCH(("X"),(AY30))))</formula>
    </cfRule>
  </conditionalFormatting>
  <conditionalFormatting sqref="BC30:BC39">
    <cfRule type="containsText" dxfId="6" priority="9" operator="containsText" text="F">
      <formula>NOT(ISERROR(SEARCH(("F"),(BC30))))</formula>
    </cfRule>
  </conditionalFormatting>
  <conditionalFormatting sqref="BD30:BD39 BH30:BH39 BK30:BK39">
    <cfRule type="containsText" dxfId="5" priority="10" operator="containsText" text="X">
      <formula>NOT(ISERROR(SEARCH(("X"),(BD30))))</formula>
    </cfRule>
  </conditionalFormatting>
  <conditionalFormatting sqref="BD30:BD39 BH30:BH39 BK30:BK39">
    <cfRule type="containsText" dxfId="7" priority="11" operator="containsText" text="Abaixo do Básico">
      <formula>NOT(ISERROR(SEARCH(("Abaixo do Básico"),(BD30))))</formula>
    </cfRule>
  </conditionalFormatting>
  <conditionalFormatting sqref="BD30:BD39 BH30:BH39 BK30:BK39">
    <cfRule type="containsText" dxfId="8" priority="12" operator="containsText" text="Básico">
      <formula>NOT(ISERROR(SEARCH(("Básico"),(BD30))))</formula>
    </cfRule>
  </conditionalFormatting>
  <conditionalFormatting sqref="BD30:BD39 BH30:BH39 BK30:BK39">
    <cfRule type="containsText" dxfId="9" priority="13" operator="containsText" text="Adequado">
      <formula>NOT(ISERROR(SEARCH(("Adequado"),(BD30))))</formula>
    </cfRule>
  </conditionalFormatting>
  <conditionalFormatting sqref="BD30:BD39 BH30:BH39 BK30:BK39">
    <cfRule type="containsText" dxfId="10" priority="14" operator="containsText" text="Avança">
      <formula>NOT(ISERROR(SEARCH(("Avança"),(BD30))))</formula>
    </cfRule>
  </conditionalFormatting>
  <conditionalFormatting sqref="A30:AW40">
    <cfRule type="containsBlanks" dxfId="6" priority="15">
      <formula>LEN(TRIM(A30))=0</formula>
    </cfRule>
  </conditionalFormatting>
  <conditionalFormatting sqref="I91:BB133">
    <cfRule type="containsBlanks" dxfId="6" priority="16">
      <formula>LEN(TRIM(I91))=0</formula>
    </cfRule>
  </conditionalFormatting>
  <conditionalFormatting sqref="G137:P140">
    <cfRule type="containsBlanks" dxfId="6" priority="17">
      <formula>LEN(TRIM(G137))=0</formula>
    </cfRule>
  </conditionalFormatting>
  <conditionalFormatting sqref="G144:P147">
    <cfRule type="containsBlanks" dxfId="6" priority="18">
      <formula>LEN(TRIM(G144))=0</formula>
    </cfRule>
  </conditionalFormatting>
  <conditionalFormatting sqref="G151:P154">
    <cfRule type="containsBlanks" dxfId="6" priority="19">
      <formula>LEN(TRIM(G151))=0</formula>
    </cfRule>
  </conditionalFormatting>
  <hyperlinks>
    <hyperlink r:id="rId1" ref="A23"/>
  </hyperlinks>
  <printOptions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0"/>
  <cols>
    <col customWidth="1" min="1" max="1" width="3.75"/>
    <col customWidth="1" min="2" max="2" width="42.88"/>
    <col customWidth="1" min="3" max="6" width="5.25"/>
    <col customWidth="1" min="7" max="57" width="4.75"/>
    <col customWidth="1" min="58" max="58" width="2.88"/>
    <col customWidth="1" min="59" max="60" width="4.13"/>
    <col customWidth="1" min="61" max="61" width="4.25"/>
    <col customWidth="1" min="62" max="62" width="4.63"/>
    <col customWidth="1" min="63" max="63" width="4.75"/>
    <col customWidth="1" min="64" max="64" width="4.25"/>
    <col customWidth="1" min="65" max="66" width="5.63"/>
    <col customWidth="1" min="67" max="69" width="5.25"/>
  </cols>
  <sheetData>
    <row r="1" ht="25.5" customHeight="1">
      <c r="A1" s="1"/>
      <c r="B1" s="1"/>
      <c r="C1" s="1"/>
      <c r="D1" s="1"/>
      <c r="E1" s="1"/>
      <c r="F1" s="1"/>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Y1" s="3"/>
      <c r="AZ1" s="3"/>
      <c r="BA1" s="3"/>
      <c r="BB1" s="3"/>
      <c r="BC1" s="3"/>
      <c r="BD1" s="3"/>
      <c r="BE1" s="4"/>
      <c r="BF1" s="4"/>
      <c r="BG1" s="4"/>
      <c r="BH1" s="4"/>
      <c r="BI1" s="4"/>
      <c r="BJ1" s="4"/>
      <c r="BK1" s="4"/>
      <c r="BL1" s="3"/>
      <c r="BM1" s="3"/>
      <c r="BN1" s="3"/>
      <c r="BO1" s="3"/>
      <c r="BP1" s="3"/>
      <c r="BQ1" s="3"/>
    </row>
    <row r="2" ht="25.5" customHeight="1">
      <c r="A2" s="1"/>
      <c r="B2" s="1"/>
      <c r="C2" s="1"/>
      <c r="D2" s="1"/>
      <c r="E2" s="1"/>
      <c r="F2" s="1"/>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Y2" s="3"/>
      <c r="AZ2" s="3"/>
      <c r="BA2" s="3"/>
      <c r="BB2" s="3"/>
      <c r="BC2" s="3"/>
      <c r="BD2" s="3"/>
      <c r="BE2" s="4"/>
      <c r="BF2" s="4"/>
      <c r="BG2" s="4"/>
      <c r="BH2" s="4"/>
      <c r="BI2" s="4"/>
      <c r="BJ2" s="4"/>
      <c r="BK2" s="4"/>
      <c r="BL2" s="3"/>
      <c r="BM2" s="3"/>
      <c r="BN2" s="3"/>
      <c r="BO2" s="3"/>
      <c r="BP2" s="3"/>
      <c r="BQ2" s="3"/>
    </row>
    <row r="3" ht="25.5" customHeight="1">
      <c r="A3" s="1"/>
      <c r="B3" s="1"/>
      <c r="C3" s="1"/>
      <c r="D3" s="1"/>
      <c r="E3" s="1"/>
      <c r="F3" s="1"/>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Y3" s="3"/>
      <c r="AZ3" s="3"/>
      <c r="BA3" s="3"/>
      <c r="BB3" s="3"/>
      <c r="BC3" s="3"/>
      <c r="BD3" s="3"/>
      <c r="BE3" s="4"/>
      <c r="BF3" s="4"/>
      <c r="BG3" s="4"/>
      <c r="BH3" s="4"/>
      <c r="BI3" s="4"/>
      <c r="BJ3" s="4"/>
      <c r="BK3" s="4"/>
      <c r="BL3" s="3"/>
      <c r="BM3" s="3"/>
      <c r="BN3" s="3"/>
      <c r="BO3" s="3"/>
      <c r="BP3" s="3"/>
      <c r="BQ3" s="3"/>
    </row>
    <row r="4" ht="25.5" customHeight="1">
      <c r="A4" s="1"/>
      <c r="B4" s="1"/>
      <c r="C4" s="1"/>
      <c r="D4" s="1"/>
      <c r="E4" s="1"/>
      <c r="F4" s="1"/>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Y4" s="3"/>
      <c r="AZ4" s="3"/>
      <c r="BA4" s="3"/>
      <c r="BB4" s="3"/>
      <c r="BC4" s="3"/>
      <c r="BD4" s="3"/>
      <c r="BE4" s="4"/>
      <c r="BF4" s="4"/>
      <c r="BG4" s="4"/>
      <c r="BH4" s="4"/>
      <c r="BI4" s="4"/>
      <c r="BJ4" s="4"/>
      <c r="BK4" s="4"/>
      <c r="BL4" s="3"/>
      <c r="BM4" s="3"/>
      <c r="BN4" s="3"/>
      <c r="BO4" s="3"/>
      <c r="BP4" s="3"/>
      <c r="BQ4" s="3"/>
    </row>
    <row r="5" ht="25.5" customHeight="1">
      <c r="A5" s="1"/>
      <c r="B5" s="1"/>
      <c r="C5" s="1"/>
      <c r="D5" s="1"/>
      <c r="E5" s="1"/>
      <c r="F5" s="1"/>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Y5" s="3"/>
      <c r="AZ5" s="3"/>
      <c r="BA5" s="3"/>
      <c r="BB5" s="3"/>
      <c r="BC5" s="3"/>
      <c r="BD5" s="3"/>
      <c r="BE5" s="4"/>
      <c r="BF5" s="4"/>
      <c r="BG5" s="4"/>
      <c r="BH5" s="4"/>
      <c r="BI5" s="4"/>
      <c r="BJ5" s="4"/>
      <c r="BK5" s="4"/>
      <c r="BL5" s="3"/>
      <c r="BM5" s="3"/>
      <c r="BN5" s="3"/>
      <c r="BO5" s="3"/>
      <c r="BP5" s="3"/>
      <c r="BQ5" s="3"/>
    </row>
    <row r="6" ht="25.5" customHeight="1">
      <c r="A6" s="1"/>
      <c r="B6" s="1"/>
      <c r="C6" s="1"/>
      <c r="D6" s="1"/>
      <c r="E6" s="1"/>
      <c r="F6" s="1"/>
      <c r="G6" s="5" t="s">
        <v>0</v>
      </c>
      <c r="BI6" s="4"/>
      <c r="BJ6" s="4"/>
      <c r="BK6" s="4"/>
      <c r="BL6" s="3"/>
      <c r="BM6" s="3"/>
      <c r="BN6" s="3"/>
      <c r="BO6" s="3"/>
      <c r="BP6" s="3"/>
      <c r="BQ6" s="3"/>
    </row>
    <row r="7" ht="25.5" customHeight="1">
      <c r="A7" s="1"/>
      <c r="B7" s="1"/>
      <c r="C7" s="1"/>
      <c r="D7" s="1"/>
      <c r="E7" s="1"/>
      <c r="F7" s="1"/>
      <c r="BI7" s="4"/>
      <c r="BJ7" s="4"/>
      <c r="BK7" s="4"/>
      <c r="BL7" s="3"/>
      <c r="BM7" s="3"/>
      <c r="BN7" s="3"/>
      <c r="BO7" s="3"/>
      <c r="BP7" s="3"/>
      <c r="BQ7" s="3"/>
    </row>
    <row r="8" ht="25.5" customHeight="1">
      <c r="A8" s="1"/>
      <c r="B8" s="1"/>
      <c r="C8" s="1"/>
      <c r="D8" s="1"/>
      <c r="E8" s="1"/>
      <c r="F8" s="1"/>
      <c r="BI8" s="4"/>
      <c r="BJ8" s="4"/>
      <c r="BK8" s="4"/>
      <c r="BL8" s="3"/>
      <c r="BM8" s="3"/>
      <c r="BN8" s="3"/>
      <c r="BO8" s="3"/>
      <c r="BP8" s="3"/>
      <c r="BQ8" s="3"/>
    </row>
    <row r="9" ht="25.5" customHeight="1">
      <c r="A9" s="1"/>
      <c r="B9" s="1"/>
      <c r="C9" s="1"/>
      <c r="D9" s="1"/>
      <c r="E9" s="1"/>
      <c r="F9" s="1"/>
      <c r="G9" s="6" t="s">
        <v>1</v>
      </c>
      <c r="BI9" s="4"/>
      <c r="BJ9" s="4"/>
      <c r="BK9" s="4"/>
      <c r="BL9" s="3"/>
      <c r="BM9" s="3"/>
      <c r="BN9" s="3"/>
      <c r="BO9" s="3"/>
      <c r="BP9" s="3"/>
      <c r="BQ9" s="3"/>
    </row>
    <row r="10" ht="25.5" customHeight="1">
      <c r="A10" s="1"/>
      <c r="B10" s="1"/>
      <c r="C10" s="1"/>
      <c r="D10" s="1"/>
      <c r="E10" s="1"/>
      <c r="F10" s="1"/>
      <c r="BI10" s="4"/>
      <c r="BJ10" s="4"/>
      <c r="BK10" s="4"/>
      <c r="BL10" s="3"/>
      <c r="BM10" s="3"/>
      <c r="BN10" s="3"/>
      <c r="BO10" s="3"/>
      <c r="BP10" s="3"/>
      <c r="BQ10" s="3"/>
    </row>
    <row r="11" ht="25.5" customHeight="1">
      <c r="A11" s="1"/>
      <c r="B11" s="1"/>
      <c r="C11" s="1"/>
      <c r="D11" s="1"/>
      <c r="E11" s="1"/>
      <c r="F11" s="1"/>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Y11" s="3"/>
      <c r="AZ11" s="3"/>
      <c r="BA11" s="3"/>
      <c r="BB11" s="3"/>
      <c r="BC11" s="3"/>
      <c r="BD11" s="3"/>
      <c r="BE11" s="4"/>
      <c r="BF11" s="4"/>
      <c r="BG11" s="4"/>
      <c r="BH11" s="4"/>
      <c r="BI11" s="4"/>
      <c r="BJ11" s="4"/>
      <c r="BK11" s="4"/>
      <c r="BL11" s="3"/>
      <c r="BM11" s="3"/>
      <c r="BN11" s="3"/>
      <c r="BO11" s="3"/>
      <c r="BP11" s="3"/>
      <c r="BQ11" s="3"/>
    </row>
    <row r="12" ht="25.5" customHeight="1">
      <c r="A12" s="1"/>
      <c r="B12" s="1"/>
      <c r="C12" s="1"/>
      <c r="D12" s="1"/>
      <c r="E12" s="1"/>
      <c r="F12" s="1"/>
      <c r="G12" s="8" t="s">
        <v>2</v>
      </c>
      <c r="BI12" s="4"/>
      <c r="BJ12" s="4"/>
      <c r="BK12" s="4"/>
      <c r="BL12" s="3"/>
      <c r="BM12" s="3"/>
      <c r="BN12" s="3"/>
      <c r="BO12" s="3"/>
      <c r="BP12" s="3"/>
      <c r="BQ12" s="3"/>
    </row>
    <row r="13" ht="31.5" customHeight="1">
      <c r="A13" s="1"/>
      <c r="B13" s="1"/>
      <c r="C13" s="1"/>
      <c r="D13" s="1"/>
      <c r="E13" s="1"/>
      <c r="F13" s="1"/>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G13" s="3"/>
      <c r="BH13" s="3"/>
      <c r="BI13" s="3"/>
      <c r="BJ13" s="3"/>
      <c r="BK13" s="3"/>
      <c r="BL13" s="3"/>
      <c r="BM13" s="4"/>
      <c r="BN13" s="4"/>
      <c r="BO13" s="4"/>
      <c r="BP13" s="4"/>
      <c r="BQ13" s="4"/>
    </row>
    <row r="14" ht="25.5" customHeight="1">
      <c r="A14" s="10"/>
      <c r="B14" s="11"/>
      <c r="C14" s="11"/>
      <c r="D14" s="11"/>
      <c r="E14" s="11"/>
      <c r="F14" s="1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G14" s="3"/>
      <c r="BH14" s="3"/>
      <c r="BI14" s="3"/>
      <c r="BJ14" s="3"/>
      <c r="BK14" s="3"/>
      <c r="BL14" s="3"/>
      <c r="BM14" s="4"/>
      <c r="BN14" s="4"/>
      <c r="BO14" s="4"/>
      <c r="BP14" s="4"/>
      <c r="BQ14" s="4"/>
    </row>
    <row r="15" ht="25.5" customHeight="1">
      <c r="A15" s="15" t="s">
        <v>109</v>
      </c>
      <c r="F15" s="14"/>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G15" s="3"/>
      <c r="BH15" s="3"/>
      <c r="BI15" s="3"/>
      <c r="BJ15" s="3"/>
      <c r="BK15" s="3"/>
      <c r="BL15" s="3"/>
      <c r="BM15" s="4"/>
      <c r="BN15" s="4"/>
      <c r="BO15" s="4"/>
      <c r="BP15" s="4"/>
      <c r="BQ15" s="4"/>
    </row>
    <row r="16" ht="25.5" customHeight="1">
      <c r="A16" s="13"/>
      <c r="F16" s="14"/>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G16" s="3"/>
      <c r="BH16" s="3"/>
      <c r="BI16" s="3"/>
      <c r="BJ16" s="3"/>
      <c r="BK16" s="3"/>
      <c r="BL16" s="3"/>
      <c r="BM16" s="4"/>
      <c r="BN16" s="4"/>
      <c r="BO16" s="4"/>
      <c r="BP16" s="4"/>
      <c r="BQ16" s="4"/>
    </row>
    <row r="17" ht="21.0" customHeight="1">
      <c r="A17" s="16" t="s">
        <v>4</v>
      </c>
      <c r="C17" s="17"/>
      <c r="D17" s="17"/>
      <c r="E17" s="17"/>
      <c r="F17" s="18">
        <f>C40</f>
        <v>110</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G17" s="3"/>
      <c r="BH17" s="3"/>
      <c r="BI17" s="3"/>
      <c r="BJ17" s="3"/>
      <c r="BK17" s="3"/>
      <c r="BL17" s="3"/>
      <c r="BM17" s="4"/>
      <c r="BN17" s="4"/>
      <c r="BO17" s="4"/>
      <c r="BP17" s="4"/>
      <c r="BQ17" s="4"/>
    </row>
    <row r="18" ht="21.75" customHeight="1">
      <c r="A18" s="16" t="s">
        <v>5</v>
      </c>
      <c r="C18" s="17"/>
      <c r="D18" s="17"/>
      <c r="E18" s="17"/>
      <c r="F18" s="18">
        <f>D40</f>
        <v>93</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G18" s="3"/>
      <c r="BH18" s="3"/>
      <c r="BI18" s="3"/>
      <c r="BJ18" s="3"/>
      <c r="BK18" s="3"/>
      <c r="BL18" s="3"/>
      <c r="BM18" s="4"/>
      <c r="BN18" s="4"/>
      <c r="BO18" s="4"/>
      <c r="BP18" s="4"/>
      <c r="BQ18" s="4"/>
    </row>
    <row r="19" ht="21.0" customHeight="1">
      <c r="A19" s="16" t="s">
        <v>6</v>
      </c>
      <c r="C19" s="17"/>
      <c r="D19" s="17"/>
      <c r="E19" s="17"/>
      <c r="F19" s="18">
        <f>E40</f>
        <v>17</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G19" s="3"/>
      <c r="BH19" s="3"/>
      <c r="BI19" s="3"/>
      <c r="BJ19" s="3"/>
      <c r="BK19" s="3"/>
      <c r="BL19" s="3"/>
      <c r="BM19" s="4"/>
      <c r="BN19" s="4"/>
      <c r="BO19" s="4"/>
      <c r="BP19" s="4"/>
      <c r="BQ19" s="4"/>
    </row>
    <row r="20" ht="24.0" customHeight="1">
      <c r="A20" s="16" t="s">
        <v>7</v>
      </c>
      <c r="C20" s="17"/>
      <c r="D20" s="17"/>
      <c r="E20" s="17"/>
      <c r="F20" s="18">
        <f>F40</f>
        <v>1</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G20" s="3"/>
      <c r="BH20" s="3"/>
      <c r="BI20" s="3"/>
      <c r="BJ20" s="3"/>
      <c r="BK20" s="3"/>
      <c r="BL20" s="3"/>
      <c r="BM20" s="4"/>
      <c r="BN20" s="4"/>
      <c r="BO20" s="4"/>
      <c r="BP20" s="4"/>
      <c r="BQ20" s="4"/>
    </row>
    <row r="21" ht="24.0" customHeight="1">
      <c r="A21" s="16"/>
      <c r="B21" s="19"/>
      <c r="C21" s="20"/>
      <c r="D21" s="20"/>
      <c r="E21" s="20"/>
      <c r="F21" s="21"/>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G21" s="3"/>
      <c r="BH21" s="3"/>
      <c r="BI21" s="3"/>
      <c r="BJ21" s="3"/>
      <c r="BK21" s="3"/>
      <c r="BL21" s="3"/>
      <c r="BM21" s="4"/>
      <c r="BN21" s="4"/>
      <c r="BO21" s="4"/>
      <c r="BP21" s="4"/>
      <c r="BQ21" s="4"/>
    </row>
    <row r="22" ht="42.0" customHeight="1">
      <c r="A22" s="228" t="s">
        <v>8</v>
      </c>
      <c r="F22" s="14"/>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G22" s="3"/>
      <c r="BH22" s="3"/>
      <c r="BI22" s="3"/>
      <c r="BJ22" s="3"/>
      <c r="BK22" s="3"/>
      <c r="BL22" s="3"/>
      <c r="BM22" s="4"/>
      <c r="BN22" s="4"/>
      <c r="BO22" s="4"/>
      <c r="BP22" s="4"/>
      <c r="BQ22" s="4"/>
    </row>
    <row r="23" ht="18.75" customHeight="1">
      <c r="A23" s="229"/>
      <c r="B23" s="224"/>
      <c r="C23" s="230"/>
      <c r="D23" s="230"/>
      <c r="E23" s="230"/>
      <c r="F23" s="231"/>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G23" s="3"/>
      <c r="BH23" s="3"/>
      <c r="BI23" s="3"/>
      <c r="BJ23" s="3"/>
      <c r="BK23" s="3"/>
      <c r="BL23" s="3"/>
      <c r="BM23" s="4"/>
      <c r="BN23" s="4"/>
      <c r="BO23" s="4"/>
      <c r="BP23" s="4"/>
      <c r="BQ23" s="4"/>
    </row>
    <row r="24" ht="21.0" customHeight="1">
      <c r="A24" s="232"/>
      <c r="C24" s="25"/>
      <c r="D24" s="25"/>
      <c r="E24" s="25"/>
      <c r="F24" s="25"/>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G24" s="3"/>
      <c r="BH24" s="3"/>
      <c r="BI24" s="3"/>
      <c r="BJ24" s="3"/>
      <c r="BK24" s="3"/>
      <c r="BL24" s="3"/>
      <c r="BM24" s="4"/>
      <c r="BN24" s="4"/>
      <c r="BO24" s="4"/>
      <c r="BP24" s="4"/>
      <c r="BQ24" s="4"/>
    </row>
    <row r="25" ht="14.25" customHeight="1">
      <c r="A25" s="233"/>
      <c r="B25" s="27"/>
      <c r="C25" s="26"/>
      <c r="D25" s="26"/>
      <c r="E25" s="26"/>
      <c r="F25" s="26"/>
      <c r="G25" s="28" t="s">
        <v>9</v>
      </c>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30"/>
      <c r="BG25" s="31"/>
      <c r="BH25" s="32"/>
      <c r="BI25" s="32"/>
      <c r="BJ25" s="32"/>
      <c r="BK25" s="32"/>
      <c r="BL25" s="32"/>
      <c r="BM25" s="32"/>
      <c r="BN25" s="33"/>
      <c r="BO25" s="33"/>
      <c r="BP25" s="235"/>
      <c r="BQ25" s="236"/>
    </row>
    <row r="26" ht="14.25" customHeight="1">
      <c r="A26" s="37" t="s">
        <v>10</v>
      </c>
      <c r="B26" s="38" t="s">
        <v>11</v>
      </c>
      <c r="C26" s="39" t="s">
        <v>12</v>
      </c>
      <c r="D26" s="39" t="s">
        <v>13</v>
      </c>
      <c r="E26" s="39" t="s">
        <v>14</v>
      </c>
      <c r="F26" s="39" t="s">
        <v>15</v>
      </c>
      <c r="G26" s="40" t="s">
        <v>16</v>
      </c>
      <c r="H26" s="29"/>
      <c r="I26" s="29"/>
      <c r="J26" s="29"/>
      <c r="K26" s="29"/>
      <c r="L26" s="29"/>
      <c r="M26" s="29"/>
      <c r="N26" s="29"/>
      <c r="O26" s="29"/>
      <c r="P26" s="29"/>
      <c r="Q26" s="29"/>
      <c r="R26" s="29"/>
      <c r="S26" s="29"/>
      <c r="T26" s="29"/>
      <c r="U26" s="29"/>
      <c r="V26" s="29"/>
      <c r="W26" s="29"/>
      <c r="X26" s="29"/>
      <c r="Y26" s="29"/>
      <c r="Z26" s="29"/>
      <c r="AA26" s="29"/>
      <c r="AB26" s="29"/>
      <c r="AC26" s="29"/>
      <c r="AD26" s="29"/>
      <c r="AE26" s="41"/>
      <c r="AF26" s="42" t="s">
        <v>17</v>
      </c>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41"/>
      <c r="BG26" s="43"/>
      <c r="BN26" s="44"/>
      <c r="BO26" s="44"/>
      <c r="BP26" s="237"/>
      <c r="BQ26" s="4"/>
    </row>
    <row r="27" ht="56.25" customHeight="1">
      <c r="A27" s="47"/>
      <c r="B27" s="14"/>
      <c r="C27" s="14"/>
      <c r="D27" s="14"/>
      <c r="E27" s="14"/>
      <c r="F27" s="14"/>
      <c r="G27" s="48" t="s">
        <v>18</v>
      </c>
      <c r="H27" s="48" t="s">
        <v>19</v>
      </c>
      <c r="I27" s="48" t="s">
        <v>20</v>
      </c>
      <c r="J27" s="48" t="s">
        <v>21</v>
      </c>
      <c r="K27" s="48" t="s">
        <v>22</v>
      </c>
      <c r="L27" s="48" t="s">
        <v>23</v>
      </c>
      <c r="M27" s="48" t="s">
        <v>24</v>
      </c>
      <c r="N27" s="48" t="s">
        <v>25</v>
      </c>
      <c r="O27" s="48" t="s">
        <v>26</v>
      </c>
      <c r="P27" s="48" t="s">
        <v>27</v>
      </c>
      <c r="Q27" s="48" t="s">
        <v>28</v>
      </c>
      <c r="R27" s="48" t="s">
        <v>29</v>
      </c>
      <c r="S27" s="48" t="s">
        <v>30</v>
      </c>
      <c r="T27" s="48" t="s">
        <v>31</v>
      </c>
      <c r="U27" s="48" t="s">
        <v>32</v>
      </c>
      <c r="V27" s="48" t="s">
        <v>33</v>
      </c>
      <c r="W27" s="48" t="s">
        <v>34</v>
      </c>
      <c r="X27" s="48" t="s">
        <v>35</v>
      </c>
      <c r="Y27" s="48" t="s">
        <v>36</v>
      </c>
      <c r="Z27" s="48" t="s">
        <v>37</v>
      </c>
      <c r="AA27" s="238" t="s">
        <v>38</v>
      </c>
      <c r="AB27" s="48" t="s">
        <v>40</v>
      </c>
      <c r="AC27" s="48" t="s">
        <v>110</v>
      </c>
      <c r="AD27" s="48" t="s">
        <v>111</v>
      </c>
      <c r="AE27" s="239" t="s">
        <v>112</v>
      </c>
      <c r="AF27" s="50" t="s">
        <v>113</v>
      </c>
      <c r="AG27" s="51" t="s">
        <v>19</v>
      </c>
      <c r="AH27" s="51" t="s">
        <v>20</v>
      </c>
      <c r="AI27" s="51" t="s">
        <v>21</v>
      </c>
      <c r="AJ27" s="51" t="s">
        <v>22</v>
      </c>
      <c r="AK27" s="51" t="s">
        <v>23</v>
      </c>
      <c r="AL27" s="51" t="s">
        <v>24</v>
      </c>
      <c r="AM27" s="51" t="s">
        <v>25</v>
      </c>
      <c r="AN27" s="51" t="s">
        <v>26</v>
      </c>
      <c r="AO27" s="51" t="s">
        <v>27</v>
      </c>
      <c r="AP27" s="51" t="s">
        <v>28</v>
      </c>
      <c r="AQ27" s="51" t="s">
        <v>29</v>
      </c>
      <c r="AR27" s="51" t="s">
        <v>30</v>
      </c>
      <c r="AS27" s="51" t="s">
        <v>31</v>
      </c>
      <c r="AT27" s="51" t="s">
        <v>32</v>
      </c>
      <c r="AU27" s="51" t="s">
        <v>33</v>
      </c>
      <c r="AV27" s="51" t="s">
        <v>34</v>
      </c>
      <c r="AW27" s="51" t="s">
        <v>35</v>
      </c>
      <c r="AX27" s="51" t="s">
        <v>36</v>
      </c>
      <c r="AY27" s="51" t="s">
        <v>37</v>
      </c>
      <c r="AZ27" s="51" t="s">
        <v>38</v>
      </c>
      <c r="BA27" s="51" t="s">
        <v>40</v>
      </c>
      <c r="BB27" s="51" t="s">
        <v>110</v>
      </c>
      <c r="BC27" s="51" t="s">
        <v>111</v>
      </c>
      <c r="BD27" s="51" t="s">
        <v>112</v>
      </c>
      <c r="BE27" s="51" t="s">
        <v>114</v>
      </c>
      <c r="BG27" s="52"/>
      <c r="BH27" s="53"/>
      <c r="BI27" s="53"/>
      <c r="BJ27" s="53"/>
      <c r="BK27" s="53"/>
      <c r="BL27" s="54"/>
      <c r="BM27" s="45"/>
      <c r="BN27" s="53"/>
      <c r="BO27" s="55"/>
      <c r="BP27" s="240"/>
      <c r="BQ27" s="241"/>
    </row>
    <row r="28" ht="19.5" hidden="1" customHeight="1">
      <c r="A28" s="47"/>
      <c r="B28" s="14"/>
      <c r="C28" s="14"/>
      <c r="D28" s="14"/>
      <c r="E28" s="14"/>
      <c r="F28" s="14"/>
      <c r="G28" s="242"/>
      <c r="H28" s="242"/>
      <c r="I28" s="242"/>
      <c r="J28" s="242"/>
      <c r="K28" s="242"/>
      <c r="L28" s="242"/>
      <c r="M28" s="242"/>
      <c r="N28" s="242"/>
      <c r="O28" s="242"/>
      <c r="P28" s="242"/>
      <c r="Q28" s="242"/>
      <c r="R28" s="242"/>
      <c r="S28" s="242"/>
      <c r="T28" s="242"/>
      <c r="U28" s="242"/>
      <c r="V28" s="242"/>
      <c r="W28" s="242"/>
      <c r="X28" s="242"/>
      <c r="Y28" s="242"/>
      <c r="Z28" s="242"/>
      <c r="AA28" s="242"/>
      <c r="AB28" s="242"/>
      <c r="AC28" s="242"/>
      <c r="AD28" s="242"/>
      <c r="AE28" s="243"/>
      <c r="AF28" s="244"/>
      <c r="AG28" s="242"/>
      <c r="AH28" s="242"/>
      <c r="AI28" s="242"/>
      <c r="AJ28" s="242"/>
      <c r="AK28" s="242"/>
      <c r="AL28" s="242"/>
      <c r="AM28" s="242"/>
      <c r="AN28" s="242"/>
      <c r="AO28" s="242"/>
      <c r="AP28" s="242"/>
      <c r="AQ28" s="242"/>
      <c r="AR28" s="242"/>
      <c r="AS28" s="242"/>
      <c r="AT28" s="242"/>
      <c r="AU28" s="242"/>
      <c r="AV28" s="242"/>
      <c r="AW28" s="242"/>
      <c r="AX28" s="242"/>
      <c r="AY28" s="242"/>
      <c r="AZ28" s="242"/>
      <c r="BA28" s="242"/>
      <c r="BB28" s="242"/>
      <c r="BC28" s="242"/>
      <c r="BD28" s="242"/>
      <c r="BE28" s="242"/>
      <c r="BG28" s="64"/>
      <c r="BN28" s="53"/>
      <c r="BP28" s="240"/>
      <c r="BQ28" s="241"/>
    </row>
    <row r="29" ht="19.5" customHeight="1">
      <c r="A29" s="65"/>
      <c r="B29" s="24"/>
      <c r="C29" s="24"/>
      <c r="D29" s="24"/>
      <c r="E29" s="24"/>
      <c r="F29" s="24"/>
      <c r="G29" s="66" t="s">
        <v>44</v>
      </c>
      <c r="H29" s="66" t="s">
        <v>44</v>
      </c>
      <c r="I29" s="66" t="s">
        <v>41</v>
      </c>
      <c r="J29" s="66" t="s">
        <v>42</v>
      </c>
      <c r="K29" s="66" t="s">
        <v>43</v>
      </c>
      <c r="L29" s="66" t="s">
        <v>42</v>
      </c>
      <c r="M29" s="66" t="s">
        <v>41</v>
      </c>
      <c r="N29" s="66" t="s">
        <v>44</v>
      </c>
      <c r="O29" s="66" t="s">
        <v>43</v>
      </c>
      <c r="P29" s="66" t="s">
        <v>42</v>
      </c>
      <c r="Q29" s="66" t="s">
        <v>44</v>
      </c>
      <c r="R29" s="66" t="s">
        <v>42</v>
      </c>
      <c r="S29" s="66" t="s">
        <v>42</v>
      </c>
      <c r="T29" s="66" t="s">
        <v>44</v>
      </c>
      <c r="U29" s="66" t="s">
        <v>44</v>
      </c>
      <c r="V29" s="66" t="s">
        <v>41</v>
      </c>
      <c r="W29" s="66" t="s">
        <v>42</v>
      </c>
      <c r="X29" s="66" t="s">
        <v>44</v>
      </c>
      <c r="Y29" s="66" t="s">
        <v>42</v>
      </c>
      <c r="Z29" s="66" t="s">
        <v>41</v>
      </c>
      <c r="AA29" s="245" t="s">
        <v>44</v>
      </c>
      <c r="AB29" s="66" t="s">
        <v>44</v>
      </c>
      <c r="AC29" s="66" t="s">
        <v>42</v>
      </c>
      <c r="AD29" s="66" t="s">
        <v>42</v>
      </c>
      <c r="AE29" s="246" t="s">
        <v>42</v>
      </c>
      <c r="AF29" s="68" t="s">
        <v>41</v>
      </c>
      <c r="AG29" s="69" t="s">
        <v>42</v>
      </c>
      <c r="AH29" s="69" t="s">
        <v>42</v>
      </c>
      <c r="AI29" s="69" t="s">
        <v>41</v>
      </c>
      <c r="AJ29" s="69" t="s">
        <v>41</v>
      </c>
      <c r="AK29" s="69" t="s">
        <v>41</v>
      </c>
      <c r="AL29" s="69" t="s">
        <v>43</v>
      </c>
      <c r="AM29" s="69" t="s">
        <v>42</v>
      </c>
      <c r="AN29" s="69" t="s">
        <v>43</v>
      </c>
      <c r="AO29" s="69" t="s">
        <v>44</v>
      </c>
      <c r="AP29" s="69" t="s">
        <v>41</v>
      </c>
      <c r="AQ29" s="69" t="s">
        <v>42</v>
      </c>
      <c r="AR29" s="69" t="s">
        <v>43</v>
      </c>
      <c r="AS29" s="69" t="s">
        <v>42</v>
      </c>
      <c r="AT29" s="69" t="s">
        <v>41</v>
      </c>
      <c r="AU29" s="69" t="s">
        <v>44</v>
      </c>
      <c r="AV29" s="69" t="s">
        <v>42</v>
      </c>
      <c r="AW29" s="69" t="s">
        <v>41</v>
      </c>
      <c r="AX29" s="69" t="s">
        <v>43</v>
      </c>
      <c r="AY29" s="69" t="s">
        <v>43</v>
      </c>
      <c r="AZ29" s="69" t="s">
        <v>41</v>
      </c>
      <c r="BA29" s="69" t="s">
        <v>42</v>
      </c>
      <c r="BB29" s="69" t="s">
        <v>42</v>
      </c>
      <c r="BC29" s="69" t="s">
        <v>43</v>
      </c>
      <c r="BD29" s="69" t="s">
        <v>41</v>
      </c>
      <c r="BE29" s="69" t="s">
        <v>43</v>
      </c>
      <c r="BG29" s="64"/>
      <c r="BN29" s="53"/>
      <c r="BP29" s="240"/>
      <c r="BQ29" s="241"/>
    </row>
    <row r="30" ht="15.75" customHeight="1">
      <c r="A30" s="70">
        <v>1.0</v>
      </c>
      <c r="B30" s="71" t="s">
        <v>115</v>
      </c>
      <c r="C30" s="72">
        <f t="array" ref="C30">'9º Ano - 901'!$C$17</f>
        <v>30</v>
      </c>
      <c r="D30" s="72">
        <f t="array" ref="D30">'9º Ano - 901'!$C$18</f>
        <v>26</v>
      </c>
      <c r="E30" s="72">
        <f t="array" ref="E30">'9º Ano - 901'!$C$19</f>
        <v>4</v>
      </c>
      <c r="F30" s="72">
        <f t="array" ref="F30">'9º Ano - 901'!$C$20</f>
        <v>0</v>
      </c>
      <c r="G30" s="72">
        <f t="array" ref="G30:BE30">'9º Ano - 901'!$D$70:$BB$70</f>
        <v>2</v>
      </c>
      <c r="H30" s="72">
        <v>8.0</v>
      </c>
      <c r="I30" s="72">
        <v>1.0</v>
      </c>
      <c r="J30" s="72">
        <v>2.0</v>
      </c>
      <c r="K30" s="72">
        <v>7.0</v>
      </c>
      <c r="L30" s="72">
        <v>7.0</v>
      </c>
      <c r="M30" s="72">
        <v>7.0</v>
      </c>
      <c r="N30" s="72">
        <v>4.0</v>
      </c>
      <c r="O30" s="72">
        <v>10.0</v>
      </c>
      <c r="P30" s="72">
        <v>8.0</v>
      </c>
      <c r="Q30" s="72">
        <v>1.0</v>
      </c>
      <c r="R30" s="72">
        <v>3.0</v>
      </c>
      <c r="S30" s="72">
        <v>5.0</v>
      </c>
      <c r="T30" s="72">
        <v>2.0</v>
      </c>
      <c r="U30" s="72">
        <v>2.0</v>
      </c>
      <c r="V30" s="72">
        <v>3.0</v>
      </c>
      <c r="W30" s="72">
        <v>17.0</v>
      </c>
      <c r="X30" s="72">
        <v>5.0</v>
      </c>
      <c r="Y30" s="72">
        <v>7.0</v>
      </c>
      <c r="Z30" s="72">
        <v>7.0</v>
      </c>
      <c r="AA30" s="72">
        <v>6.0</v>
      </c>
      <c r="AB30" s="72">
        <v>16.0</v>
      </c>
      <c r="AC30" s="72">
        <v>2.0</v>
      </c>
      <c r="AD30" s="72">
        <v>5.0</v>
      </c>
      <c r="AE30" s="247">
        <v>7.0</v>
      </c>
      <c r="AF30" s="72">
        <v>4.0</v>
      </c>
      <c r="AG30" s="72">
        <v>11.0</v>
      </c>
      <c r="AH30" s="72">
        <v>2.0</v>
      </c>
      <c r="AI30" s="72">
        <v>8.0</v>
      </c>
      <c r="AJ30" s="72">
        <v>9.0</v>
      </c>
      <c r="AK30" s="72">
        <v>3.0</v>
      </c>
      <c r="AL30" s="72">
        <v>10.0</v>
      </c>
      <c r="AM30" s="72">
        <v>9.0</v>
      </c>
      <c r="AN30" s="72">
        <v>4.0</v>
      </c>
      <c r="AO30" s="72">
        <v>6.0</v>
      </c>
      <c r="AP30" s="72">
        <v>8.0</v>
      </c>
      <c r="AQ30" s="72">
        <v>7.0</v>
      </c>
      <c r="AR30" s="72">
        <v>9.0</v>
      </c>
      <c r="AS30" s="72">
        <v>6.0</v>
      </c>
      <c r="AT30" s="72">
        <v>7.0</v>
      </c>
      <c r="AU30" s="72">
        <v>10.0</v>
      </c>
      <c r="AV30" s="72">
        <v>10.0</v>
      </c>
      <c r="AW30" s="72">
        <v>2.0</v>
      </c>
      <c r="AX30" s="72">
        <v>6.0</v>
      </c>
      <c r="AY30" s="72">
        <v>2.0</v>
      </c>
      <c r="AZ30" s="72">
        <v>10.0</v>
      </c>
      <c r="BA30" s="72">
        <v>6.0</v>
      </c>
      <c r="BB30" s="72">
        <v>4.0</v>
      </c>
      <c r="BC30" s="72">
        <v>7.0</v>
      </c>
      <c r="BD30" s="72">
        <v>8.0</v>
      </c>
      <c r="BE30" s="72">
        <v>3.0</v>
      </c>
      <c r="BG30" s="75"/>
      <c r="BH30" s="248"/>
      <c r="BI30" s="248"/>
      <c r="BJ30" s="248"/>
      <c r="BK30" s="248"/>
      <c r="BL30" s="77"/>
      <c r="BM30" s="78"/>
      <c r="BN30" s="79"/>
      <c r="BO30" s="79"/>
      <c r="BP30" s="249"/>
      <c r="BQ30" s="25"/>
    </row>
    <row r="31" ht="15.75" customHeight="1">
      <c r="A31" s="80">
        <v>2.0</v>
      </c>
      <c r="B31" s="71" t="s">
        <v>116</v>
      </c>
      <c r="C31" s="72">
        <f t="array" ref="C31">'9º Ano - 902'!$C$17</f>
        <v>31</v>
      </c>
      <c r="D31" s="72">
        <f t="array" ref="D31">'9º Ano - 902'!$C$18</f>
        <v>25</v>
      </c>
      <c r="E31" s="72">
        <f t="array" ref="E31">'9º Ano - 902'!$C$19</f>
        <v>6</v>
      </c>
      <c r="F31" s="72">
        <f t="array" ref="F31">'9º Ano - 902'!$C$20</f>
        <v>0</v>
      </c>
      <c r="G31" s="72">
        <f t="array" ref="G31:BE31">'9º Ano - 902'!$D$70:$BB$70</f>
        <v>5</v>
      </c>
      <c r="H31" s="73">
        <v>4.0</v>
      </c>
      <c r="I31" s="73">
        <v>2.0</v>
      </c>
      <c r="J31" s="73">
        <v>5.0</v>
      </c>
      <c r="K31" s="73">
        <v>5.0</v>
      </c>
      <c r="L31" s="73">
        <v>2.0</v>
      </c>
      <c r="M31" s="73">
        <v>4.0</v>
      </c>
      <c r="N31" s="73">
        <v>2.0</v>
      </c>
      <c r="O31" s="73">
        <v>11.0</v>
      </c>
      <c r="P31" s="73">
        <v>5.0</v>
      </c>
      <c r="Q31" s="73">
        <v>6.0</v>
      </c>
      <c r="R31" s="73">
        <v>3.0</v>
      </c>
      <c r="S31" s="73">
        <v>3.0</v>
      </c>
      <c r="T31" s="73">
        <v>7.0</v>
      </c>
      <c r="U31" s="73">
        <v>5.0</v>
      </c>
      <c r="V31" s="73">
        <v>1.0</v>
      </c>
      <c r="W31" s="73">
        <v>13.0</v>
      </c>
      <c r="X31" s="73">
        <v>5.0</v>
      </c>
      <c r="Y31" s="73">
        <v>5.0</v>
      </c>
      <c r="Z31" s="73">
        <v>2.0</v>
      </c>
      <c r="AA31" s="250">
        <v>2.0</v>
      </c>
      <c r="AB31" s="251">
        <v>4.0</v>
      </c>
      <c r="AC31" s="251">
        <v>3.0</v>
      </c>
      <c r="AD31" s="251">
        <v>1.0</v>
      </c>
      <c r="AE31" s="252">
        <v>2.0</v>
      </c>
      <c r="AF31" s="73">
        <v>9.0</v>
      </c>
      <c r="AG31" s="73">
        <v>3.0</v>
      </c>
      <c r="AH31" s="73">
        <v>2.0</v>
      </c>
      <c r="AI31" s="73">
        <v>7.0</v>
      </c>
      <c r="AJ31" s="73">
        <v>3.0</v>
      </c>
      <c r="AK31" s="73">
        <v>8.0</v>
      </c>
      <c r="AL31" s="73">
        <v>6.0</v>
      </c>
      <c r="AM31" s="73">
        <v>4.0</v>
      </c>
      <c r="AN31" s="73">
        <v>3.0</v>
      </c>
      <c r="AO31" s="73">
        <v>2.0</v>
      </c>
      <c r="AP31" s="73">
        <v>5.0</v>
      </c>
      <c r="AQ31" s="73">
        <v>5.0</v>
      </c>
      <c r="AR31" s="73">
        <v>12.0</v>
      </c>
      <c r="AS31" s="73">
        <v>7.0</v>
      </c>
      <c r="AT31" s="73">
        <v>8.0</v>
      </c>
      <c r="AU31" s="73">
        <v>10.0</v>
      </c>
      <c r="AV31" s="73">
        <v>6.0</v>
      </c>
      <c r="AW31" s="73">
        <v>9.0</v>
      </c>
      <c r="AX31" s="73">
        <v>8.0</v>
      </c>
      <c r="AY31" s="73">
        <v>5.0</v>
      </c>
      <c r="AZ31" s="73">
        <v>8.0</v>
      </c>
      <c r="BA31" s="73">
        <v>5.0</v>
      </c>
      <c r="BB31" s="73">
        <v>6.0</v>
      </c>
      <c r="BC31" s="73">
        <v>9.0</v>
      </c>
      <c r="BD31" s="73">
        <v>5.0</v>
      </c>
      <c r="BE31" s="73">
        <v>6.0</v>
      </c>
      <c r="BG31" s="75"/>
      <c r="BH31" s="248"/>
      <c r="BI31" s="248"/>
      <c r="BJ31" s="248"/>
      <c r="BK31" s="248"/>
      <c r="BL31" s="77"/>
      <c r="BM31" s="78"/>
      <c r="BN31" s="79"/>
      <c r="BO31" s="79"/>
      <c r="BP31" s="249"/>
      <c r="BQ31" s="25"/>
    </row>
    <row r="32" ht="15.75" customHeight="1">
      <c r="A32" s="80">
        <v>3.0</v>
      </c>
      <c r="B32" s="71" t="s">
        <v>117</v>
      </c>
      <c r="C32" s="72">
        <f t="array" ref="C32">'9º Ano - 903'!$C$17</f>
        <v>22</v>
      </c>
      <c r="D32" s="72">
        <f t="array" ref="D32">'9º Ano - 903'!$C$18</f>
        <v>17</v>
      </c>
      <c r="E32" s="72">
        <f t="array" ref="E32">'9º Ano - 903'!$C$19</f>
        <v>5</v>
      </c>
      <c r="F32" s="72">
        <f t="array" ref="F32">'9º Ano - 903'!$C$20</f>
        <v>0</v>
      </c>
      <c r="G32" s="72">
        <f t="array" ref="G32:BE32">'9º Ano - 903'!$D$70:$BB$70</f>
        <v>2</v>
      </c>
      <c r="H32" s="73">
        <v>2.0</v>
      </c>
      <c r="I32" s="73">
        <v>1.0</v>
      </c>
      <c r="J32" s="73">
        <v>1.0</v>
      </c>
      <c r="K32" s="73">
        <v>4.0</v>
      </c>
      <c r="L32" s="73">
        <v>3.0</v>
      </c>
      <c r="M32" s="73">
        <v>2.0</v>
      </c>
      <c r="N32" s="73">
        <v>4.0</v>
      </c>
      <c r="O32" s="73">
        <v>9.0</v>
      </c>
      <c r="P32" s="73">
        <v>2.0</v>
      </c>
      <c r="Q32" s="73">
        <v>6.0</v>
      </c>
      <c r="R32" s="73">
        <v>1.0</v>
      </c>
      <c r="S32" s="73">
        <v>3.0</v>
      </c>
      <c r="T32" s="73">
        <v>4.0</v>
      </c>
      <c r="U32" s="73">
        <v>1.0</v>
      </c>
      <c r="V32" s="73">
        <v>1.0</v>
      </c>
      <c r="W32" s="73">
        <v>9.0</v>
      </c>
      <c r="X32" s="73">
        <v>1.0</v>
      </c>
      <c r="Y32" s="73">
        <v>4.0</v>
      </c>
      <c r="Z32" s="73">
        <v>1.0</v>
      </c>
      <c r="AA32" s="250">
        <v>5.0</v>
      </c>
      <c r="AB32" s="251">
        <v>7.0</v>
      </c>
      <c r="AC32" s="251">
        <v>4.0</v>
      </c>
      <c r="AD32" s="251">
        <v>1.0</v>
      </c>
      <c r="AE32" s="252">
        <v>3.0</v>
      </c>
      <c r="AF32" s="73">
        <v>5.0</v>
      </c>
      <c r="AG32" s="73">
        <v>3.0</v>
      </c>
      <c r="AH32" s="73">
        <v>2.0</v>
      </c>
      <c r="AI32" s="73">
        <v>4.0</v>
      </c>
      <c r="AJ32" s="73">
        <v>5.0</v>
      </c>
      <c r="AK32" s="73">
        <v>4.0</v>
      </c>
      <c r="AL32" s="73">
        <v>2.0</v>
      </c>
      <c r="AM32" s="73">
        <v>5.0</v>
      </c>
      <c r="AN32" s="73">
        <v>7.0</v>
      </c>
      <c r="AO32" s="73">
        <v>1.0</v>
      </c>
      <c r="AP32" s="73">
        <v>1.0</v>
      </c>
      <c r="AQ32" s="73">
        <v>3.0</v>
      </c>
      <c r="AR32" s="73">
        <v>5.0</v>
      </c>
      <c r="AS32" s="73">
        <v>4.0</v>
      </c>
      <c r="AT32" s="73">
        <v>2.0</v>
      </c>
      <c r="AU32" s="73">
        <v>3.0</v>
      </c>
      <c r="AV32" s="73">
        <v>6.0</v>
      </c>
      <c r="AW32" s="73">
        <v>6.0</v>
      </c>
      <c r="AX32" s="73">
        <v>4.0</v>
      </c>
      <c r="AY32" s="73">
        <v>3.0</v>
      </c>
      <c r="AZ32" s="73">
        <v>4.0</v>
      </c>
      <c r="BA32" s="73">
        <v>6.0</v>
      </c>
      <c r="BB32" s="73">
        <v>5.0</v>
      </c>
      <c r="BC32" s="73">
        <v>5.0</v>
      </c>
      <c r="BD32" s="73">
        <v>3.0</v>
      </c>
      <c r="BE32" s="73">
        <v>4.0</v>
      </c>
      <c r="BG32" s="75"/>
      <c r="BH32" s="248"/>
      <c r="BI32" s="248"/>
      <c r="BJ32" s="248"/>
      <c r="BK32" s="248"/>
      <c r="BL32" s="77"/>
      <c r="BM32" s="78"/>
      <c r="BN32" s="79"/>
      <c r="BO32" s="79"/>
      <c r="BP32" s="249"/>
      <c r="BQ32" s="25"/>
    </row>
    <row r="33" ht="15.75" customHeight="1">
      <c r="A33" s="80">
        <v>4.0</v>
      </c>
      <c r="B33" s="71" t="s">
        <v>118</v>
      </c>
      <c r="C33" s="72">
        <f t="array" ref="C33">'9º Ano - 904'!$C$17</f>
        <v>27</v>
      </c>
      <c r="D33" s="72">
        <f t="array" ref="D33">'9º Ano - 904'!$C$18</f>
        <v>25</v>
      </c>
      <c r="E33" s="72">
        <f t="array" ref="E33">'9º Ano - 904'!$C$19</f>
        <v>2</v>
      </c>
      <c r="F33" s="72">
        <f t="array" ref="F33">'9º Ano - 904'!$C$20</f>
        <v>1</v>
      </c>
      <c r="G33" s="72">
        <f t="array" ref="G33:BE33">'9º Ano - 904'!$D$70:$BB$70</f>
        <v>3</v>
      </c>
      <c r="H33" s="73">
        <v>4.0</v>
      </c>
      <c r="I33" s="73">
        <v>2.0</v>
      </c>
      <c r="J33" s="73">
        <v>7.0</v>
      </c>
      <c r="K33" s="73">
        <v>6.0</v>
      </c>
      <c r="L33" s="73">
        <v>8.0</v>
      </c>
      <c r="M33" s="73">
        <v>4.0</v>
      </c>
      <c r="N33" s="73">
        <v>7.0</v>
      </c>
      <c r="O33" s="73">
        <v>4.0</v>
      </c>
      <c r="P33" s="73">
        <v>10.0</v>
      </c>
      <c r="Q33" s="73">
        <v>6.0</v>
      </c>
      <c r="R33" s="73">
        <v>4.0</v>
      </c>
      <c r="S33" s="73">
        <v>5.0</v>
      </c>
      <c r="T33" s="73">
        <v>4.0</v>
      </c>
      <c r="U33" s="73">
        <v>4.0</v>
      </c>
      <c r="V33" s="73">
        <v>2.0</v>
      </c>
      <c r="W33" s="73">
        <v>12.0</v>
      </c>
      <c r="X33" s="73">
        <v>2.0</v>
      </c>
      <c r="Y33" s="73">
        <v>5.0</v>
      </c>
      <c r="Z33" s="73">
        <v>5.0</v>
      </c>
      <c r="AA33" s="250">
        <v>7.0</v>
      </c>
      <c r="AB33" s="251">
        <v>5.0</v>
      </c>
      <c r="AC33" s="251">
        <v>9.0</v>
      </c>
      <c r="AD33" s="251">
        <v>7.0</v>
      </c>
      <c r="AE33" s="252">
        <v>3.0</v>
      </c>
      <c r="AF33" s="73">
        <v>14.0</v>
      </c>
      <c r="AG33" s="73">
        <v>8.0</v>
      </c>
      <c r="AH33" s="73">
        <v>3.0</v>
      </c>
      <c r="AI33" s="73">
        <v>6.0</v>
      </c>
      <c r="AJ33" s="73">
        <v>6.0</v>
      </c>
      <c r="AK33" s="73">
        <v>6.0</v>
      </c>
      <c r="AL33" s="73">
        <v>5.0</v>
      </c>
      <c r="AM33" s="73">
        <v>8.0</v>
      </c>
      <c r="AN33" s="73">
        <v>5.0</v>
      </c>
      <c r="AO33" s="73">
        <v>2.0</v>
      </c>
      <c r="AP33" s="73">
        <v>5.0</v>
      </c>
      <c r="AQ33" s="73">
        <v>8.0</v>
      </c>
      <c r="AR33" s="73">
        <v>6.0</v>
      </c>
      <c r="AS33" s="73">
        <v>5.0</v>
      </c>
      <c r="AT33" s="73">
        <v>4.0</v>
      </c>
      <c r="AU33" s="73">
        <v>9.0</v>
      </c>
      <c r="AV33" s="73">
        <v>6.0</v>
      </c>
      <c r="AW33" s="73">
        <v>6.0</v>
      </c>
      <c r="AX33" s="73">
        <v>3.0</v>
      </c>
      <c r="AY33" s="73">
        <v>7.0</v>
      </c>
      <c r="AZ33" s="73">
        <v>7.0</v>
      </c>
      <c r="BA33" s="73">
        <v>4.0</v>
      </c>
      <c r="BB33" s="73">
        <v>2.0</v>
      </c>
      <c r="BC33" s="73">
        <v>9.0</v>
      </c>
      <c r="BD33" s="73">
        <v>6.0</v>
      </c>
      <c r="BE33" s="73">
        <v>7.0</v>
      </c>
      <c r="BG33" s="75"/>
      <c r="BH33" s="248"/>
      <c r="BI33" s="248"/>
      <c r="BJ33" s="248"/>
      <c r="BK33" s="248"/>
      <c r="BL33" s="77"/>
      <c r="BM33" s="78"/>
      <c r="BN33" s="79"/>
      <c r="BO33" s="79"/>
      <c r="BP33" s="249"/>
      <c r="BQ33" s="25"/>
    </row>
    <row r="34" ht="15.75" customHeight="1">
      <c r="A34" s="80">
        <v>5.0</v>
      </c>
      <c r="B34" s="71"/>
      <c r="C34" s="72"/>
      <c r="D34" s="72"/>
      <c r="E34" s="72"/>
      <c r="F34" s="72"/>
      <c r="G34" s="72"/>
      <c r="H34" s="73"/>
      <c r="I34" s="73"/>
      <c r="J34" s="73"/>
      <c r="K34" s="73"/>
      <c r="L34" s="73"/>
      <c r="M34" s="73"/>
      <c r="N34" s="73"/>
      <c r="O34" s="73"/>
      <c r="P34" s="73"/>
      <c r="Q34" s="73"/>
      <c r="R34" s="73"/>
      <c r="S34" s="73"/>
      <c r="T34" s="73"/>
      <c r="U34" s="73"/>
      <c r="V34" s="73"/>
      <c r="W34" s="73"/>
      <c r="X34" s="73"/>
      <c r="Y34" s="73"/>
      <c r="Z34" s="73"/>
      <c r="AA34" s="250"/>
      <c r="AB34" s="251"/>
      <c r="AC34" s="251"/>
      <c r="AD34" s="251"/>
      <c r="AE34" s="252"/>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G34" s="75"/>
      <c r="BH34" s="248"/>
      <c r="BI34" s="248"/>
      <c r="BJ34" s="248"/>
      <c r="BK34" s="248"/>
      <c r="BL34" s="77"/>
      <c r="BM34" s="78"/>
      <c r="BN34" s="79"/>
      <c r="BO34" s="79"/>
      <c r="BP34" s="249"/>
      <c r="BQ34" s="25"/>
    </row>
    <row r="35" ht="15.75" customHeight="1">
      <c r="A35" s="80">
        <v>5.0</v>
      </c>
      <c r="B35" s="71"/>
      <c r="C35" s="72"/>
      <c r="D35" s="72"/>
      <c r="E35" s="72"/>
      <c r="F35" s="72"/>
      <c r="G35" s="72"/>
      <c r="H35" s="73"/>
      <c r="I35" s="73"/>
      <c r="J35" s="73"/>
      <c r="K35" s="73"/>
      <c r="L35" s="73"/>
      <c r="M35" s="73"/>
      <c r="N35" s="73"/>
      <c r="O35" s="73"/>
      <c r="P35" s="73"/>
      <c r="Q35" s="73"/>
      <c r="R35" s="73"/>
      <c r="S35" s="73"/>
      <c r="T35" s="73"/>
      <c r="U35" s="73"/>
      <c r="V35" s="73"/>
      <c r="W35" s="73"/>
      <c r="X35" s="73"/>
      <c r="Y35" s="73"/>
      <c r="Z35" s="73"/>
      <c r="AA35" s="250"/>
      <c r="AB35" s="251"/>
      <c r="AC35" s="251"/>
      <c r="AD35" s="251"/>
      <c r="AE35" s="252"/>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G35" s="75"/>
      <c r="BH35" s="248"/>
      <c r="BI35" s="248"/>
      <c r="BJ35" s="248"/>
      <c r="BK35" s="248"/>
      <c r="BL35" s="77"/>
      <c r="BM35" s="78"/>
      <c r="BN35" s="79"/>
      <c r="BO35" s="79"/>
      <c r="BP35" s="249"/>
      <c r="BQ35" s="25"/>
    </row>
    <row r="36" ht="15.75" customHeight="1">
      <c r="A36" s="80">
        <v>5.0</v>
      </c>
      <c r="B36" s="71"/>
      <c r="C36" s="72"/>
      <c r="D36" s="72"/>
      <c r="E36" s="72"/>
      <c r="F36" s="72"/>
      <c r="G36" s="72"/>
      <c r="H36" s="73"/>
      <c r="I36" s="73"/>
      <c r="J36" s="73"/>
      <c r="K36" s="73"/>
      <c r="L36" s="73"/>
      <c r="M36" s="73"/>
      <c r="N36" s="73"/>
      <c r="O36" s="73"/>
      <c r="P36" s="73"/>
      <c r="Q36" s="73"/>
      <c r="R36" s="73"/>
      <c r="S36" s="73"/>
      <c r="T36" s="73"/>
      <c r="U36" s="73"/>
      <c r="V36" s="73"/>
      <c r="W36" s="73"/>
      <c r="X36" s="73"/>
      <c r="Y36" s="73"/>
      <c r="Z36" s="73"/>
      <c r="AA36" s="250"/>
      <c r="AB36" s="251"/>
      <c r="AC36" s="251"/>
      <c r="AD36" s="251"/>
      <c r="AE36" s="252"/>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3"/>
      <c r="BD36" s="73"/>
      <c r="BE36" s="73"/>
      <c r="BG36" s="75"/>
      <c r="BH36" s="248"/>
      <c r="BI36" s="248"/>
      <c r="BJ36" s="248"/>
      <c r="BK36" s="248"/>
      <c r="BL36" s="77"/>
      <c r="BM36" s="78"/>
      <c r="BN36" s="79"/>
      <c r="BO36" s="79"/>
      <c r="BP36" s="249"/>
      <c r="BQ36" s="25"/>
    </row>
    <row r="37" ht="15.75" customHeight="1">
      <c r="A37" s="80">
        <v>5.0</v>
      </c>
      <c r="B37" s="71"/>
      <c r="C37" s="72"/>
      <c r="D37" s="72"/>
      <c r="E37" s="72"/>
      <c r="F37" s="72"/>
      <c r="G37" s="72"/>
      <c r="H37" s="73"/>
      <c r="I37" s="73"/>
      <c r="J37" s="73"/>
      <c r="K37" s="73"/>
      <c r="L37" s="73"/>
      <c r="M37" s="73"/>
      <c r="N37" s="73"/>
      <c r="O37" s="73"/>
      <c r="P37" s="73"/>
      <c r="Q37" s="73"/>
      <c r="R37" s="73"/>
      <c r="S37" s="73"/>
      <c r="T37" s="73"/>
      <c r="U37" s="73"/>
      <c r="V37" s="73"/>
      <c r="W37" s="73"/>
      <c r="X37" s="73"/>
      <c r="Y37" s="73"/>
      <c r="Z37" s="73"/>
      <c r="AA37" s="250"/>
      <c r="AB37" s="251"/>
      <c r="AC37" s="251"/>
      <c r="AD37" s="251"/>
      <c r="AE37" s="252"/>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3"/>
      <c r="BD37" s="73"/>
      <c r="BE37" s="73"/>
      <c r="BG37" s="75"/>
      <c r="BH37" s="248"/>
      <c r="BI37" s="248"/>
      <c r="BJ37" s="248"/>
      <c r="BK37" s="248"/>
      <c r="BL37" s="77"/>
      <c r="BM37" s="78"/>
      <c r="BN37" s="79"/>
      <c r="BO37" s="79"/>
      <c r="BP37" s="249"/>
      <c r="BQ37" s="25"/>
    </row>
    <row r="38" ht="15.75" customHeight="1">
      <c r="A38" s="80">
        <v>5.0</v>
      </c>
      <c r="B38" s="71"/>
      <c r="C38" s="72"/>
      <c r="D38" s="72"/>
      <c r="E38" s="72"/>
      <c r="F38" s="72"/>
      <c r="G38" s="72"/>
      <c r="H38" s="73"/>
      <c r="I38" s="73"/>
      <c r="J38" s="73"/>
      <c r="K38" s="73"/>
      <c r="L38" s="73"/>
      <c r="M38" s="73"/>
      <c r="N38" s="73"/>
      <c r="O38" s="73"/>
      <c r="P38" s="73"/>
      <c r="Q38" s="73"/>
      <c r="R38" s="73"/>
      <c r="S38" s="73"/>
      <c r="T38" s="73"/>
      <c r="U38" s="73"/>
      <c r="V38" s="73"/>
      <c r="W38" s="73"/>
      <c r="X38" s="73"/>
      <c r="Y38" s="73"/>
      <c r="Z38" s="73"/>
      <c r="AA38" s="250"/>
      <c r="AB38" s="251"/>
      <c r="AC38" s="251"/>
      <c r="AD38" s="251"/>
      <c r="AE38" s="252"/>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G38" s="75"/>
      <c r="BH38" s="248"/>
      <c r="BI38" s="248"/>
      <c r="BJ38" s="248"/>
      <c r="BK38" s="248"/>
      <c r="BL38" s="77"/>
      <c r="BM38" s="78"/>
      <c r="BN38" s="79"/>
      <c r="BO38" s="79"/>
      <c r="BP38" s="249"/>
      <c r="BQ38" s="25"/>
    </row>
    <row r="39" ht="15.75" customHeight="1">
      <c r="A39" s="80">
        <v>5.0</v>
      </c>
      <c r="B39" s="71"/>
      <c r="C39" s="72"/>
      <c r="D39" s="72"/>
      <c r="E39" s="72"/>
      <c r="F39" s="72"/>
      <c r="G39" s="72"/>
      <c r="H39" s="73"/>
      <c r="I39" s="73"/>
      <c r="J39" s="73"/>
      <c r="K39" s="73"/>
      <c r="L39" s="73"/>
      <c r="M39" s="73"/>
      <c r="N39" s="73"/>
      <c r="O39" s="73"/>
      <c r="P39" s="73"/>
      <c r="Q39" s="73"/>
      <c r="R39" s="73"/>
      <c r="S39" s="73"/>
      <c r="T39" s="73"/>
      <c r="U39" s="73"/>
      <c r="V39" s="73"/>
      <c r="W39" s="73"/>
      <c r="X39" s="73"/>
      <c r="Y39" s="73"/>
      <c r="Z39" s="73"/>
      <c r="AA39" s="250"/>
      <c r="AB39" s="251"/>
      <c r="AC39" s="251"/>
      <c r="AD39" s="251"/>
      <c r="AE39" s="252"/>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G39" s="75"/>
      <c r="BH39" s="248"/>
      <c r="BI39" s="248"/>
      <c r="BJ39" s="248"/>
      <c r="BK39" s="248"/>
      <c r="BL39" s="77"/>
      <c r="BM39" s="78"/>
      <c r="BN39" s="79"/>
      <c r="BO39" s="79"/>
      <c r="BP39" s="249"/>
      <c r="BQ39" s="25"/>
    </row>
    <row r="40" ht="15.75" customHeight="1">
      <c r="A40" s="82"/>
      <c r="B40" s="253"/>
      <c r="C40" s="254">
        <f t="shared" ref="C40:BE40" si="1">SUM(C30:C39)</f>
        <v>110</v>
      </c>
      <c r="D40" s="254">
        <f t="shared" si="1"/>
        <v>93</v>
      </c>
      <c r="E40" s="254">
        <f t="shared" si="1"/>
        <v>17</v>
      </c>
      <c r="F40" s="254">
        <f t="shared" si="1"/>
        <v>1</v>
      </c>
      <c r="G40" s="255">
        <f t="shared" si="1"/>
        <v>12</v>
      </c>
      <c r="H40" s="254">
        <f t="shared" si="1"/>
        <v>18</v>
      </c>
      <c r="I40" s="254">
        <f t="shared" si="1"/>
        <v>6</v>
      </c>
      <c r="J40" s="254">
        <f t="shared" si="1"/>
        <v>15</v>
      </c>
      <c r="K40" s="254">
        <f t="shared" si="1"/>
        <v>22</v>
      </c>
      <c r="L40" s="254">
        <f t="shared" si="1"/>
        <v>20</v>
      </c>
      <c r="M40" s="254">
        <f t="shared" si="1"/>
        <v>17</v>
      </c>
      <c r="N40" s="254">
        <f t="shared" si="1"/>
        <v>17</v>
      </c>
      <c r="O40" s="254">
        <f t="shared" si="1"/>
        <v>34</v>
      </c>
      <c r="P40" s="254">
        <f t="shared" si="1"/>
        <v>25</v>
      </c>
      <c r="Q40" s="254">
        <f t="shared" si="1"/>
        <v>19</v>
      </c>
      <c r="R40" s="254">
        <f t="shared" si="1"/>
        <v>11</v>
      </c>
      <c r="S40" s="254">
        <f t="shared" si="1"/>
        <v>16</v>
      </c>
      <c r="T40" s="254">
        <f t="shared" si="1"/>
        <v>17</v>
      </c>
      <c r="U40" s="254">
        <f t="shared" si="1"/>
        <v>12</v>
      </c>
      <c r="V40" s="254">
        <f t="shared" si="1"/>
        <v>7</v>
      </c>
      <c r="W40" s="254">
        <f t="shared" si="1"/>
        <v>51</v>
      </c>
      <c r="X40" s="254">
        <f t="shared" si="1"/>
        <v>13</v>
      </c>
      <c r="Y40" s="254">
        <f t="shared" si="1"/>
        <v>21</v>
      </c>
      <c r="Z40" s="254">
        <f t="shared" si="1"/>
        <v>15</v>
      </c>
      <c r="AA40" s="254">
        <f t="shared" si="1"/>
        <v>20</v>
      </c>
      <c r="AB40" s="254">
        <f t="shared" si="1"/>
        <v>32</v>
      </c>
      <c r="AC40" s="254">
        <f t="shared" si="1"/>
        <v>18</v>
      </c>
      <c r="AD40" s="254">
        <f t="shared" si="1"/>
        <v>14</v>
      </c>
      <c r="AE40" s="256">
        <f t="shared" si="1"/>
        <v>15</v>
      </c>
      <c r="AF40" s="254">
        <f t="shared" si="1"/>
        <v>32</v>
      </c>
      <c r="AG40" s="254">
        <f t="shared" si="1"/>
        <v>25</v>
      </c>
      <c r="AH40" s="254">
        <f t="shared" si="1"/>
        <v>9</v>
      </c>
      <c r="AI40" s="254">
        <f t="shared" si="1"/>
        <v>25</v>
      </c>
      <c r="AJ40" s="254">
        <f t="shared" si="1"/>
        <v>23</v>
      </c>
      <c r="AK40" s="254">
        <f t="shared" si="1"/>
        <v>21</v>
      </c>
      <c r="AL40" s="254">
        <f t="shared" si="1"/>
        <v>23</v>
      </c>
      <c r="AM40" s="254">
        <f t="shared" si="1"/>
        <v>26</v>
      </c>
      <c r="AN40" s="254">
        <f t="shared" si="1"/>
        <v>19</v>
      </c>
      <c r="AO40" s="254">
        <f t="shared" si="1"/>
        <v>11</v>
      </c>
      <c r="AP40" s="254">
        <f t="shared" si="1"/>
        <v>19</v>
      </c>
      <c r="AQ40" s="254">
        <f t="shared" si="1"/>
        <v>23</v>
      </c>
      <c r="AR40" s="254">
        <f t="shared" si="1"/>
        <v>32</v>
      </c>
      <c r="AS40" s="254">
        <f t="shared" si="1"/>
        <v>22</v>
      </c>
      <c r="AT40" s="254">
        <f t="shared" si="1"/>
        <v>21</v>
      </c>
      <c r="AU40" s="254">
        <f t="shared" si="1"/>
        <v>32</v>
      </c>
      <c r="AV40" s="254">
        <f t="shared" si="1"/>
        <v>28</v>
      </c>
      <c r="AW40" s="254">
        <f t="shared" si="1"/>
        <v>23</v>
      </c>
      <c r="AX40" s="254">
        <f t="shared" si="1"/>
        <v>21</v>
      </c>
      <c r="AY40" s="254">
        <f t="shared" si="1"/>
        <v>17</v>
      </c>
      <c r="AZ40" s="254">
        <f t="shared" si="1"/>
        <v>29</v>
      </c>
      <c r="BA40" s="254">
        <f t="shared" si="1"/>
        <v>21</v>
      </c>
      <c r="BB40" s="254">
        <f t="shared" si="1"/>
        <v>17</v>
      </c>
      <c r="BC40" s="254">
        <f t="shared" si="1"/>
        <v>30</v>
      </c>
      <c r="BD40" s="254">
        <f t="shared" si="1"/>
        <v>22</v>
      </c>
      <c r="BE40" s="254">
        <f t="shared" si="1"/>
        <v>20</v>
      </c>
      <c r="BG40" s="84"/>
      <c r="BH40" s="85"/>
      <c r="BI40" s="85"/>
      <c r="BJ40" s="85"/>
      <c r="BK40" s="85"/>
      <c r="BL40" s="85"/>
      <c r="BM40" s="85"/>
      <c r="BN40" s="85"/>
      <c r="BO40" s="85"/>
      <c r="BP40" s="146"/>
    </row>
    <row r="41" ht="25.5" customHeight="1">
      <c r="BF41" s="88"/>
    </row>
    <row r="42" ht="12.0" customHeight="1">
      <c r="A42" s="89"/>
      <c r="B42" s="90"/>
      <c r="C42" s="90"/>
      <c r="D42" s="90"/>
      <c r="E42" s="90"/>
      <c r="F42" s="90"/>
      <c r="G42" s="257" t="s">
        <v>51</v>
      </c>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41"/>
      <c r="AN42" s="93"/>
      <c r="AO42" s="258"/>
    </row>
    <row r="43" ht="12.0" customHeight="1">
      <c r="A43" s="94"/>
      <c r="B43" s="95"/>
      <c r="C43" s="95"/>
      <c r="D43" s="95"/>
      <c r="E43" s="95"/>
      <c r="F43" s="95"/>
      <c r="G43" s="96" t="s">
        <v>52</v>
      </c>
      <c r="H43" s="97"/>
      <c r="I43" s="98" t="s">
        <v>53</v>
      </c>
      <c r="J43" s="259" t="s">
        <v>54</v>
      </c>
      <c r="K43" s="260" t="s">
        <v>55</v>
      </c>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97"/>
      <c r="AN43" s="101"/>
    </row>
    <row r="44">
      <c r="A44" s="94"/>
      <c r="B44" s="95"/>
      <c r="C44" s="95"/>
      <c r="D44" s="95"/>
      <c r="E44" s="95"/>
      <c r="F44" s="95"/>
      <c r="G44" s="102"/>
      <c r="H44" s="24"/>
      <c r="I44" s="65"/>
      <c r="J44" s="102"/>
      <c r="K44" s="102"/>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4"/>
      <c r="AN44" s="101"/>
      <c r="AO44" s="261"/>
      <c r="AP44" s="261"/>
      <c r="AQ44" s="262"/>
      <c r="AR44" s="263"/>
      <c r="AS44" s="262"/>
      <c r="AT44" s="263"/>
      <c r="AU44" s="262"/>
      <c r="AV44" s="263"/>
      <c r="AW44" s="262"/>
      <c r="AX44" s="263"/>
      <c r="AY44" s="262"/>
      <c r="AZ44" s="263"/>
    </row>
    <row r="45">
      <c r="A45" s="94"/>
      <c r="B45" s="95"/>
      <c r="C45" s="95"/>
      <c r="D45" s="95"/>
      <c r="E45" s="95"/>
      <c r="F45" s="95"/>
      <c r="G45" s="264" t="s">
        <v>16</v>
      </c>
      <c r="H45" s="112">
        <v>1.0</v>
      </c>
      <c r="I45" s="113">
        <f>G40</f>
        <v>12</v>
      </c>
      <c r="J45" s="265">
        <f t="shared" ref="J45:J95" si="2">SUM(I45/F$17*100)</f>
        <v>10.90909091</v>
      </c>
      <c r="K45" s="266" t="s">
        <v>119</v>
      </c>
      <c r="L45" s="267"/>
      <c r="M45" s="267"/>
      <c r="N45" s="267"/>
      <c r="O45" s="267"/>
      <c r="P45" s="267"/>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8"/>
      <c r="AN45" s="111"/>
      <c r="AO45" s="269"/>
      <c r="AP45" s="270"/>
      <c r="AQ45" s="271"/>
      <c r="AR45" s="272"/>
      <c r="AS45" s="271"/>
      <c r="AT45" s="272"/>
      <c r="AU45" s="271"/>
      <c r="AV45" s="272"/>
      <c r="AW45" s="271"/>
      <c r="AX45" s="272"/>
      <c r="AY45" s="271"/>
      <c r="AZ45" s="272"/>
    </row>
    <row r="46">
      <c r="A46" s="94"/>
      <c r="B46" s="95"/>
      <c r="C46" s="95"/>
      <c r="D46" s="95"/>
      <c r="E46" s="95"/>
      <c r="F46" s="95"/>
      <c r="G46" s="47"/>
      <c r="H46" s="112">
        <v>2.0</v>
      </c>
      <c r="I46" s="113">
        <f>H40</f>
        <v>18</v>
      </c>
      <c r="J46" s="265">
        <f t="shared" si="2"/>
        <v>16.36363636</v>
      </c>
      <c r="K46" s="266" t="s">
        <v>119</v>
      </c>
      <c r="L46" s="267"/>
      <c r="M46" s="267"/>
      <c r="N46" s="267"/>
      <c r="O46" s="267"/>
      <c r="P46" s="267"/>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8"/>
      <c r="AN46" s="111"/>
      <c r="AO46" s="269"/>
      <c r="AP46" s="270"/>
      <c r="AQ46" s="271"/>
      <c r="AR46" s="272"/>
      <c r="AS46" s="271"/>
      <c r="AT46" s="272"/>
      <c r="AU46" s="271"/>
      <c r="AV46" s="272"/>
      <c r="AW46" s="271"/>
      <c r="AX46" s="272"/>
      <c r="AY46" s="271"/>
      <c r="AZ46" s="272"/>
    </row>
    <row r="47">
      <c r="A47" s="94"/>
      <c r="B47" s="95"/>
      <c r="C47" s="95"/>
      <c r="D47" s="95"/>
      <c r="E47" s="95"/>
      <c r="F47" s="95"/>
      <c r="G47" s="47"/>
      <c r="H47" s="112">
        <v>3.0</v>
      </c>
      <c r="I47" s="114">
        <f>I40</f>
        <v>6</v>
      </c>
      <c r="J47" s="265">
        <f t="shared" si="2"/>
        <v>5.454545455</v>
      </c>
      <c r="K47" s="266" t="s">
        <v>120</v>
      </c>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8"/>
      <c r="AN47" s="111"/>
      <c r="AO47" s="269"/>
      <c r="AP47" s="270"/>
      <c r="AQ47" s="271"/>
      <c r="AR47" s="272"/>
      <c r="AS47" s="271"/>
      <c r="AT47" s="272"/>
      <c r="AU47" s="271"/>
      <c r="AV47" s="272"/>
      <c r="AW47" s="271"/>
      <c r="AX47" s="272"/>
      <c r="AY47" s="271"/>
      <c r="AZ47" s="272"/>
    </row>
    <row r="48">
      <c r="A48" s="94"/>
      <c r="B48" s="95"/>
      <c r="C48" s="95"/>
      <c r="D48" s="95"/>
      <c r="E48" s="95"/>
      <c r="F48" s="95"/>
      <c r="G48" s="47"/>
      <c r="H48" s="112">
        <v>4.0</v>
      </c>
      <c r="I48" s="113">
        <f>J40</f>
        <v>15</v>
      </c>
      <c r="J48" s="265">
        <f t="shared" si="2"/>
        <v>13.63636364</v>
      </c>
      <c r="K48" s="273" t="s">
        <v>121</v>
      </c>
      <c r="L48" s="267"/>
      <c r="M48" s="267"/>
      <c r="N48" s="267"/>
      <c r="O48" s="267"/>
      <c r="P48" s="267"/>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8"/>
      <c r="AN48" s="111"/>
      <c r="AO48" s="269"/>
      <c r="AP48" s="270"/>
      <c r="AQ48" s="271"/>
      <c r="AR48" s="272"/>
      <c r="AS48" s="271"/>
      <c r="AT48" s="272"/>
      <c r="AU48" s="271"/>
      <c r="AV48" s="272"/>
      <c r="AW48" s="271"/>
      <c r="AX48" s="272"/>
      <c r="AY48" s="271"/>
      <c r="AZ48" s="272"/>
    </row>
    <row r="49">
      <c r="A49" s="94"/>
      <c r="B49" s="95"/>
      <c r="C49" s="95"/>
      <c r="D49" s="95"/>
      <c r="E49" s="95"/>
      <c r="F49" s="95"/>
      <c r="G49" s="47"/>
      <c r="H49" s="112">
        <v>5.0</v>
      </c>
      <c r="I49" s="113">
        <f>K40</f>
        <v>22</v>
      </c>
      <c r="J49" s="265">
        <f t="shared" si="2"/>
        <v>20</v>
      </c>
      <c r="K49" s="274" t="s">
        <v>122</v>
      </c>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8"/>
      <c r="AN49" s="111"/>
      <c r="AO49" s="269"/>
      <c r="AP49" s="270"/>
      <c r="AQ49" s="271"/>
      <c r="AR49" s="272"/>
      <c r="AS49" s="271"/>
      <c r="AT49" s="272"/>
      <c r="AU49" s="271"/>
      <c r="AV49" s="272"/>
      <c r="AW49" s="271"/>
      <c r="AX49" s="272"/>
      <c r="AY49" s="271"/>
      <c r="AZ49" s="272"/>
    </row>
    <row r="50">
      <c r="A50" s="94"/>
      <c r="B50" s="95"/>
      <c r="C50" s="95"/>
      <c r="D50" s="95"/>
      <c r="E50" s="95"/>
      <c r="F50" s="95"/>
      <c r="G50" s="47"/>
      <c r="H50" s="112">
        <v>6.0</v>
      </c>
      <c r="I50" s="113">
        <f>L40</f>
        <v>20</v>
      </c>
      <c r="J50" s="265">
        <f t="shared" si="2"/>
        <v>18.18181818</v>
      </c>
      <c r="K50" s="275" t="s">
        <v>123</v>
      </c>
      <c r="L50" s="276"/>
      <c r="M50" s="276"/>
      <c r="N50" s="276"/>
      <c r="O50" s="276"/>
      <c r="P50" s="276"/>
      <c r="Q50" s="276"/>
      <c r="R50" s="276"/>
      <c r="S50" s="276"/>
      <c r="T50" s="276"/>
      <c r="U50" s="276"/>
      <c r="V50" s="276"/>
      <c r="W50" s="276"/>
      <c r="X50" s="276"/>
      <c r="Y50" s="276"/>
      <c r="Z50" s="276"/>
      <c r="AA50" s="276"/>
      <c r="AB50" s="276"/>
      <c r="AC50" s="276"/>
      <c r="AD50" s="276"/>
      <c r="AE50" s="276"/>
      <c r="AF50" s="276"/>
      <c r="AG50" s="276"/>
      <c r="AH50" s="276"/>
      <c r="AI50" s="276"/>
      <c r="AJ50" s="276"/>
      <c r="AK50" s="276"/>
      <c r="AL50" s="276"/>
      <c r="AM50" s="277"/>
      <c r="AN50" s="278"/>
      <c r="AO50" s="269"/>
      <c r="AP50" s="270"/>
      <c r="AQ50" s="271"/>
      <c r="AR50" s="272"/>
      <c r="AS50" s="271"/>
      <c r="AT50" s="272"/>
      <c r="AU50" s="271"/>
      <c r="AV50" s="272"/>
      <c r="AW50" s="271"/>
      <c r="AX50" s="272"/>
      <c r="AY50" s="271"/>
      <c r="AZ50" s="272"/>
    </row>
    <row r="51">
      <c r="A51" s="94"/>
      <c r="B51" s="95"/>
      <c r="C51" s="95"/>
      <c r="D51" s="95"/>
      <c r="E51" s="95"/>
      <c r="F51" s="95"/>
      <c r="G51" s="47"/>
      <c r="H51" s="112">
        <v>7.0</v>
      </c>
      <c r="I51" s="113">
        <f>M40</f>
        <v>17</v>
      </c>
      <c r="J51" s="265">
        <f t="shared" si="2"/>
        <v>15.45454545</v>
      </c>
      <c r="K51" s="273" t="s">
        <v>124</v>
      </c>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c r="AL51" s="276"/>
      <c r="AM51" s="277"/>
      <c r="AN51" s="111"/>
      <c r="AO51" s="269"/>
      <c r="AP51" s="270"/>
      <c r="AQ51" s="271"/>
      <c r="AR51" s="272"/>
      <c r="AS51" s="271"/>
      <c r="AT51" s="272"/>
      <c r="AU51" s="271"/>
      <c r="AV51" s="272"/>
      <c r="AW51" s="271"/>
      <c r="AX51" s="272"/>
      <c r="AY51" s="271"/>
      <c r="AZ51" s="272"/>
    </row>
    <row r="52">
      <c r="A52" s="94"/>
      <c r="B52" s="95"/>
      <c r="C52" s="95"/>
      <c r="D52" s="95"/>
      <c r="E52" s="95"/>
      <c r="F52" s="95"/>
      <c r="G52" s="47"/>
      <c r="H52" s="112">
        <v>8.0</v>
      </c>
      <c r="I52" s="113">
        <f>N40</f>
        <v>17</v>
      </c>
      <c r="J52" s="265">
        <f t="shared" si="2"/>
        <v>15.45454545</v>
      </c>
      <c r="K52" s="266" t="s">
        <v>123</v>
      </c>
      <c r="L52" s="279"/>
      <c r="M52" s="279"/>
      <c r="N52" s="279"/>
      <c r="O52" s="279"/>
      <c r="P52" s="279"/>
      <c r="Q52" s="279"/>
      <c r="R52" s="279"/>
      <c r="S52" s="279"/>
      <c r="T52" s="279"/>
      <c r="U52" s="279"/>
      <c r="V52" s="279"/>
      <c r="W52" s="279"/>
      <c r="X52" s="279"/>
      <c r="Y52" s="279"/>
      <c r="Z52" s="279"/>
      <c r="AA52" s="279"/>
      <c r="AB52" s="279"/>
      <c r="AC52" s="279"/>
      <c r="AD52" s="279"/>
      <c r="AE52" s="279"/>
      <c r="AF52" s="279"/>
      <c r="AG52" s="279"/>
      <c r="AH52" s="279"/>
      <c r="AI52" s="279"/>
      <c r="AJ52" s="279"/>
      <c r="AK52" s="279"/>
      <c r="AL52" s="279"/>
      <c r="AM52" s="280"/>
      <c r="AN52" s="115"/>
      <c r="AO52" s="269"/>
      <c r="AP52" s="270"/>
      <c r="AQ52" s="271"/>
      <c r="AR52" s="272"/>
      <c r="AS52" s="271"/>
      <c r="AT52" s="272"/>
      <c r="AU52" s="271"/>
      <c r="AV52" s="272"/>
      <c r="AW52" s="271"/>
      <c r="AX52" s="272"/>
      <c r="AY52" s="271"/>
      <c r="AZ52" s="272"/>
    </row>
    <row r="53">
      <c r="A53" s="94"/>
      <c r="B53" s="95"/>
      <c r="C53" s="95"/>
      <c r="D53" s="95"/>
      <c r="E53" s="95"/>
      <c r="F53" s="95"/>
      <c r="G53" s="47"/>
      <c r="H53" s="112">
        <v>9.0</v>
      </c>
      <c r="I53" s="113">
        <f>O40</f>
        <v>34</v>
      </c>
      <c r="J53" s="265">
        <f t="shared" si="2"/>
        <v>30.90909091</v>
      </c>
      <c r="K53" s="281" t="s">
        <v>125</v>
      </c>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8"/>
      <c r="AN53" s="111"/>
      <c r="AO53" s="269"/>
      <c r="AP53" s="270"/>
      <c r="AQ53" s="271"/>
      <c r="AR53" s="272"/>
      <c r="AS53" s="271"/>
      <c r="AT53" s="272"/>
      <c r="AU53" s="271"/>
      <c r="AV53" s="272"/>
      <c r="AW53" s="271"/>
      <c r="AX53" s="272"/>
      <c r="AY53" s="271"/>
      <c r="AZ53" s="272"/>
    </row>
    <row r="54">
      <c r="A54" s="94"/>
      <c r="B54" s="95"/>
      <c r="C54" s="95"/>
      <c r="D54" s="95"/>
      <c r="E54" s="95"/>
      <c r="F54" s="95"/>
      <c r="G54" s="47"/>
      <c r="H54" s="112">
        <v>10.0</v>
      </c>
      <c r="I54" s="113">
        <f>P40</f>
        <v>25</v>
      </c>
      <c r="J54" s="265">
        <f t="shared" si="2"/>
        <v>22.72727273</v>
      </c>
      <c r="K54" s="266" t="s">
        <v>123</v>
      </c>
      <c r="L54" s="267"/>
      <c r="M54" s="267"/>
      <c r="N54" s="267"/>
      <c r="O54" s="267"/>
      <c r="P54" s="267"/>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8"/>
      <c r="AN54" s="111"/>
      <c r="AO54" s="269"/>
      <c r="AP54" s="270"/>
      <c r="AQ54" s="271"/>
      <c r="AR54" s="272"/>
      <c r="AS54" s="271"/>
      <c r="AT54" s="272"/>
      <c r="AU54" s="271"/>
      <c r="AV54" s="272"/>
      <c r="AW54" s="271"/>
      <c r="AX54" s="272"/>
      <c r="AY54" s="271"/>
      <c r="AZ54" s="272"/>
    </row>
    <row r="55">
      <c r="A55" s="94"/>
      <c r="B55" s="95"/>
      <c r="C55" s="95"/>
      <c r="D55" s="95"/>
      <c r="E55" s="95"/>
      <c r="F55" s="95"/>
      <c r="G55" s="47"/>
      <c r="H55" s="112">
        <v>11.0</v>
      </c>
      <c r="I55" s="113">
        <f>Q40</f>
        <v>19</v>
      </c>
      <c r="J55" s="265">
        <f t="shared" si="2"/>
        <v>17.27272727</v>
      </c>
      <c r="K55" s="266" t="s">
        <v>126</v>
      </c>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3"/>
      <c r="AN55" s="111"/>
      <c r="AO55" s="269"/>
      <c r="AP55" s="270"/>
      <c r="AQ55" s="271"/>
      <c r="AR55" s="272"/>
      <c r="AS55" s="271"/>
      <c r="AT55" s="272"/>
      <c r="AU55" s="271"/>
      <c r="AV55" s="272"/>
      <c r="AW55" s="271"/>
      <c r="AX55" s="272"/>
      <c r="AY55" s="271"/>
      <c r="AZ55" s="272"/>
    </row>
    <row r="56">
      <c r="A56" s="94"/>
      <c r="B56" s="95"/>
      <c r="C56" s="95"/>
      <c r="D56" s="95"/>
      <c r="E56" s="95"/>
      <c r="F56" s="95"/>
      <c r="G56" s="47"/>
      <c r="H56" s="112">
        <v>12.0</v>
      </c>
      <c r="I56" s="113">
        <f>R40</f>
        <v>11</v>
      </c>
      <c r="J56" s="265">
        <f t="shared" si="2"/>
        <v>10</v>
      </c>
      <c r="K56" s="266" t="s">
        <v>127</v>
      </c>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5"/>
      <c r="AN56" s="116"/>
      <c r="AO56" s="269"/>
      <c r="AP56" s="270"/>
      <c r="AQ56" s="271"/>
      <c r="AR56" s="272"/>
      <c r="AS56" s="271"/>
      <c r="AT56" s="272"/>
      <c r="AU56" s="271"/>
      <c r="AV56" s="272"/>
      <c r="AW56" s="271"/>
      <c r="AX56" s="272"/>
      <c r="AY56" s="271"/>
      <c r="AZ56" s="272"/>
    </row>
    <row r="57">
      <c r="A57" s="94"/>
      <c r="B57" s="95"/>
      <c r="C57" s="95"/>
      <c r="D57" s="95"/>
      <c r="E57" s="95"/>
      <c r="F57" s="95"/>
      <c r="G57" s="47"/>
      <c r="H57" s="112">
        <v>13.0</v>
      </c>
      <c r="I57" s="113">
        <f>S40</f>
        <v>16</v>
      </c>
      <c r="J57" s="265">
        <f t="shared" si="2"/>
        <v>14.54545455</v>
      </c>
      <c r="K57" s="266" t="s">
        <v>128</v>
      </c>
      <c r="L57" s="267"/>
      <c r="M57" s="267"/>
      <c r="N57" s="267"/>
      <c r="O57" s="267"/>
      <c r="P57" s="267"/>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8"/>
      <c r="AN57" s="111"/>
      <c r="AO57" s="269"/>
      <c r="AP57" s="270"/>
      <c r="AQ57" s="271"/>
      <c r="AR57" s="272"/>
      <c r="AS57" s="271"/>
      <c r="AT57" s="272"/>
      <c r="AU57" s="271"/>
      <c r="AV57" s="272"/>
      <c r="AW57" s="271"/>
      <c r="AX57" s="272"/>
      <c r="AY57" s="271"/>
      <c r="AZ57" s="272"/>
    </row>
    <row r="58">
      <c r="A58" s="94"/>
      <c r="B58" s="95"/>
      <c r="C58" s="95"/>
      <c r="D58" s="95"/>
      <c r="E58" s="95"/>
      <c r="F58" s="95"/>
      <c r="G58" s="47"/>
      <c r="H58" s="112">
        <v>14.0</v>
      </c>
      <c r="I58" s="113">
        <f>T40</f>
        <v>17</v>
      </c>
      <c r="J58" s="265">
        <f t="shared" si="2"/>
        <v>15.45454545</v>
      </c>
      <c r="K58" s="266" t="s">
        <v>123</v>
      </c>
      <c r="L58" s="267"/>
      <c r="M58" s="267"/>
      <c r="N58" s="267"/>
      <c r="O58" s="267"/>
      <c r="P58" s="267"/>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8"/>
      <c r="AN58" s="111"/>
      <c r="AO58" s="269"/>
      <c r="AP58" s="270"/>
      <c r="AQ58" s="271"/>
      <c r="AR58" s="272"/>
      <c r="AS58" s="271"/>
      <c r="AT58" s="272"/>
      <c r="AU58" s="271"/>
      <c r="AV58" s="272"/>
      <c r="AW58" s="271"/>
      <c r="AX58" s="272"/>
      <c r="AY58" s="271"/>
      <c r="AZ58" s="272"/>
    </row>
    <row r="59">
      <c r="A59" s="94"/>
      <c r="B59" s="95"/>
      <c r="C59" s="95"/>
      <c r="D59" s="95"/>
      <c r="E59" s="95"/>
      <c r="F59" s="95"/>
      <c r="G59" s="47"/>
      <c r="H59" s="112">
        <v>15.0</v>
      </c>
      <c r="I59" s="113">
        <f>U40</f>
        <v>12</v>
      </c>
      <c r="J59" s="265">
        <f t="shared" si="2"/>
        <v>10.90909091</v>
      </c>
      <c r="K59" s="266" t="s">
        <v>129</v>
      </c>
      <c r="L59" s="267"/>
      <c r="M59" s="267"/>
      <c r="N59" s="267"/>
      <c r="O59" s="267"/>
      <c r="P59" s="267"/>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8"/>
      <c r="AN59" s="111"/>
      <c r="AO59" s="269"/>
      <c r="AP59" s="270"/>
      <c r="AQ59" s="271"/>
      <c r="AR59" s="272"/>
      <c r="AS59" s="271"/>
      <c r="AT59" s="272"/>
      <c r="AU59" s="271"/>
      <c r="AV59" s="272"/>
      <c r="AW59" s="271"/>
      <c r="AX59" s="272"/>
      <c r="AY59" s="271"/>
      <c r="AZ59" s="272"/>
    </row>
    <row r="60">
      <c r="A60" s="94"/>
      <c r="B60" s="95"/>
      <c r="C60" s="95"/>
      <c r="D60" s="95"/>
      <c r="E60" s="95"/>
      <c r="F60" s="95"/>
      <c r="G60" s="47"/>
      <c r="H60" s="112">
        <v>16.0</v>
      </c>
      <c r="I60" s="113">
        <f>V40</f>
        <v>7</v>
      </c>
      <c r="J60" s="265">
        <f t="shared" si="2"/>
        <v>6.363636364</v>
      </c>
      <c r="K60" s="266" t="s">
        <v>123</v>
      </c>
      <c r="L60" s="267"/>
      <c r="M60" s="267"/>
      <c r="N60" s="267"/>
      <c r="O60" s="267"/>
      <c r="P60" s="267"/>
      <c r="Q60" s="267"/>
      <c r="R60" s="267"/>
      <c r="S60" s="267"/>
      <c r="T60" s="267"/>
      <c r="U60" s="267"/>
      <c r="V60" s="267"/>
      <c r="W60" s="267"/>
      <c r="X60" s="267"/>
      <c r="Y60" s="267"/>
      <c r="Z60" s="267"/>
      <c r="AA60" s="267"/>
      <c r="AB60" s="267"/>
      <c r="AC60" s="267"/>
      <c r="AD60" s="267"/>
      <c r="AE60" s="267"/>
      <c r="AF60" s="267"/>
      <c r="AG60" s="267"/>
      <c r="AH60" s="267"/>
      <c r="AI60" s="267"/>
      <c r="AJ60" s="267"/>
      <c r="AK60" s="267"/>
      <c r="AL60" s="267"/>
      <c r="AM60" s="268"/>
      <c r="AN60" s="111"/>
      <c r="AO60" s="269"/>
      <c r="AP60" s="270"/>
      <c r="AQ60" s="271"/>
      <c r="AR60" s="272"/>
      <c r="AS60" s="271"/>
      <c r="AT60" s="272"/>
      <c r="AU60" s="271"/>
      <c r="AV60" s="272"/>
      <c r="AW60" s="271"/>
      <c r="AX60" s="272"/>
      <c r="AY60" s="271"/>
      <c r="AZ60" s="272"/>
    </row>
    <row r="61">
      <c r="A61" s="94"/>
      <c r="B61" s="95"/>
      <c r="C61" s="95"/>
      <c r="D61" s="95"/>
      <c r="E61" s="95"/>
      <c r="F61" s="95"/>
      <c r="G61" s="47"/>
      <c r="H61" s="112">
        <v>17.0</v>
      </c>
      <c r="I61" s="113">
        <f>W40</f>
        <v>51</v>
      </c>
      <c r="J61" s="265">
        <f t="shared" si="2"/>
        <v>46.36363636</v>
      </c>
      <c r="K61" s="266" t="s">
        <v>123</v>
      </c>
      <c r="L61" s="267"/>
      <c r="M61" s="267"/>
      <c r="N61" s="267"/>
      <c r="O61" s="267"/>
      <c r="P61" s="267"/>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8"/>
      <c r="AN61" s="111"/>
      <c r="AO61" s="269"/>
      <c r="AP61" s="270"/>
      <c r="AQ61" s="286"/>
      <c r="AR61" s="272"/>
      <c r="AS61" s="286"/>
      <c r="AT61" s="272"/>
      <c r="AU61" s="286"/>
      <c r="AV61" s="272"/>
      <c r="AW61" s="286"/>
      <c r="AX61" s="272"/>
      <c r="AY61" s="286"/>
      <c r="AZ61" s="272"/>
    </row>
    <row r="62">
      <c r="A62" s="94"/>
      <c r="B62" s="95"/>
      <c r="C62" s="95"/>
      <c r="D62" s="95"/>
      <c r="E62" s="95"/>
      <c r="F62" s="95"/>
      <c r="G62" s="47"/>
      <c r="H62" s="112">
        <v>18.0</v>
      </c>
      <c r="I62" s="113">
        <f>X40</f>
        <v>13</v>
      </c>
      <c r="J62" s="265">
        <f t="shared" si="2"/>
        <v>11.81818182</v>
      </c>
      <c r="K62" s="266" t="s">
        <v>130</v>
      </c>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3"/>
      <c r="AN62" s="111"/>
      <c r="AO62" s="269"/>
      <c r="AP62" s="270"/>
      <c r="AQ62" s="271"/>
      <c r="AR62" s="272"/>
      <c r="AS62" s="271"/>
      <c r="AT62" s="272"/>
      <c r="AU62" s="271"/>
      <c r="AV62" s="272"/>
      <c r="AW62" s="271"/>
      <c r="AX62" s="272"/>
      <c r="AY62" s="271"/>
      <c r="AZ62" s="272"/>
    </row>
    <row r="63">
      <c r="A63" s="94"/>
      <c r="B63" s="95"/>
      <c r="C63" s="95"/>
      <c r="D63" s="95"/>
      <c r="E63" s="95"/>
      <c r="F63" s="95"/>
      <c r="G63" s="47"/>
      <c r="H63" s="112">
        <v>19.0</v>
      </c>
      <c r="I63" s="113">
        <f>Y40</f>
        <v>21</v>
      </c>
      <c r="J63" s="265">
        <f t="shared" si="2"/>
        <v>19.09090909</v>
      </c>
      <c r="K63" s="274" t="s">
        <v>131</v>
      </c>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3"/>
      <c r="AN63" s="111"/>
      <c r="AO63" s="269"/>
      <c r="AP63" s="270"/>
      <c r="AQ63" s="271"/>
      <c r="AR63" s="272"/>
      <c r="AS63" s="271"/>
      <c r="AT63" s="272"/>
      <c r="AU63" s="271"/>
      <c r="AV63" s="272"/>
      <c r="AW63" s="271"/>
      <c r="AX63" s="272"/>
      <c r="AY63" s="271"/>
      <c r="AZ63" s="272"/>
    </row>
    <row r="64">
      <c r="A64" s="94"/>
      <c r="B64" s="95"/>
      <c r="C64" s="95"/>
      <c r="D64" s="95"/>
      <c r="E64" s="95"/>
      <c r="F64" s="95"/>
      <c r="G64" s="47"/>
      <c r="H64" s="112">
        <v>20.0</v>
      </c>
      <c r="I64" s="113">
        <f>Z40</f>
        <v>15</v>
      </c>
      <c r="J64" s="265">
        <f t="shared" si="2"/>
        <v>13.63636364</v>
      </c>
      <c r="K64" s="281" t="s">
        <v>132</v>
      </c>
      <c r="L64" s="267"/>
      <c r="M64" s="267"/>
      <c r="N64" s="267"/>
      <c r="O64" s="267"/>
      <c r="P64" s="267"/>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8"/>
      <c r="AN64" s="111"/>
      <c r="AO64" s="269"/>
      <c r="AP64" s="270"/>
      <c r="AQ64" s="271"/>
      <c r="AR64" s="272"/>
      <c r="AS64" s="271"/>
      <c r="AT64" s="272"/>
      <c r="AU64" s="271"/>
      <c r="AV64" s="272"/>
      <c r="AW64" s="271"/>
      <c r="AX64" s="272"/>
      <c r="AY64" s="271"/>
      <c r="AZ64" s="272"/>
    </row>
    <row r="65">
      <c r="A65" s="94"/>
      <c r="B65" s="95"/>
      <c r="C65" s="95"/>
      <c r="D65" s="95"/>
      <c r="E65" s="95"/>
      <c r="F65" s="95"/>
      <c r="G65" s="47"/>
      <c r="H65" s="112">
        <v>21.0</v>
      </c>
      <c r="I65" s="113">
        <f>AA40</f>
        <v>20</v>
      </c>
      <c r="J65" s="265">
        <f t="shared" si="2"/>
        <v>18.18181818</v>
      </c>
      <c r="K65" s="266" t="s">
        <v>128</v>
      </c>
      <c r="L65" s="267"/>
      <c r="M65" s="267"/>
      <c r="N65" s="267"/>
      <c r="O65" s="267"/>
      <c r="P65" s="267"/>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8"/>
      <c r="AN65" s="111"/>
      <c r="AO65" s="269"/>
      <c r="AP65" s="270"/>
      <c r="AQ65" s="271"/>
      <c r="AR65" s="272"/>
      <c r="AS65" s="271"/>
      <c r="AT65" s="272"/>
      <c r="AU65" s="271"/>
      <c r="AV65" s="272"/>
      <c r="AW65" s="271"/>
      <c r="AX65" s="272"/>
      <c r="AY65" s="271"/>
      <c r="AZ65" s="272"/>
    </row>
    <row r="66">
      <c r="A66" s="94"/>
      <c r="B66" s="95"/>
      <c r="C66" s="95"/>
      <c r="D66" s="95"/>
      <c r="E66" s="95"/>
      <c r="F66" s="95"/>
      <c r="G66" s="47"/>
      <c r="H66" s="112">
        <v>22.0</v>
      </c>
      <c r="I66" s="113">
        <f>AB40</f>
        <v>32</v>
      </c>
      <c r="J66" s="265">
        <f t="shared" si="2"/>
        <v>29.09090909</v>
      </c>
      <c r="K66" s="266" t="s">
        <v>123</v>
      </c>
      <c r="L66" s="267"/>
      <c r="M66" s="267"/>
      <c r="N66" s="267"/>
      <c r="O66" s="267"/>
      <c r="P66" s="267"/>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8"/>
      <c r="AN66" s="111"/>
      <c r="AO66" s="269"/>
      <c r="AP66" s="270"/>
      <c r="AQ66" s="271"/>
      <c r="AR66" s="272"/>
      <c r="AS66" s="271"/>
      <c r="AT66" s="272"/>
      <c r="AU66" s="271"/>
      <c r="AV66" s="272"/>
      <c r="AW66" s="271"/>
      <c r="AX66" s="272"/>
      <c r="AY66" s="271"/>
      <c r="AZ66" s="272"/>
      <c r="BL66" s="287"/>
    </row>
    <row r="67">
      <c r="A67" s="94"/>
      <c r="B67" s="95"/>
      <c r="C67" s="95"/>
      <c r="D67" s="95"/>
      <c r="E67" s="95"/>
      <c r="F67" s="95"/>
      <c r="G67" s="47"/>
      <c r="H67" s="112">
        <v>23.0</v>
      </c>
      <c r="I67" s="113">
        <f>AC40</f>
        <v>18</v>
      </c>
      <c r="J67" s="265">
        <f t="shared" si="2"/>
        <v>16.36363636</v>
      </c>
      <c r="K67" s="266" t="s">
        <v>133</v>
      </c>
      <c r="L67" s="267"/>
      <c r="M67" s="267"/>
      <c r="N67" s="267"/>
      <c r="O67" s="267"/>
      <c r="P67" s="267"/>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8"/>
      <c r="AN67" s="111"/>
      <c r="AO67" s="269"/>
      <c r="AP67" s="270"/>
      <c r="AQ67" s="271"/>
      <c r="AR67" s="272"/>
      <c r="AS67" s="271"/>
      <c r="AT67" s="272"/>
      <c r="AU67" s="271"/>
      <c r="AV67" s="272"/>
      <c r="AW67" s="271"/>
      <c r="AX67" s="272"/>
      <c r="AY67" s="271"/>
      <c r="AZ67" s="272"/>
    </row>
    <row r="68">
      <c r="A68" s="94"/>
      <c r="B68" s="95"/>
      <c r="C68" s="95"/>
      <c r="D68" s="95"/>
      <c r="E68" s="95"/>
      <c r="F68" s="95"/>
      <c r="G68" s="47"/>
      <c r="H68" s="112">
        <v>24.0</v>
      </c>
      <c r="I68" s="113">
        <f>AD40</f>
        <v>14</v>
      </c>
      <c r="J68" s="265">
        <f t="shared" si="2"/>
        <v>12.72727273</v>
      </c>
      <c r="K68" s="266" t="s">
        <v>123</v>
      </c>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8"/>
      <c r="AN68" s="111"/>
      <c r="AO68" s="269"/>
      <c r="AP68" s="270"/>
      <c r="AQ68" s="271"/>
      <c r="AR68" s="272"/>
      <c r="AS68" s="271"/>
      <c r="AT68" s="272"/>
      <c r="AU68" s="271"/>
      <c r="AV68" s="272"/>
      <c r="AW68" s="271"/>
      <c r="AX68" s="272"/>
      <c r="AY68" s="271"/>
      <c r="AZ68" s="272"/>
    </row>
    <row r="69">
      <c r="A69" s="94"/>
      <c r="B69" s="95"/>
      <c r="C69" s="95"/>
      <c r="D69" s="95"/>
      <c r="E69" s="95"/>
      <c r="F69" s="95"/>
      <c r="G69" s="117"/>
      <c r="H69" s="118">
        <v>25.0</v>
      </c>
      <c r="I69" s="119">
        <f>AE40</f>
        <v>15</v>
      </c>
      <c r="J69" s="288">
        <f t="shared" si="2"/>
        <v>13.63636364</v>
      </c>
      <c r="K69" s="289" t="s">
        <v>134</v>
      </c>
      <c r="L69" s="290"/>
      <c r="M69" s="290"/>
      <c r="N69" s="290"/>
      <c r="O69" s="290"/>
      <c r="P69" s="290"/>
      <c r="Q69" s="290"/>
      <c r="R69" s="290"/>
      <c r="S69" s="290"/>
      <c r="T69" s="290"/>
      <c r="U69" s="290"/>
      <c r="V69" s="290"/>
      <c r="W69" s="290"/>
      <c r="X69" s="290"/>
      <c r="Y69" s="290"/>
      <c r="Z69" s="290"/>
      <c r="AA69" s="290"/>
      <c r="AB69" s="290"/>
      <c r="AC69" s="290"/>
      <c r="AD69" s="290"/>
      <c r="AE69" s="290"/>
      <c r="AF69" s="290"/>
      <c r="AG69" s="290"/>
      <c r="AH69" s="290"/>
      <c r="AI69" s="290"/>
      <c r="AJ69" s="290"/>
      <c r="AK69" s="290"/>
      <c r="AL69" s="290"/>
      <c r="AM69" s="291"/>
      <c r="AN69" s="111"/>
      <c r="AO69" s="269"/>
      <c r="AP69" s="270"/>
      <c r="AQ69" s="271"/>
      <c r="AR69" s="272"/>
      <c r="AS69" s="271"/>
      <c r="AT69" s="272"/>
      <c r="AU69" s="271"/>
      <c r="AV69" s="272"/>
      <c r="AW69" s="271"/>
      <c r="AX69" s="272"/>
      <c r="AY69" s="271"/>
      <c r="AZ69" s="272"/>
    </row>
    <row r="70">
      <c r="A70" s="94"/>
      <c r="B70" s="95"/>
      <c r="C70" s="95"/>
      <c r="D70" s="95"/>
      <c r="E70" s="95"/>
      <c r="F70" s="95"/>
      <c r="G70" s="124" t="s">
        <v>17</v>
      </c>
      <c r="H70" s="125">
        <v>1.0</v>
      </c>
      <c r="I70" s="106">
        <f>AF40</f>
        <v>32</v>
      </c>
      <c r="J70" s="107">
        <f t="shared" si="2"/>
        <v>29.09090909</v>
      </c>
      <c r="K70" s="292" t="s">
        <v>135</v>
      </c>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294"/>
      <c r="AN70" s="134"/>
      <c r="AO70" s="269"/>
      <c r="AP70" s="295"/>
      <c r="AQ70" s="271"/>
      <c r="AR70" s="272"/>
      <c r="AS70" s="271"/>
      <c r="AT70" s="272"/>
      <c r="AU70" s="271"/>
      <c r="AV70" s="272"/>
      <c r="AW70" s="271"/>
      <c r="AX70" s="272"/>
      <c r="AY70" s="271"/>
      <c r="AZ70" s="272"/>
    </row>
    <row r="71">
      <c r="A71" s="94"/>
      <c r="B71" s="95"/>
      <c r="C71" s="95"/>
      <c r="D71" s="95"/>
      <c r="E71" s="95"/>
      <c r="F71" s="95"/>
      <c r="G71" s="47"/>
      <c r="H71" s="130">
        <v>2.0</v>
      </c>
      <c r="I71" s="113">
        <f>AG40</f>
        <v>25</v>
      </c>
      <c r="J71" s="265">
        <f t="shared" si="2"/>
        <v>22.72727273</v>
      </c>
      <c r="K71" s="296" t="s">
        <v>136</v>
      </c>
      <c r="L71" s="297"/>
      <c r="M71" s="298"/>
      <c r="N71" s="298"/>
      <c r="O71" s="298"/>
      <c r="P71" s="298"/>
      <c r="Q71" s="298"/>
      <c r="R71" s="298"/>
      <c r="S71" s="298"/>
      <c r="T71" s="298"/>
      <c r="U71" s="298"/>
      <c r="V71" s="298"/>
      <c r="W71" s="298"/>
      <c r="X71" s="298"/>
      <c r="Y71" s="298"/>
      <c r="Z71" s="298"/>
      <c r="AA71" s="298"/>
      <c r="AB71" s="298"/>
      <c r="AC71" s="298"/>
      <c r="AD71" s="298"/>
      <c r="AE71" s="298"/>
      <c r="AF71" s="298"/>
      <c r="AG71" s="298"/>
      <c r="AH71" s="298"/>
      <c r="AI71" s="298"/>
      <c r="AJ71" s="298"/>
      <c r="AK71" s="298"/>
      <c r="AL71" s="298"/>
      <c r="AM71" s="299"/>
      <c r="AN71" s="300"/>
      <c r="AO71" s="269"/>
      <c r="AP71" s="295"/>
      <c r="AQ71" s="271"/>
      <c r="AR71" s="272"/>
      <c r="AS71" s="271"/>
      <c r="AT71" s="272"/>
      <c r="AU71" s="271"/>
      <c r="AV71" s="272"/>
      <c r="AW71" s="271"/>
      <c r="AX71" s="272"/>
      <c r="AY71" s="271"/>
      <c r="AZ71" s="272"/>
    </row>
    <row r="72">
      <c r="A72" s="94"/>
      <c r="B72" s="95"/>
      <c r="C72" s="95"/>
      <c r="D72" s="95"/>
      <c r="E72" s="95"/>
      <c r="F72" s="95"/>
      <c r="G72" s="47"/>
      <c r="H72" s="130">
        <v>3.0</v>
      </c>
      <c r="I72" s="113">
        <f>AH40</f>
        <v>9</v>
      </c>
      <c r="J72" s="265">
        <f t="shared" si="2"/>
        <v>8.181818182</v>
      </c>
      <c r="K72" s="296" t="s">
        <v>136</v>
      </c>
      <c r="L72" s="297"/>
      <c r="M72" s="301"/>
      <c r="N72" s="301"/>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2"/>
      <c r="AN72" s="129"/>
      <c r="AO72" s="269"/>
      <c r="AP72" s="295"/>
      <c r="AQ72" s="271"/>
      <c r="AR72" s="272"/>
      <c r="AS72" s="271"/>
      <c r="AT72" s="272"/>
      <c r="AU72" s="271"/>
      <c r="AV72" s="272"/>
      <c r="AW72" s="271"/>
      <c r="AX72" s="272"/>
      <c r="AY72" s="271"/>
      <c r="AZ72" s="272"/>
    </row>
    <row r="73">
      <c r="A73" s="94"/>
      <c r="B73" s="95"/>
      <c r="C73" s="95"/>
      <c r="D73" s="95"/>
      <c r="E73" s="95"/>
      <c r="F73" s="95"/>
      <c r="G73" s="47"/>
      <c r="H73" s="130">
        <v>4.0</v>
      </c>
      <c r="I73" s="113">
        <f>AI40</f>
        <v>25</v>
      </c>
      <c r="J73" s="265">
        <f t="shared" si="2"/>
        <v>22.72727273</v>
      </c>
      <c r="K73" s="296" t="s">
        <v>137</v>
      </c>
      <c r="L73" s="297"/>
      <c r="M73" s="303"/>
      <c r="N73" s="303"/>
      <c r="O73" s="303"/>
      <c r="P73" s="303"/>
      <c r="Q73" s="303"/>
      <c r="R73" s="303"/>
      <c r="S73" s="303"/>
      <c r="T73" s="303"/>
      <c r="U73" s="303"/>
      <c r="V73" s="303"/>
      <c r="W73" s="303"/>
      <c r="X73" s="303"/>
      <c r="Y73" s="303"/>
      <c r="Z73" s="303"/>
      <c r="AA73" s="303"/>
      <c r="AB73" s="303"/>
      <c r="AC73" s="303"/>
      <c r="AD73" s="303"/>
      <c r="AE73" s="303"/>
      <c r="AF73" s="303"/>
      <c r="AG73" s="303"/>
      <c r="AH73" s="303"/>
      <c r="AI73" s="303"/>
      <c r="AJ73" s="303"/>
      <c r="AK73" s="303"/>
      <c r="AL73" s="303"/>
      <c r="AM73" s="304"/>
      <c r="AN73" s="134"/>
      <c r="AO73" s="269"/>
      <c r="AP73" s="295"/>
      <c r="AQ73" s="271"/>
      <c r="AR73" s="272"/>
      <c r="AS73" s="271"/>
      <c r="AT73" s="272"/>
      <c r="AU73" s="271"/>
      <c r="AV73" s="272"/>
      <c r="AW73" s="271"/>
      <c r="AX73" s="272"/>
      <c r="AY73" s="271"/>
      <c r="AZ73" s="272"/>
    </row>
    <row r="74">
      <c r="A74" s="94"/>
      <c r="B74" s="95"/>
      <c r="C74" s="95"/>
      <c r="D74" s="95"/>
      <c r="E74" s="95"/>
      <c r="F74" s="95"/>
      <c r="G74" s="47"/>
      <c r="H74" s="130">
        <v>5.0</v>
      </c>
      <c r="I74" s="113">
        <f>AJ40</f>
        <v>23</v>
      </c>
      <c r="J74" s="265">
        <f t="shared" si="2"/>
        <v>20.90909091</v>
      </c>
      <c r="K74" s="296" t="s">
        <v>137</v>
      </c>
      <c r="L74" s="297"/>
      <c r="M74" s="303"/>
      <c r="N74" s="303"/>
      <c r="O74" s="303"/>
      <c r="P74" s="303"/>
      <c r="Q74" s="303"/>
      <c r="R74" s="303"/>
      <c r="S74" s="303"/>
      <c r="T74" s="303"/>
      <c r="U74" s="303"/>
      <c r="V74" s="303"/>
      <c r="W74" s="303"/>
      <c r="X74" s="303"/>
      <c r="Y74" s="303"/>
      <c r="Z74" s="303"/>
      <c r="AA74" s="303"/>
      <c r="AB74" s="303"/>
      <c r="AC74" s="303"/>
      <c r="AD74" s="303"/>
      <c r="AE74" s="303"/>
      <c r="AF74" s="303"/>
      <c r="AG74" s="303"/>
      <c r="AH74" s="303"/>
      <c r="AI74" s="303"/>
      <c r="AJ74" s="303"/>
      <c r="AK74" s="303"/>
      <c r="AL74" s="303"/>
      <c r="AM74" s="304"/>
      <c r="AN74" s="134"/>
      <c r="AO74" s="269"/>
      <c r="AP74" s="295"/>
      <c r="AQ74" s="271"/>
      <c r="AR74" s="272"/>
      <c r="AS74" s="271"/>
      <c r="AT74" s="272"/>
      <c r="AU74" s="271"/>
      <c r="AV74" s="272"/>
      <c r="AW74" s="271"/>
      <c r="AX74" s="272"/>
      <c r="AY74" s="271"/>
      <c r="AZ74" s="272"/>
    </row>
    <row r="75">
      <c r="A75" s="94"/>
      <c r="B75" s="95"/>
      <c r="C75" s="95"/>
      <c r="D75" s="95"/>
      <c r="E75" s="95"/>
      <c r="F75" s="95"/>
      <c r="G75" s="47"/>
      <c r="H75" s="130">
        <v>6.0</v>
      </c>
      <c r="I75" s="113">
        <f>AK40</f>
        <v>21</v>
      </c>
      <c r="J75" s="265">
        <f t="shared" si="2"/>
        <v>19.09090909</v>
      </c>
      <c r="K75" s="296" t="s">
        <v>136</v>
      </c>
      <c r="L75" s="297"/>
      <c r="M75" s="303"/>
      <c r="N75" s="303"/>
      <c r="O75" s="303"/>
      <c r="P75" s="303"/>
      <c r="Q75" s="303"/>
      <c r="R75" s="303"/>
      <c r="S75" s="303"/>
      <c r="T75" s="303"/>
      <c r="U75" s="303"/>
      <c r="V75" s="303"/>
      <c r="W75" s="303"/>
      <c r="X75" s="303"/>
      <c r="Y75" s="303"/>
      <c r="Z75" s="303"/>
      <c r="AA75" s="303"/>
      <c r="AB75" s="303"/>
      <c r="AC75" s="303"/>
      <c r="AD75" s="303"/>
      <c r="AE75" s="303"/>
      <c r="AF75" s="303"/>
      <c r="AG75" s="303"/>
      <c r="AH75" s="303"/>
      <c r="AI75" s="303"/>
      <c r="AJ75" s="303"/>
      <c r="AK75" s="303"/>
      <c r="AL75" s="303"/>
      <c r="AM75" s="304"/>
      <c r="AN75" s="134"/>
      <c r="AO75" s="269"/>
      <c r="AP75" s="295"/>
      <c r="AQ75" s="271"/>
      <c r="AR75" s="272"/>
      <c r="AS75" s="271"/>
      <c r="AT75" s="272"/>
      <c r="AU75" s="271"/>
      <c r="AV75" s="272"/>
      <c r="AW75" s="271"/>
      <c r="AX75" s="272"/>
      <c r="AY75" s="271"/>
      <c r="AZ75" s="272"/>
    </row>
    <row r="76">
      <c r="A76" s="94"/>
      <c r="B76" s="95"/>
      <c r="C76" s="95"/>
      <c r="D76" s="95"/>
      <c r="E76" s="95"/>
      <c r="F76" s="95"/>
      <c r="G76" s="47"/>
      <c r="H76" s="130">
        <v>7.0</v>
      </c>
      <c r="I76" s="113">
        <f>AL40</f>
        <v>23</v>
      </c>
      <c r="J76" s="265">
        <f t="shared" si="2"/>
        <v>20.90909091</v>
      </c>
      <c r="K76" s="296" t="s">
        <v>138</v>
      </c>
      <c r="L76" s="297"/>
      <c r="M76" s="303"/>
      <c r="N76" s="303"/>
      <c r="O76" s="303"/>
      <c r="P76" s="303"/>
      <c r="Q76" s="303"/>
      <c r="R76" s="303"/>
      <c r="S76" s="303"/>
      <c r="T76" s="303"/>
      <c r="U76" s="303"/>
      <c r="V76" s="303"/>
      <c r="W76" s="303"/>
      <c r="X76" s="303"/>
      <c r="Y76" s="303"/>
      <c r="Z76" s="303"/>
      <c r="AA76" s="303"/>
      <c r="AB76" s="303"/>
      <c r="AC76" s="303"/>
      <c r="AD76" s="303"/>
      <c r="AE76" s="303"/>
      <c r="AF76" s="303"/>
      <c r="AG76" s="303"/>
      <c r="AH76" s="303"/>
      <c r="AI76" s="303"/>
      <c r="AJ76" s="303"/>
      <c r="AK76" s="303"/>
      <c r="AL76" s="303"/>
      <c r="AM76" s="304"/>
      <c r="AN76" s="134"/>
      <c r="AO76" s="269"/>
      <c r="AP76" s="295"/>
      <c r="AQ76" s="271"/>
      <c r="AR76" s="272"/>
      <c r="AS76" s="271"/>
      <c r="AT76" s="272"/>
      <c r="AU76" s="271"/>
      <c r="AV76" s="272"/>
      <c r="AW76" s="271"/>
      <c r="AX76" s="272"/>
      <c r="AY76" s="271"/>
      <c r="AZ76" s="272"/>
    </row>
    <row r="77">
      <c r="A77" s="94"/>
      <c r="B77" s="95"/>
      <c r="C77" s="95"/>
      <c r="D77" s="95"/>
      <c r="E77" s="95"/>
      <c r="F77" s="95"/>
      <c r="G77" s="47"/>
      <c r="H77" s="130">
        <v>8.0</v>
      </c>
      <c r="I77" s="113">
        <f>AM40</f>
        <v>26</v>
      </c>
      <c r="J77" s="265">
        <f t="shared" si="2"/>
        <v>23.63636364</v>
      </c>
      <c r="K77" s="296" t="s">
        <v>138</v>
      </c>
      <c r="L77" s="297"/>
      <c r="M77" s="298"/>
      <c r="N77" s="298"/>
      <c r="O77" s="298"/>
      <c r="P77" s="298"/>
      <c r="Q77" s="298"/>
      <c r="R77" s="298"/>
      <c r="S77" s="298"/>
      <c r="T77" s="298"/>
      <c r="U77" s="298"/>
      <c r="V77" s="298"/>
      <c r="W77" s="298"/>
      <c r="X77" s="298"/>
      <c r="Y77" s="298"/>
      <c r="Z77" s="298"/>
      <c r="AA77" s="298"/>
      <c r="AB77" s="298"/>
      <c r="AC77" s="298"/>
      <c r="AD77" s="298"/>
      <c r="AE77" s="298"/>
      <c r="AF77" s="298"/>
      <c r="AG77" s="298"/>
      <c r="AH77" s="298"/>
      <c r="AI77" s="298"/>
      <c r="AJ77" s="298"/>
      <c r="AK77" s="298"/>
      <c r="AL77" s="298"/>
      <c r="AM77" s="299"/>
      <c r="AN77" s="300"/>
      <c r="AO77" s="269"/>
      <c r="AP77" s="295"/>
      <c r="AQ77" s="271"/>
      <c r="AR77" s="272"/>
      <c r="AS77" s="271"/>
      <c r="AT77" s="272"/>
      <c r="AU77" s="271"/>
      <c r="AV77" s="272"/>
      <c r="AW77" s="271"/>
      <c r="AX77" s="272"/>
      <c r="AY77" s="271"/>
      <c r="AZ77" s="272"/>
    </row>
    <row r="78">
      <c r="A78" s="94"/>
      <c r="B78" s="95"/>
      <c r="C78" s="95"/>
      <c r="D78" s="95"/>
      <c r="E78" s="95"/>
      <c r="F78" s="95"/>
      <c r="G78" s="47"/>
      <c r="H78" s="130">
        <v>9.0</v>
      </c>
      <c r="I78" s="113">
        <f>AN40</f>
        <v>19</v>
      </c>
      <c r="J78" s="265">
        <f t="shared" si="2"/>
        <v>17.27272727</v>
      </c>
      <c r="K78" s="305" t="s">
        <v>138</v>
      </c>
      <c r="L78" s="306"/>
      <c r="M78" s="306"/>
      <c r="N78" s="306"/>
      <c r="O78" s="306"/>
      <c r="P78" s="306"/>
      <c r="Q78" s="306"/>
      <c r="R78" s="306"/>
      <c r="S78" s="306"/>
      <c r="T78" s="306"/>
      <c r="U78" s="306"/>
      <c r="V78" s="306"/>
      <c r="W78" s="306"/>
      <c r="X78" s="306"/>
      <c r="Y78" s="306"/>
      <c r="Z78" s="306"/>
      <c r="AA78" s="306"/>
      <c r="AB78" s="306"/>
      <c r="AC78" s="306"/>
      <c r="AD78" s="306"/>
      <c r="AE78" s="306"/>
      <c r="AF78" s="306"/>
      <c r="AG78" s="306"/>
      <c r="AH78" s="306"/>
      <c r="AI78" s="306"/>
      <c r="AJ78" s="306"/>
      <c r="AK78" s="306"/>
      <c r="AL78" s="306"/>
      <c r="AM78" s="307"/>
      <c r="AN78" s="134"/>
      <c r="AO78" s="269"/>
      <c r="AP78" s="295"/>
      <c r="AQ78" s="271"/>
      <c r="AR78" s="272"/>
      <c r="AS78" s="271"/>
      <c r="AT78" s="272"/>
      <c r="AU78" s="271"/>
      <c r="AV78" s="272"/>
      <c r="AW78" s="271"/>
      <c r="AX78" s="272"/>
      <c r="AY78" s="271"/>
      <c r="AZ78" s="272"/>
    </row>
    <row r="79" ht="15.75" customHeight="1">
      <c r="A79" s="94"/>
      <c r="B79" s="95"/>
      <c r="C79" s="95"/>
      <c r="D79" s="95"/>
      <c r="E79" s="95"/>
      <c r="F79" s="95"/>
      <c r="G79" s="47"/>
      <c r="H79" s="130">
        <v>10.0</v>
      </c>
      <c r="I79" s="113">
        <f>AO40</f>
        <v>11</v>
      </c>
      <c r="J79" s="265">
        <f t="shared" si="2"/>
        <v>10</v>
      </c>
      <c r="K79" s="305" t="s">
        <v>138</v>
      </c>
      <c r="L79" s="306"/>
      <c r="M79" s="306"/>
      <c r="N79" s="306"/>
      <c r="O79" s="306"/>
      <c r="P79" s="306"/>
      <c r="Q79" s="306"/>
      <c r="R79" s="306"/>
      <c r="S79" s="306"/>
      <c r="T79" s="306"/>
      <c r="U79" s="306"/>
      <c r="V79" s="306"/>
      <c r="W79" s="306"/>
      <c r="X79" s="306"/>
      <c r="Y79" s="306"/>
      <c r="Z79" s="306"/>
      <c r="AA79" s="306"/>
      <c r="AB79" s="306"/>
      <c r="AC79" s="306"/>
      <c r="AD79" s="306"/>
      <c r="AE79" s="306"/>
      <c r="AF79" s="306"/>
      <c r="AG79" s="306"/>
      <c r="AH79" s="306"/>
      <c r="AI79" s="306"/>
      <c r="AJ79" s="306"/>
      <c r="AK79" s="306"/>
      <c r="AL79" s="306"/>
      <c r="AM79" s="307"/>
      <c r="AN79" s="134"/>
      <c r="AO79" s="269"/>
      <c r="AP79" s="295"/>
      <c r="AQ79" s="271"/>
      <c r="AR79" s="272"/>
      <c r="AS79" s="271"/>
      <c r="AT79" s="272"/>
      <c r="AU79" s="271"/>
      <c r="AV79" s="272"/>
      <c r="AW79" s="271"/>
      <c r="AX79" s="272"/>
      <c r="AY79" s="271"/>
      <c r="AZ79" s="272"/>
    </row>
    <row r="80">
      <c r="A80" s="94"/>
      <c r="B80" s="95"/>
      <c r="C80" s="95"/>
      <c r="D80" s="95"/>
      <c r="E80" s="95"/>
      <c r="F80" s="95"/>
      <c r="G80" s="47"/>
      <c r="H80" s="130">
        <v>11.0</v>
      </c>
      <c r="I80" s="113">
        <f>AP40</f>
        <v>19</v>
      </c>
      <c r="J80" s="265">
        <f t="shared" si="2"/>
        <v>17.27272727</v>
      </c>
      <c r="K80" s="305" t="s">
        <v>138</v>
      </c>
      <c r="L80" s="306"/>
      <c r="M80" s="306"/>
      <c r="N80" s="306"/>
      <c r="O80" s="306"/>
      <c r="P80" s="306"/>
      <c r="Q80" s="306"/>
      <c r="R80" s="306"/>
      <c r="S80" s="306"/>
      <c r="T80" s="306"/>
      <c r="U80" s="306"/>
      <c r="V80" s="306"/>
      <c r="W80" s="306"/>
      <c r="X80" s="306"/>
      <c r="Y80" s="306"/>
      <c r="Z80" s="306"/>
      <c r="AA80" s="306"/>
      <c r="AB80" s="306"/>
      <c r="AC80" s="306"/>
      <c r="AD80" s="306"/>
      <c r="AE80" s="306"/>
      <c r="AF80" s="306"/>
      <c r="AG80" s="306"/>
      <c r="AH80" s="306"/>
      <c r="AI80" s="306"/>
      <c r="AJ80" s="306"/>
      <c r="AK80" s="306"/>
      <c r="AL80" s="306"/>
      <c r="AM80" s="307"/>
      <c r="AN80" s="134"/>
      <c r="AO80" s="269"/>
      <c r="AP80" s="295"/>
      <c r="AQ80" s="271"/>
      <c r="AR80" s="272"/>
      <c r="AS80" s="271"/>
      <c r="AT80" s="272"/>
      <c r="AU80" s="271"/>
      <c r="AV80" s="272"/>
      <c r="AW80" s="271"/>
      <c r="AX80" s="272"/>
      <c r="AY80" s="271"/>
      <c r="AZ80" s="272"/>
    </row>
    <row r="81">
      <c r="A81" s="94"/>
      <c r="B81" s="95"/>
      <c r="C81" s="95"/>
      <c r="D81" s="95"/>
      <c r="E81" s="95"/>
      <c r="F81" s="95"/>
      <c r="G81" s="47"/>
      <c r="H81" s="130">
        <v>12.0</v>
      </c>
      <c r="I81" s="114">
        <f>AQ40</f>
        <v>23</v>
      </c>
      <c r="J81" s="265">
        <f t="shared" si="2"/>
        <v>20.90909091</v>
      </c>
      <c r="K81" s="308" t="s">
        <v>139</v>
      </c>
      <c r="L81" s="301"/>
      <c r="M81" s="301"/>
      <c r="N81" s="301"/>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2"/>
      <c r="AN81" s="129"/>
      <c r="AO81" s="269"/>
      <c r="AP81" s="295"/>
      <c r="AQ81" s="271"/>
      <c r="AR81" s="272"/>
      <c r="AS81" s="271"/>
      <c r="AT81" s="272"/>
      <c r="AU81" s="271"/>
      <c r="AV81" s="272"/>
      <c r="AW81" s="271"/>
      <c r="AX81" s="272"/>
      <c r="AY81" s="271"/>
      <c r="AZ81" s="272"/>
    </row>
    <row r="82">
      <c r="A82" s="94"/>
      <c r="B82" s="95"/>
      <c r="C82" s="95"/>
      <c r="D82" s="95"/>
      <c r="E82" s="95"/>
      <c r="F82" s="95"/>
      <c r="G82" s="47"/>
      <c r="H82" s="130">
        <v>13.0</v>
      </c>
      <c r="I82" s="113">
        <f>AR40</f>
        <v>32</v>
      </c>
      <c r="J82" s="265">
        <f t="shared" si="2"/>
        <v>29.09090909</v>
      </c>
      <c r="K82" s="308" t="s">
        <v>140</v>
      </c>
      <c r="L82" s="298"/>
      <c r="M82" s="298"/>
      <c r="N82" s="298"/>
      <c r="O82" s="298"/>
      <c r="P82" s="298"/>
      <c r="Q82" s="298"/>
      <c r="R82" s="298"/>
      <c r="S82" s="298"/>
      <c r="T82" s="298"/>
      <c r="U82" s="298"/>
      <c r="V82" s="298"/>
      <c r="W82" s="298"/>
      <c r="X82" s="298"/>
      <c r="Y82" s="298"/>
      <c r="Z82" s="298"/>
      <c r="AA82" s="298"/>
      <c r="AB82" s="298"/>
      <c r="AC82" s="298"/>
      <c r="AD82" s="298"/>
      <c r="AE82" s="298"/>
      <c r="AF82" s="298"/>
      <c r="AG82" s="298"/>
      <c r="AH82" s="298"/>
      <c r="AI82" s="298"/>
      <c r="AJ82" s="298"/>
      <c r="AK82" s="298"/>
      <c r="AL82" s="298"/>
      <c r="AM82" s="299"/>
      <c r="AN82" s="300"/>
      <c r="AO82" s="269"/>
      <c r="AP82" s="295"/>
      <c r="AQ82" s="271"/>
      <c r="AR82" s="272"/>
      <c r="AS82" s="271"/>
      <c r="AT82" s="272"/>
      <c r="AU82" s="271"/>
      <c r="AV82" s="272"/>
      <c r="AW82" s="271"/>
      <c r="AX82" s="272"/>
      <c r="AY82" s="271"/>
      <c r="AZ82" s="272"/>
    </row>
    <row r="83">
      <c r="A83" s="94"/>
      <c r="B83" s="95"/>
      <c r="C83" s="95"/>
      <c r="D83" s="95"/>
      <c r="E83" s="95"/>
      <c r="F83" s="95"/>
      <c r="G83" s="47"/>
      <c r="H83" s="130">
        <v>14.0</v>
      </c>
      <c r="I83" s="113">
        <f>AS40</f>
        <v>22</v>
      </c>
      <c r="J83" s="265">
        <f t="shared" si="2"/>
        <v>20</v>
      </c>
      <c r="K83" s="308" t="s">
        <v>141</v>
      </c>
      <c r="L83" s="306"/>
      <c r="M83" s="306"/>
      <c r="N83" s="306"/>
      <c r="O83" s="306"/>
      <c r="P83" s="306"/>
      <c r="Q83" s="306"/>
      <c r="R83" s="306"/>
      <c r="S83" s="306"/>
      <c r="T83" s="306"/>
      <c r="U83" s="306"/>
      <c r="V83" s="306"/>
      <c r="W83" s="306"/>
      <c r="X83" s="306"/>
      <c r="Y83" s="306"/>
      <c r="Z83" s="306"/>
      <c r="AA83" s="306"/>
      <c r="AB83" s="306"/>
      <c r="AC83" s="306"/>
      <c r="AD83" s="306"/>
      <c r="AE83" s="306"/>
      <c r="AF83" s="306"/>
      <c r="AG83" s="306"/>
      <c r="AH83" s="306"/>
      <c r="AI83" s="306"/>
      <c r="AJ83" s="306"/>
      <c r="AK83" s="306"/>
      <c r="AL83" s="306"/>
      <c r="AM83" s="307"/>
      <c r="AN83" s="134"/>
      <c r="AO83" s="269"/>
      <c r="AP83" s="295"/>
      <c r="AQ83" s="271"/>
      <c r="AR83" s="272"/>
      <c r="AS83" s="271"/>
      <c r="AT83" s="272"/>
      <c r="AU83" s="271"/>
      <c r="AV83" s="272"/>
      <c r="AW83" s="271"/>
      <c r="AX83" s="272"/>
      <c r="AY83" s="271"/>
      <c r="AZ83" s="272"/>
    </row>
    <row r="84">
      <c r="A84" s="94"/>
      <c r="B84" s="95"/>
      <c r="C84" s="95"/>
      <c r="D84" s="95"/>
      <c r="E84" s="95"/>
      <c r="F84" s="95"/>
      <c r="G84" s="47"/>
      <c r="H84" s="130">
        <v>15.0</v>
      </c>
      <c r="I84" s="113">
        <f>AT40</f>
        <v>21</v>
      </c>
      <c r="J84" s="265">
        <f t="shared" si="2"/>
        <v>19.09090909</v>
      </c>
      <c r="K84" s="308" t="s">
        <v>141</v>
      </c>
      <c r="L84" s="306"/>
      <c r="M84" s="306"/>
      <c r="N84" s="306"/>
      <c r="O84" s="306"/>
      <c r="P84" s="306"/>
      <c r="Q84" s="306"/>
      <c r="R84" s="306"/>
      <c r="S84" s="306"/>
      <c r="T84" s="306"/>
      <c r="U84" s="306"/>
      <c r="V84" s="306"/>
      <c r="W84" s="306"/>
      <c r="X84" s="306"/>
      <c r="Y84" s="306"/>
      <c r="Z84" s="306"/>
      <c r="AA84" s="306"/>
      <c r="AB84" s="306"/>
      <c r="AC84" s="306"/>
      <c r="AD84" s="306"/>
      <c r="AE84" s="306"/>
      <c r="AF84" s="306"/>
      <c r="AG84" s="306"/>
      <c r="AH84" s="306"/>
      <c r="AI84" s="306"/>
      <c r="AJ84" s="306"/>
      <c r="AK84" s="306"/>
      <c r="AL84" s="306"/>
      <c r="AM84" s="307"/>
      <c r="AN84" s="134"/>
      <c r="AO84" s="269"/>
      <c r="AP84" s="295"/>
      <c r="AQ84" s="271"/>
      <c r="AR84" s="272"/>
      <c r="AS84" s="271"/>
      <c r="AT84" s="272"/>
      <c r="AU84" s="271"/>
      <c r="AV84" s="272"/>
      <c r="AW84" s="271"/>
      <c r="AX84" s="272"/>
      <c r="AY84" s="271"/>
      <c r="AZ84" s="272"/>
    </row>
    <row r="85">
      <c r="A85" s="94"/>
      <c r="B85" s="95"/>
      <c r="C85" s="95"/>
      <c r="D85" s="95"/>
      <c r="E85" s="95"/>
      <c r="F85" s="95"/>
      <c r="G85" s="47"/>
      <c r="H85" s="130">
        <v>16.0</v>
      </c>
      <c r="I85" s="113">
        <f>AU40</f>
        <v>32</v>
      </c>
      <c r="J85" s="265">
        <f t="shared" si="2"/>
        <v>29.09090909</v>
      </c>
      <c r="K85" s="308" t="s">
        <v>141</v>
      </c>
      <c r="L85" s="301"/>
      <c r="M85" s="301"/>
      <c r="N85" s="301"/>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2"/>
      <c r="AN85" s="129"/>
      <c r="AO85" s="269"/>
      <c r="AP85" s="295"/>
      <c r="AQ85" s="271"/>
      <c r="AR85" s="272"/>
      <c r="AS85" s="271"/>
      <c r="AT85" s="272"/>
      <c r="AU85" s="271"/>
      <c r="AV85" s="272"/>
      <c r="AW85" s="271"/>
      <c r="AX85" s="272"/>
      <c r="AY85" s="271"/>
      <c r="AZ85" s="272"/>
    </row>
    <row r="86" ht="15.75" customHeight="1">
      <c r="A86" s="94"/>
      <c r="B86" s="95"/>
      <c r="C86" s="95"/>
      <c r="D86" s="95"/>
      <c r="E86" s="95"/>
      <c r="F86" s="95"/>
      <c r="G86" s="47"/>
      <c r="H86" s="130">
        <v>17.0</v>
      </c>
      <c r="I86" s="113">
        <f>AV40</f>
        <v>28</v>
      </c>
      <c r="J86" s="265">
        <f t="shared" si="2"/>
        <v>25.45454545</v>
      </c>
      <c r="K86" s="308" t="s">
        <v>142</v>
      </c>
      <c r="L86" s="306"/>
      <c r="M86" s="306"/>
      <c r="N86" s="306"/>
      <c r="O86" s="306"/>
      <c r="P86" s="306"/>
      <c r="Q86" s="306"/>
      <c r="R86" s="306"/>
      <c r="S86" s="306"/>
      <c r="T86" s="306"/>
      <c r="U86" s="306"/>
      <c r="V86" s="306"/>
      <c r="W86" s="306"/>
      <c r="X86" s="306"/>
      <c r="Y86" s="306"/>
      <c r="Z86" s="306"/>
      <c r="AA86" s="306"/>
      <c r="AB86" s="306"/>
      <c r="AC86" s="306"/>
      <c r="AD86" s="306"/>
      <c r="AE86" s="306"/>
      <c r="AF86" s="306"/>
      <c r="AG86" s="306"/>
      <c r="AH86" s="306"/>
      <c r="AI86" s="306"/>
      <c r="AJ86" s="306"/>
      <c r="AK86" s="306"/>
      <c r="AL86" s="306"/>
      <c r="AM86" s="307"/>
      <c r="AN86" s="134"/>
      <c r="AO86" s="269"/>
      <c r="AP86" s="295"/>
      <c r="AQ86" s="271"/>
      <c r="AR86" s="272"/>
      <c r="AS86" s="271"/>
      <c r="AT86" s="272"/>
      <c r="AU86" s="271"/>
      <c r="AV86" s="272"/>
      <c r="AW86" s="271"/>
      <c r="AX86" s="272"/>
      <c r="AY86" s="271"/>
      <c r="AZ86" s="272"/>
    </row>
    <row r="87" ht="15.75" customHeight="1">
      <c r="A87" s="94"/>
      <c r="B87" s="95"/>
      <c r="C87" s="95"/>
      <c r="D87" s="95"/>
      <c r="E87" s="95"/>
      <c r="F87" s="95"/>
      <c r="G87" s="47"/>
      <c r="H87" s="130">
        <v>18.0</v>
      </c>
      <c r="I87" s="113">
        <f>AW40</f>
        <v>23</v>
      </c>
      <c r="J87" s="265">
        <f t="shared" si="2"/>
        <v>20.90909091</v>
      </c>
      <c r="K87" s="308" t="s">
        <v>142</v>
      </c>
      <c r="L87" s="306"/>
      <c r="M87" s="306"/>
      <c r="N87" s="306"/>
      <c r="O87" s="306"/>
      <c r="P87" s="306"/>
      <c r="Q87" s="306"/>
      <c r="R87" s="306"/>
      <c r="S87" s="306"/>
      <c r="T87" s="306"/>
      <c r="U87" s="306"/>
      <c r="V87" s="306"/>
      <c r="W87" s="306"/>
      <c r="X87" s="306"/>
      <c r="Y87" s="306"/>
      <c r="Z87" s="306"/>
      <c r="AA87" s="306"/>
      <c r="AB87" s="306"/>
      <c r="AC87" s="306"/>
      <c r="AD87" s="306"/>
      <c r="AE87" s="306"/>
      <c r="AF87" s="306"/>
      <c r="AG87" s="306"/>
      <c r="AH87" s="306"/>
      <c r="AI87" s="306"/>
      <c r="AJ87" s="306"/>
      <c r="AK87" s="306"/>
      <c r="AL87" s="306"/>
      <c r="AM87" s="307"/>
      <c r="AN87" s="134"/>
      <c r="AO87" s="269"/>
      <c r="AP87" s="295"/>
      <c r="AQ87" s="271"/>
      <c r="AR87" s="272"/>
      <c r="AS87" s="271"/>
      <c r="AT87" s="272"/>
      <c r="AU87" s="271"/>
      <c r="AV87" s="272"/>
      <c r="AW87" s="271"/>
      <c r="AX87" s="272"/>
      <c r="AY87" s="271"/>
      <c r="AZ87" s="272"/>
    </row>
    <row r="88" ht="15.75" customHeight="1">
      <c r="A88" s="94"/>
      <c r="B88" s="95"/>
      <c r="C88" s="95"/>
      <c r="D88" s="95"/>
      <c r="E88" s="95"/>
      <c r="F88" s="95"/>
      <c r="G88" s="47"/>
      <c r="H88" s="130">
        <v>19.0</v>
      </c>
      <c r="I88" s="113">
        <f>AX40</f>
        <v>21</v>
      </c>
      <c r="J88" s="265">
        <f t="shared" si="2"/>
        <v>19.09090909</v>
      </c>
      <c r="K88" s="308" t="s">
        <v>141</v>
      </c>
      <c r="L88" s="306"/>
      <c r="M88" s="306"/>
      <c r="N88" s="306"/>
      <c r="O88" s="306"/>
      <c r="P88" s="306"/>
      <c r="Q88" s="306"/>
      <c r="R88" s="306"/>
      <c r="S88" s="306"/>
      <c r="T88" s="306"/>
      <c r="U88" s="306"/>
      <c r="V88" s="306"/>
      <c r="W88" s="306"/>
      <c r="X88" s="306"/>
      <c r="Y88" s="306"/>
      <c r="Z88" s="306"/>
      <c r="AA88" s="306"/>
      <c r="AB88" s="306"/>
      <c r="AC88" s="306"/>
      <c r="AD88" s="306"/>
      <c r="AE88" s="306"/>
      <c r="AF88" s="306"/>
      <c r="AG88" s="306"/>
      <c r="AH88" s="306"/>
      <c r="AI88" s="306"/>
      <c r="AJ88" s="306"/>
      <c r="AK88" s="306"/>
      <c r="AL88" s="306"/>
      <c r="AM88" s="307"/>
      <c r="AN88" s="134"/>
      <c r="AO88" s="269"/>
      <c r="AP88" s="295"/>
      <c r="AQ88" s="271"/>
      <c r="AR88" s="272"/>
      <c r="AS88" s="271"/>
      <c r="AT88" s="272"/>
      <c r="AU88" s="271"/>
      <c r="AV88" s="272"/>
      <c r="AW88" s="271"/>
      <c r="AX88" s="272"/>
      <c r="AY88" s="271"/>
      <c r="AZ88" s="272"/>
    </row>
    <row r="89" ht="15.75" customHeight="1">
      <c r="A89" s="94"/>
      <c r="B89" s="95"/>
      <c r="C89" s="95"/>
      <c r="D89" s="95"/>
      <c r="E89" s="95"/>
      <c r="F89" s="95"/>
      <c r="G89" s="47"/>
      <c r="H89" s="130">
        <v>20.0</v>
      </c>
      <c r="I89" s="113">
        <f>AY40</f>
        <v>17</v>
      </c>
      <c r="J89" s="265">
        <f t="shared" si="2"/>
        <v>15.45454545</v>
      </c>
      <c r="K89" s="308" t="s">
        <v>141</v>
      </c>
      <c r="L89" s="306"/>
      <c r="M89" s="306"/>
      <c r="N89" s="306"/>
      <c r="O89" s="306"/>
      <c r="P89" s="306"/>
      <c r="Q89" s="306"/>
      <c r="R89" s="306"/>
      <c r="S89" s="306"/>
      <c r="T89" s="306"/>
      <c r="U89" s="306"/>
      <c r="V89" s="306"/>
      <c r="W89" s="306"/>
      <c r="X89" s="306"/>
      <c r="Y89" s="306"/>
      <c r="Z89" s="306"/>
      <c r="AA89" s="306"/>
      <c r="AB89" s="306"/>
      <c r="AC89" s="306"/>
      <c r="AD89" s="306"/>
      <c r="AE89" s="306"/>
      <c r="AF89" s="306"/>
      <c r="AG89" s="306"/>
      <c r="AH89" s="306"/>
      <c r="AI89" s="306"/>
      <c r="AJ89" s="306"/>
      <c r="AK89" s="306"/>
      <c r="AL89" s="306"/>
      <c r="AM89" s="307"/>
      <c r="AN89" s="134"/>
      <c r="AO89" s="269"/>
      <c r="AP89" s="295"/>
      <c r="AQ89" s="271"/>
      <c r="AR89" s="272"/>
      <c r="AS89" s="271"/>
      <c r="AT89" s="272"/>
      <c r="AU89" s="271"/>
      <c r="AV89" s="272"/>
      <c r="AW89" s="271"/>
      <c r="AX89" s="272"/>
      <c r="AY89" s="271"/>
      <c r="AZ89" s="272"/>
    </row>
    <row r="90" ht="15.75" customHeight="1">
      <c r="A90" s="94"/>
      <c r="B90" s="95"/>
      <c r="C90" s="95"/>
      <c r="D90" s="95"/>
      <c r="E90" s="95"/>
      <c r="F90" s="95"/>
      <c r="G90" s="47"/>
      <c r="H90" s="130">
        <v>21.0</v>
      </c>
      <c r="I90" s="113">
        <f>AZ40</f>
        <v>29</v>
      </c>
      <c r="J90" s="265">
        <f t="shared" si="2"/>
        <v>26.36363636</v>
      </c>
      <c r="K90" s="305" t="s">
        <v>143</v>
      </c>
      <c r="L90" s="306"/>
      <c r="M90" s="306"/>
      <c r="N90" s="306"/>
      <c r="O90" s="306"/>
      <c r="P90" s="306"/>
      <c r="Q90" s="306"/>
      <c r="R90" s="306"/>
      <c r="S90" s="306"/>
      <c r="T90" s="306"/>
      <c r="U90" s="306"/>
      <c r="V90" s="306"/>
      <c r="W90" s="306"/>
      <c r="X90" s="306"/>
      <c r="Y90" s="306"/>
      <c r="Z90" s="306"/>
      <c r="AA90" s="306"/>
      <c r="AB90" s="306"/>
      <c r="AC90" s="306"/>
      <c r="AD90" s="306"/>
      <c r="AE90" s="306"/>
      <c r="AF90" s="306"/>
      <c r="AG90" s="306"/>
      <c r="AH90" s="306"/>
      <c r="AI90" s="306"/>
      <c r="AJ90" s="306"/>
      <c r="AK90" s="306"/>
      <c r="AL90" s="306"/>
      <c r="AM90" s="307"/>
      <c r="AN90" s="134"/>
      <c r="AO90" s="269"/>
      <c r="AP90" s="295"/>
      <c r="AQ90" s="271"/>
      <c r="AR90" s="272"/>
      <c r="AS90" s="271"/>
      <c r="AT90" s="272"/>
      <c r="AU90" s="271"/>
      <c r="AV90" s="272"/>
      <c r="AW90" s="271"/>
      <c r="AX90" s="272"/>
      <c r="AY90" s="271"/>
      <c r="AZ90" s="272"/>
    </row>
    <row r="91" ht="15.75" customHeight="1">
      <c r="A91" s="94"/>
      <c r="B91" s="95"/>
      <c r="C91" s="95"/>
      <c r="D91" s="95"/>
      <c r="E91" s="95"/>
      <c r="F91" s="95"/>
      <c r="G91" s="47"/>
      <c r="H91" s="130">
        <v>22.0</v>
      </c>
      <c r="I91" s="113">
        <f>BA40</f>
        <v>21</v>
      </c>
      <c r="J91" s="265">
        <f t="shared" si="2"/>
        <v>19.09090909</v>
      </c>
      <c r="K91" s="305" t="s">
        <v>144</v>
      </c>
      <c r="L91" s="306"/>
      <c r="M91" s="306"/>
      <c r="N91" s="306"/>
      <c r="O91" s="306"/>
      <c r="P91" s="306"/>
      <c r="Q91" s="306"/>
      <c r="R91" s="306"/>
      <c r="S91" s="306"/>
      <c r="T91" s="306"/>
      <c r="U91" s="306"/>
      <c r="V91" s="306"/>
      <c r="W91" s="306"/>
      <c r="X91" s="306"/>
      <c r="Y91" s="306"/>
      <c r="Z91" s="306"/>
      <c r="AA91" s="306"/>
      <c r="AB91" s="306"/>
      <c r="AC91" s="306"/>
      <c r="AD91" s="306"/>
      <c r="AE91" s="306"/>
      <c r="AF91" s="306"/>
      <c r="AG91" s="306"/>
      <c r="AH91" s="306"/>
      <c r="AI91" s="306"/>
      <c r="AJ91" s="306"/>
      <c r="AK91" s="306"/>
      <c r="AL91" s="306"/>
      <c r="AM91" s="307"/>
      <c r="AN91" s="134"/>
      <c r="AO91" s="269"/>
      <c r="AP91" s="295"/>
      <c r="AQ91" s="271"/>
      <c r="AR91" s="272"/>
      <c r="AS91" s="271"/>
      <c r="AT91" s="272"/>
      <c r="AU91" s="271"/>
      <c r="AV91" s="272"/>
      <c r="AW91" s="271"/>
      <c r="AX91" s="272"/>
      <c r="AY91" s="271"/>
      <c r="AZ91" s="272"/>
    </row>
    <row r="92" ht="15.75" customHeight="1">
      <c r="A92" s="94"/>
      <c r="B92" s="95"/>
      <c r="C92" s="95"/>
      <c r="D92" s="95"/>
      <c r="E92" s="95"/>
      <c r="F92" s="95"/>
      <c r="G92" s="47"/>
      <c r="H92" s="130">
        <v>23.0</v>
      </c>
      <c r="I92" s="113">
        <f>BB40</f>
        <v>17</v>
      </c>
      <c r="J92" s="265">
        <f t="shared" si="2"/>
        <v>15.45454545</v>
      </c>
      <c r="K92" s="305" t="s">
        <v>144</v>
      </c>
      <c r="L92" s="306"/>
      <c r="M92" s="306"/>
      <c r="N92" s="306"/>
      <c r="O92" s="306"/>
      <c r="P92" s="306"/>
      <c r="Q92" s="306"/>
      <c r="R92" s="306"/>
      <c r="S92" s="306"/>
      <c r="T92" s="306"/>
      <c r="U92" s="306"/>
      <c r="V92" s="306"/>
      <c r="W92" s="306"/>
      <c r="X92" s="306"/>
      <c r="Y92" s="306"/>
      <c r="Z92" s="306"/>
      <c r="AA92" s="306"/>
      <c r="AB92" s="306"/>
      <c r="AC92" s="306"/>
      <c r="AD92" s="306"/>
      <c r="AE92" s="306"/>
      <c r="AF92" s="306"/>
      <c r="AG92" s="306"/>
      <c r="AH92" s="306"/>
      <c r="AI92" s="306"/>
      <c r="AJ92" s="306"/>
      <c r="AK92" s="306"/>
      <c r="AL92" s="306"/>
      <c r="AM92" s="307"/>
      <c r="AN92" s="134"/>
      <c r="AO92" s="269"/>
      <c r="AP92" s="295"/>
      <c r="AQ92" s="271"/>
      <c r="AR92" s="272"/>
      <c r="AS92" s="271"/>
      <c r="AT92" s="272"/>
      <c r="AU92" s="271"/>
      <c r="AV92" s="272"/>
      <c r="AW92" s="271"/>
      <c r="AX92" s="272"/>
      <c r="AY92" s="271"/>
      <c r="AZ92" s="272"/>
    </row>
    <row r="93" ht="15.75" customHeight="1">
      <c r="A93" s="94"/>
      <c r="B93" s="95"/>
      <c r="C93" s="95"/>
      <c r="D93" s="95"/>
      <c r="E93" s="95"/>
      <c r="F93" s="95"/>
      <c r="G93" s="47"/>
      <c r="H93" s="130">
        <v>24.0</v>
      </c>
      <c r="I93" s="113">
        <f>BC40</f>
        <v>30</v>
      </c>
      <c r="J93" s="265">
        <f t="shared" si="2"/>
        <v>27.27272727</v>
      </c>
      <c r="K93" s="305" t="s">
        <v>144</v>
      </c>
      <c r="L93" s="306"/>
      <c r="M93" s="306"/>
      <c r="N93" s="306"/>
      <c r="O93" s="306"/>
      <c r="P93" s="306"/>
      <c r="Q93" s="306"/>
      <c r="R93" s="306"/>
      <c r="S93" s="306"/>
      <c r="T93" s="306"/>
      <c r="U93" s="306"/>
      <c r="V93" s="306"/>
      <c r="W93" s="306"/>
      <c r="X93" s="306"/>
      <c r="Y93" s="306"/>
      <c r="Z93" s="306"/>
      <c r="AA93" s="306"/>
      <c r="AB93" s="306"/>
      <c r="AC93" s="306"/>
      <c r="AD93" s="306"/>
      <c r="AE93" s="306"/>
      <c r="AF93" s="306"/>
      <c r="AG93" s="306"/>
      <c r="AH93" s="306"/>
      <c r="AI93" s="306"/>
      <c r="AJ93" s="306"/>
      <c r="AK93" s="306"/>
      <c r="AL93" s="306"/>
      <c r="AM93" s="307"/>
      <c r="AN93" s="134"/>
      <c r="AO93" s="269"/>
      <c r="AP93" s="295"/>
      <c r="AQ93" s="271"/>
      <c r="AR93" s="272"/>
      <c r="AS93" s="271"/>
      <c r="AT93" s="272"/>
      <c r="AU93" s="271"/>
      <c r="AV93" s="272"/>
      <c r="AW93" s="271"/>
      <c r="AX93" s="272"/>
      <c r="AY93" s="271"/>
      <c r="AZ93" s="272"/>
    </row>
    <row r="94" ht="15.75" customHeight="1">
      <c r="A94" s="94"/>
      <c r="B94" s="95"/>
      <c r="C94" s="95"/>
      <c r="D94" s="95"/>
      <c r="E94" s="95"/>
      <c r="F94" s="95"/>
      <c r="G94" s="47"/>
      <c r="H94" s="130">
        <v>25.0</v>
      </c>
      <c r="I94" s="113">
        <f>BD40</f>
        <v>22</v>
      </c>
      <c r="J94" s="265">
        <f t="shared" si="2"/>
        <v>20</v>
      </c>
      <c r="K94" s="305" t="s">
        <v>144</v>
      </c>
      <c r="L94" s="306"/>
      <c r="M94" s="306"/>
      <c r="N94" s="306"/>
      <c r="O94" s="306"/>
      <c r="P94" s="306"/>
      <c r="Q94" s="306"/>
      <c r="R94" s="306"/>
      <c r="S94" s="306"/>
      <c r="T94" s="306"/>
      <c r="U94" s="306"/>
      <c r="V94" s="306"/>
      <c r="W94" s="306"/>
      <c r="X94" s="306"/>
      <c r="Y94" s="306"/>
      <c r="Z94" s="306"/>
      <c r="AA94" s="306"/>
      <c r="AB94" s="306"/>
      <c r="AC94" s="306"/>
      <c r="AD94" s="306"/>
      <c r="AE94" s="306"/>
      <c r="AF94" s="306"/>
      <c r="AG94" s="306"/>
      <c r="AH94" s="306"/>
      <c r="AI94" s="306"/>
      <c r="AJ94" s="306"/>
      <c r="AK94" s="306"/>
      <c r="AL94" s="306"/>
      <c r="AM94" s="307"/>
      <c r="AN94" s="134"/>
      <c r="AO94" s="269"/>
      <c r="AP94" s="295"/>
      <c r="AQ94" s="271"/>
      <c r="AR94" s="272"/>
      <c r="AS94" s="271"/>
      <c r="AT94" s="272"/>
      <c r="AU94" s="271"/>
      <c r="AV94" s="272"/>
      <c r="AW94" s="271"/>
      <c r="AX94" s="272"/>
      <c r="AY94" s="271"/>
      <c r="AZ94" s="272"/>
    </row>
    <row r="95" ht="15.75" customHeight="1">
      <c r="A95" s="84"/>
      <c r="B95" s="85"/>
      <c r="C95" s="85"/>
      <c r="D95" s="85"/>
      <c r="E95" s="85"/>
      <c r="F95" s="85"/>
      <c r="G95" s="65"/>
      <c r="H95" s="309">
        <v>26.0</v>
      </c>
      <c r="I95" s="113">
        <f>BE40</f>
        <v>20</v>
      </c>
      <c r="J95" s="265">
        <f t="shared" si="2"/>
        <v>18.18181818</v>
      </c>
      <c r="K95" s="305" t="s">
        <v>144</v>
      </c>
      <c r="L95" s="306"/>
      <c r="M95" s="306"/>
      <c r="N95" s="306"/>
      <c r="O95" s="306"/>
      <c r="P95" s="306"/>
      <c r="Q95" s="306"/>
      <c r="R95" s="306"/>
      <c r="S95" s="306"/>
      <c r="T95" s="306"/>
      <c r="U95" s="306"/>
      <c r="V95" s="306"/>
      <c r="W95" s="306"/>
      <c r="X95" s="306"/>
      <c r="Y95" s="306"/>
      <c r="Z95" s="306"/>
      <c r="AA95" s="306"/>
      <c r="AB95" s="306"/>
      <c r="AC95" s="306"/>
      <c r="AD95" s="306"/>
      <c r="AE95" s="306"/>
      <c r="AF95" s="306"/>
      <c r="AG95" s="306"/>
      <c r="AH95" s="306"/>
      <c r="AI95" s="306"/>
      <c r="AJ95" s="306"/>
      <c r="AK95" s="306"/>
      <c r="AL95" s="306"/>
      <c r="AM95" s="307"/>
      <c r="AN95" s="134"/>
      <c r="AO95" s="269"/>
      <c r="AP95" s="295"/>
      <c r="AQ95" s="271"/>
      <c r="AR95" s="272"/>
      <c r="AS95" s="271"/>
      <c r="AT95" s="272"/>
      <c r="AU95" s="271"/>
      <c r="AV95" s="272"/>
      <c r="AW95" s="271"/>
      <c r="AX95" s="272"/>
      <c r="AY95" s="271"/>
      <c r="AZ95" s="272"/>
    </row>
    <row r="96" ht="16.5" customHeight="1"/>
    <row r="97" ht="15.0" customHeight="1">
      <c r="A97" s="310"/>
      <c r="B97" s="311"/>
      <c r="C97" s="311"/>
      <c r="D97" s="311"/>
      <c r="E97" s="311"/>
      <c r="F97" s="312"/>
      <c r="G97" s="313" t="s">
        <v>87</v>
      </c>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314"/>
      <c r="BF97" s="310"/>
      <c r="BG97" s="311"/>
      <c r="BH97" s="311"/>
      <c r="BI97" s="311"/>
      <c r="BJ97" s="311"/>
      <c r="BK97" s="311"/>
      <c r="BL97" s="311"/>
      <c r="BM97" s="311"/>
      <c r="BN97" s="311"/>
      <c r="BO97" s="311"/>
      <c r="BP97" s="312"/>
      <c r="BQ97" s="315"/>
    </row>
    <row r="98" ht="15.0" customHeight="1">
      <c r="A98" s="316"/>
      <c r="B98" s="317"/>
      <c r="C98" s="317"/>
      <c r="D98" s="317"/>
      <c r="E98" s="317"/>
      <c r="F98" s="318"/>
      <c r="G98" s="319"/>
      <c r="H98" s="320"/>
      <c r="I98" s="153">
        <v>901.0</v>
      </c>
      <c r="J98" s="153">
        <v>902.0</v>
      </c>
      <c r="K98" s="153">
        <v>903.0</v>
      </c>
      <c r="L98" s="153">
        <v>904.0</v>
      </c>
      <c r="M98" s="153">
        <v>905.0</v>
      </c>
      <c r="N98" s="153">
        <v>906.0</v>
      </c>
      <c r="O98" s="153">
        <v>907.0</v>
      </c>
      <c r="P98" s="153">
        <v>908.0</v>
      </c>
      <c r="Q98" s="153">
        <v>909.0</v>
      </c>
      <c r="R98" s="153">
        <v>910.0</v>
      </c>
      <c r="S98" s="321" t="s">
        <v>88</v>
      </c>
      <c r="T98" s="322" t="s">
        <v>44</v>
      </c>
      <c r="U98" s="153">
        <v>901.0</v>
      </c>
      <c r="V98" s="153">
        <v>902.0</v>
      </c>
      <c r="W98" s="153">
        <v>903.0</v>
      </c>
      <c r="X98" s="153">
        <v>904.0</v>
      </c>
      <c r="Y98" s="153">
        <v>905.0</v>
      </c>
      <c r="Z98" s="153">
        <v>906.0</v>
      </c>
      <c r="AA98" s="153">
        <v>907.0</v>
      </c>
      <c r="AB98" s="153">
        <v>908.0</v>
      </c>
      <c r="AC98" s="153">
        <v>909.0</v>
      </c>
      <c r="AD98" s="153">
        <v>910.0</v>
      </c>
      <c r="AE98" s="321" t="s">
        <v>88</v>
      </c>
      <c r="AF98" s="323" t="s">
        <v>42</v>
      </c>
      <c r="AG98" s="153">
        <v>901.0</v>
      </c>
      <c r="AH98" s="153">
        <v>902.0</v>
      </c>
      <c r="AI98" s="153">
        <v>903.0</v>
      </c>
      <c r="AJ98" s="153">
        <v>904.0</v>
      </c>
      <c r="AK98" s="153">
        <v>905.0</v>
      </c>
      <c r="AL98" s="153">
        <v>906.0</v>
      </c>
      <c r="AM98" s="153">
        <v>907.0</v>
      </c>
      <c r="AN98" s="153">
        <v>908.0</v>
      </c>
      <c r="AO98" s="153">
        <v>909.0</v>
      </c>
      <c r="AP98" s="153">
        <v>910.0</v>
      </c>
      <c r="AQ98" s="321" t="s">
        <v>88</v>
      </c>
      <c r="AR98" s="324" t="s">
        <v>41</v>
      </c>
      <c r="AS98" s="153">
        <v>901.0</v>
      </c>
      <c r="AT98" s="153">
        <v>902.0</v>
      </c>
      <c r="AU98" s="153">
        <v>903.0</v>
      </c>
      <c r="AV98" s="153">
        <v>904.0</v>
      </c>
      <c r="AW98" s="153">
        <v>905.0</v>
      </c>
      <c r="AX98" s="153">
        <v>906.0</v>
      </c>
      <c r="AY98" s="153">
        <v>907.0</v>
      </c>
      <c r="AZ98" s="153">
        <v>908.0</v>
      </c>
      <c r="BA98" s="153">
        <v>909.0</v>
      </c>
      <c r="BB98" s="153">
        <v>910.0</v>
      </c>
      <c r="BC98" s="321" t="s">
        <v>88</v>
      </c>
      <c r="BD98" s="324" t="s">
        <v>43</v>
      </c>
      <c r="BE98" s="315"/>
      <c r="BF98" s="316"/>
      <c r="BG98" s="317"/>
      <c r="BH98" s="317"/>
      <c r="BI98" s="317"/>
      <c r="BJ98" s="317"/>
      <c r="BK98" s="317"/>
      <c r="BL98" s="317"/>
      <c r="BM98" s="317"/>
      <c r="BN98" s="317"/>
      <c r="BO98" s="317"/>
      <c r="BP98" s="318"/>
      <c r="BQ98" s="315"/>
    </row>
    <row r="99" ht="15.0" customHeight="1">
      <c r="A99" s="316"/>
      <c r="B99" s="317"/>
      <c r="C99" s="317"/>
      <c r="D99" s="317"/>
      <c r="E99" s="317"/>
      <c r="F99" s="318"/>
      <c r="G99" s="325" t="s">
        <v>16</v>
      </c>
      <c r="H99" s="326">
        <v>1.0</v>
      </c>
      <c r="I99" s="327">
        <f t="array" ref="I99:I149">'9º Ano - 901'!$AN$75:$AN$125</f>
        <v>5</v>
      </c>
      <c r="J99" s="327">
        <f t="array" ref="J99:J149">'9º Ano - 902'!$AN$75:$AN$125</f>
        <v>6</v>
      </c>
      <c r="K99" s="327">
        <f t="array" ref="K99:K149">'9º Ano - 903'!$AN$75:$AN$125</f>
        <v>6</v>
      </c>
      <c r="L99" s="327">
        <f t="array" ref="L99:L149">'9º Ano - 904'!$AN$75:$AN$125</f>
        <v>11</v>
      </c>
      <c r="M99" s="327"/>
      <c r="N99" s="327"/>
      <c r="O99" s="327"/>
      <c r="P99" s="327"/>
      <c r="Q99" s="327"/>
      <c r="R99" s="327"/>
      <c r="S99" s="328">
        <f t="shared" ref="S99:S149" si="3">SUM(I99:R99)</f>
        <v>28</v>
      </c>
      <c r="T99" s="329">
        <f t="shared" ref="T99:T149" si="4">SUM(S99/F$17*100)</f>
        <v>25.45454545</v>
      </c>
      <c r="U99" s="327">
        <f t="array" ref="U99:U149">'9º Ano - 901'!$AP$75:$AP$125</f>
        <v>2</v>
      </c>
      <c r="V99" s="327">
        <f t="array" ref="V99:V149">'9º Ano - 902'!$AP$75:$AP$125</f>
        <v>5</v>
      </c>
      <c r="W99" s="327">
        <f t="array" ref="W99:W149">'9º Ano - 903'!$AP$75:$AP$125</f>
        <v>2</v>
      </c>
      <c r="X99" s="327">
        <f t="array" ref="X99:X149">'9º Ano - 904'!$AP$75:$AP$125</f>
        <v>3</v>
      </c>
      <c r="Y99" s="327"/>
      <c r="Z99" s="327"/>
      <c r="AA99" s="327"/>
      <c r="AB99" s="327"/>
      <c r="AC99" s="327"/>
      <c r="AD99" s="327"/>
      <c r="AE99" s="328">
        <f t="shared" ref="AE99:AE149" si="5">SUM(U99:AD99)</f>
        <v>12</v>
      </c>
      <c r="AF99" s="322">
        <f t="shared" ref="AF99:AF149" si="6">SUM(AE99/F$17*100)</f>
        <v>10.90909091</v>
      </c>
      <c r="AG99" s="330">
        <f t="array" ref="AG99:AG149">'9º Ano - 901'!$AR$75:$AR$125</f>
        <v>6</v>
      </c>
      <c r="AH99" s="330">
        <f t="array" ref="AH99:AH149">'9º Ano - 902'!$AR$75:$AR$125</f>
        <v>9</v>
      </c>
      <c r="AI99" s="330">
        <f t="array" ref="AI99:AI149">'9º Ano - 903'!$AR$75:$AR$125</f>
        <v>6</v>
      </c>
      <c r="AJ99" s="330">
        <f t="array" ref="AJ99:AJ149">'9º Ano - 904'!$AR$75:$AR$125</f>
        <v>11</v>
      </c>
      <c r="AK99" s="330"/>
      <c r="AL99" s="330"/>
      <c r="AM99" s="330"/>
      <c r="AN99" s="330"/>
      <c r="AO99" s="330"/>
      <c r="AP99" s="330"/>
      <c r="AQ99" s="328">
        <f t="shared" ref="AQ99:AQ149" si="7">SUM(AG99:AP99)</f>
        <v>32</v>
      </c>
      <c r="AR99" s="322">
        <f t="shared" ref="AR99:AR149" si="8">SUM(AQ99/F$17*100)</f>
        <v>29.09090909</v>
      </c>
      <c r="AS99" s="327">
        <f t="array" ref="AS99:AS149">'9º Ano - 901'!$AT$75:$AT$125</f>
        <v>13</v>
      </c>
      <c r="AT99" s="327">
        <f t="array" ref="AT99:AT149">'9º Ano - 902'!$AT$75:$AT$125</f>
        <v>5</v>
      </c>
      <c r="AU99" s="327">
        <f t="array" ref="AU99:AU149">'9º Ano - 903'!$AT$75:$AT$125</f>
        <v>3</v>
      </c>
      <c r="AV99" s="327">
        <f t="array" ref="AV99:AV149">'9º Ano - 904'!$AT$75:$AT$125</f>
        <v>0</v>
      </c>
      <c r="AW99" s="327"/>
      <c r="AX99" s="327"/>
      <c r="AY99" s="327"/>
      <c r="AZ99" s="327"/>
      <c r="BA99" s="327"/>
      <c r="BB99" s="327"/>
      <c r="BC99" s="328">
        <f t="shared" ref="BC99:BC149" si="9">SUM(AS99:BB99)</f>
        <v>21</v>
      </c>
      <c r="BD99" s="322">
        <f t="shared" ref="BD99:BD149" si="10">SUM(BC99/F$17*100)</f>
        <v>19.09090909</v>
      </c>
      <c r="BE99" s="315"/>
      <c r="BF99" s="316"/>
      <c r="BG99" s="317"/>
      <c r="BH99" s="317"/>
      <c r="BI99" s="317"/>
      <c r="BJ99" s="317"/>
      <c r="BK99" s="317"/>
      <c r="BL99" s="317"/>
      <c r="BM99" s="317"/>
      <c r="BN99" s="317"/>
      <c r="BO99" s="317"/>
      <c r="BP99" s="318"/>
      <c r="BQ99" s="315"/>
    </row>
    <row r="100" ht="15.0" customHeight="1">
      <c r="A100" s="316"/>
      <c r="B100" s="317"/>
      <c r="C100" s="317"/>
      <c r="D100" s="317"/>
      <c r="E100" s="317"/>
      <c r="F100" s="318"/>
      <c r="H100" s="326">
        <v>2.0</v>
      </c>
      <c r="I100" s="327">
        <v>9.0</v>
      </c>
      <c r="J100" s="327">
        <v>7.0</v>
      </c>
      <c r="K100" s="327">
        <v>8.0</v>
      </c>
      <c r="L100" s="327">
        <v>9.0</v>
      </c>
      <c r="M100" s="327"/>
      <c r="N100" s="327"/>
      <c r="O100" s="327"/>
      <c r="P100" s="327"/>
      <c r="Q100" s="327"/>
      <c r="R100" s="327"/>
      <c r="S100" s="328">
        <f t="shared" si="3"/>
        <v>33</v>
      </c>
      <c r="T100" s="329">
        <f t="shared" si="4"/>
        <v>30</v>
      </c>
      <c r="U100" s="327">
        <v>6.0</v>
      </c>
      <c r="V100" s="327">
        <v>8.0</v>
      </c>
      <c r="W100" s="327">
        <v>4.0</v>
      </c>
      <c r="X100" s="327">
        <v>6.0</v>
      </c>
      <c r="Y100" s="327"/>
      <c r="Z100" s="327"/>
      <c r="AA100" s="327"/>
      <c r="AB100" s="327"/>
      <c r="AC100" s="327"/>
      <c r="AD100" s="327"/>
      <c r="AE100" s="328">
        <f t="shared" si="5"/>
        <v>24</v>
      </c>
      <c r="AF100" s="322">
        <f t="shared" si="6"/>
        <v>21.81818182</v>
      </c>
      <c r="AG100" s="330">
        <v>8.0</v>
      </c>
      <c r="AH100" s="327">
        <v>4.0</v>
      </c>
      <c r="AI100" s="327">
        <v>2.0</v>
      </c>
      <c r="AJ100" s="327">
        <v>4.0</v>
      </c>
      <c r="AK100" s="327"/>
      <c r="AL100" s="327"/>
      <c r="AM100" s="327"/>
      <c r="AN100" s="331"/>
      <c r="AO100" s="327"/>
      <c r="AP100" s="327"/>
      <c r="AQ100" s="328">
        <f t="shared" si="7"/>
        <v>18</v>
      </c>
      <c r="AR100" s="322">
        <f t="shared" si="8"/>
        <v>16.36363636</v>
      </c>
      <c r="AS100" s="327">
        <v>2.0</v>
      </c>
      <c r="AT100" s="327">
        <v>6.0</v>
      </c>
      <c r="AU100" s="327">
        <v>3.0</v>
      </c>
      <c r="AV100" s="327">
        <v>6.0</v>
      </c>
      <c r="AW100" s="327"/>
      <c r="AX100" s="327"/>
      <c r="AY100" s="327"/>
      <c r="AZ100" s="327"/>
      <c r="BA100" s="327"/>
      <c r="BB100" s="327"/>
      <c r="BC100" s="328">
        <f t="shared" si="9"/>
        <v>17</v>
      </c>
      <c r="BD100" s="322">
        <f t="shared" si="10"/>
        <v>15.45454545</v>
      </c>
      <c r="BE100" s="315"/>
      <c r="BF100" s="316"/>
      <c r="BG100" s="317"/>
      <c r="BH100" s="317"/>
      <c r="BI100" s="317"/>
      <c r="BJ100" s="317"/>
      <c r="BK100" s="317"/>
      <c r="BL100" s="317"/>
      <c r="BM100" s="317"/>
      <c r="BN100" s="317"/>
      <c r="BO100" s="317"/>
      <c r="BP100" s="318"/>
      <c r="BQ100" s="315"/>
    </row>
    <row r="101" ht="15.0" customHeight="1">
      <c r="A101" s="316"/>
      <c r="B101" s="317"/>
      <c r="C101" s="317"/>
      <c r="D101" s="317"/>
      <c r="E101" s="317"/>
      <c r="F101" s="318"/>
      <c r="H101" s="326">
        <v>3.0</v>
      </c>
      <c r="I101" s="327">
        <v>0.0</v>
      </c>
      <c r="J101" s="327">
        <v>4.0</v>
      </c>
      <c r="K101" s="327">
        <v>1.0</v>
      </c>
      <c r="L101" s="327">
        <v>4.0</v>
      </c>
      <c r="M101" s="327"/>
      <c r="N101" s="327"/>
      <c r="O101" s="327"/>
      <c r="P101" s="327"/>
      <c r="Q101" s="327"/>
      <c r="R101" s="327"/>
      <c r="S101" s="328">
        <f t="shared" si="3"/>
        <v>9</v>
      </c>
      <c r="T101" s="329">
        <f t="shared" si="4"/>
        <v>8.181818182</v>
      </c>
      <c r="U101" s="327">
        <v>4.0</v>
      </c>
      <c r="V101" s="327">
        <v>0.0</v>
      </c>
      <c r="W101" s="327">
        <v>0.0</v>
      </c>
      <c r="X101" s="327">
        <v>4.0</v>
      </c>
      <c r="Y101" s="327"/>
      <c r="Z101" s="327"/>
      <c r="AA101" s="327"/>
      <c r="AB101" s="327"/>
      <c r="AC101" s="327"/>
      <c r="AD101" s="327"/>
      <c r="AE101" s="328">
        <f t="shared" si="5"/>
        <v>8</v>
      </c>
      <c r="AF101" s="322">
        <f t="shared" si="6"/>
        <v>7.272727273</v>
      </c>
      <c r="AG101" s="330">
        <v>21.0</v>
      </c>
      <c r="AH101" s="327">
        <v>19.0</v>
      </c>
      <c r="AI101" s="327">
        <v>15.0</v>
      </c>
      <c r="AJ101" s="327">
        <v>15.0</v>
      </c>
      <c r="AK101" s="327"/>
      <c r="AL101" s="327"/>
      <c r="AM101" s="327"/>
      <c r="AN101" s="327"/>
      <c r="AO101" s="327"/>
      <c r="AP101" s="327"/>
      <c r="AQ101" s="328">
        <f t="shared" si="7"/>
        <v>70</v>
      </c>
      <c r="AR101" s="322">
        <f t="shared" si="8"/>
        <v>63.63636364</v>
      </c>
      <c r="AS101" s="327">
        <v>1.0</v>
      </c>
      <c r="AT101" s="327">
        <v>2.0</v>
      </c>
      <c r="AU101" s="327">
        <v>1.0</v>
      </c>
      <c r="AV101" s="327">
        <v>2.0</v>
      </c>
      <c r="AW101" s="327"/>
      <c r="AX101" s="327"/>
      <c r="AY101" s="327"/>
      <c r="AZ101" s="327"/>
      <c r="BA101" s="327"/>
      <c r="BB101" s="327"/>
      <c r="BC101" s="328">
        <f t="shared" si="9"/>
        <v>6</v>
      </c>
      <c r="BD101" s="322">
        <f t="shared" si="10"/>
        <v>5.454545455</v>
      </c>
      <c r="BE101" s="315"/>
      <c r="BF101" s="316"/>
      <c r="BG101" s="317"/>
      <c r="BH101" s="317"/>
      <c r="BI101" s="317"/>
      <c r="BJ101" s="317"/>
      <c r="BK101" s="317"/>
      <c r="BL101" s="317"/>
      <c r="BM101" s="317"/>
      <c r="BN101" s="317"/>
      <c r="BO101" s="317"/>
      <c r="BP101" s="318"/>
      <c r="BQ101" s="315"/>
    </row>
    <row r="102" ht="15.0" customHeight="1">
      <c r="A102" s="316"/>
      <c r="B102" s="317"/>
      <c r="C102" s="317"/>
      <c r="D102" s="317"/>
      <c r="E102" s="317"/>
      <c r="F102" s="318"/>
      <c r="H102" s="326">
        <v>4.0</v>
      </c>
      <c r="I102" s="327">
        <v>2.0</v>
      </c>
      <c r="J102" s="327">
        <v>5.0</v>
      </c>
      <c r="K102" s="327">
        <v>1.0</v>
      </c>
      <c r="L102" s="327">
        <v>7.0</v>
      </c>
      <c r="M102" s="327"/>
      <c r="N102" s="327"/>
      <c r="O102" s="327"/>
      <c r="P102" s="327"/>
      <c r="Q102" s="327"/>
      <c r="R102" s="327"/>
      <c r="S102" s="328">
        <f t="shared" si="3"/>
        <v>15</v>
      </c>
      <c r="T102" s="329">
        <f t="shared" si="4"/>
        <v>13.63636364</v>
      </c>
      <c r="U102" s="327">
        <v>14.0</v>
      </c>
      <c r="V102" s="327">
        <v>8.0</v>
      </c>
      <c r="W102" s="327">
        <v>7.0</v>
      </c>
      <c r="X102" s="327">
        <v>11.0</v>
      </c>
      <c r="Y102" s="327"/>
      <c r="Z102" s="327"/>
      <c r="AA102" s="327"/>
      <c r="AB102" s="327"/>
      <c r="AC102" s="327"/>
      <c r="AD102" s="327"/>
      <c r="AE102" s="328">
        <f t="shared" si="5"/>
        <v>40</v>
      </c>
      <c r="AF102" s="322">
        <f t="shared" si="6"/>
        <v>36.36363636</v>
      </c>
      <c r="AG102" s="330">
        <v>6.0</v>
      </c>
      <c r="AH102" s="327">
        <v>6.0</v>
      </c>
      <c r="AI102" s="327">
        <v>4.0</v>
      </c>
      <c r="AJ102" s="327">
        <v>2.0</v>
      </c>
      <c r="AK102" s="327"/>
      <c r="AL102" s="327"/>
      <c r="AM102" s="327"/>
      <c r="AN102" s="327"/>
      <c r="AO102" s="327"/>
      <c r="AP102" s="327"/>
      <c r="AQ102" s="328">
        <f t="shared" si="7"/>
        <v>18</v>
      </c>
      <c r="AR102" s="322">
        <f t="shared" si="8"/>
        <v>16.36363636</v>
      </c>
      <c r="AS102" s="327">
        <v>4.0</v>
      </c>
      <c r="AT102" s="327">
        <v>6.0</v>
      </c>
      <c r="AU102" s="327">
        <v>5.0</v>
      </c>
      <c r="AV102" s="327">
        <v>5.0</v>
      </c>
      <c r="AW102" s="327"/>
      <c r="AX102" s="327"/>
      <c r="AY102" s="327"/>
      <c r="AZ102" s="327"/>
      <c r="BA102" s="327"/>
      <c r="BB102" s="327"/>
      <c r="BC102" s="328">
        <f t="shared" si="9"/>
        <v>20</v>
      </c>
      <c r="BD102" s="322">
        <f t="shared" si="10"/>
        <v>18.18181818</v>
      </c>
      <c r="BE102" s="315"/>
      <c r="BF102" s="316"/>
      <c r="BG102" s="317"/>
      <c r="BH102" s="317"/>
      <c r="BI102" s="317"/>
      <c r="BJ102" s="317"/>
      <c r="BK102" s="317"/>
      <c r="BL102" s="317"/>
      <c r="BM102" s="317"/>
      <c r="BN102" s="317"/>
      <c r="BO102" s="317"/>
      <c r="BP102" s="318"/>
      <c r="BQ102" s="315"/>
    </row>
    <row r="103" ht="15.0" customHeight="1">
      <c r="A103" s="316"/>
      <c r="B103" s="317"/>
      <c r="C103" s="317"/>
      <c r="D103" s="317"/>
      <c r="E103" s="317"/>
      <c r="F103" s="318"/>
      <c r="H103" s="326">
        <v>5.0</v>
      </c>
      <c r="I103" s="327">
        <v>5.0</v>
      </c>
      <c r="J103" s="327">
        <v>7.0</v>
      </c>
      <c r="K103" s="327">
        <v>7.0</v>
      </c>
      <c r="L103" s="327">
        <v>3.0</v>
      </c>
      <c r="M103" s="327"/>
      <c r="N103" s="327"/>
      <c r="O103" s="327"/>
      <c r="P103" s="327"/>
      <c r="Q103" s="327"/>
      <c r="R103" s="327"/>
      <c r="S103" s="328">
        <f t="shared" si="3"/>
        <v>22</v>
      </c>
      <c r="T103" s="329">
        <f t="shared" si="4"/>
        <v>20</v>
      </c>
      <c r="U103" s="327">
        <v>7.0</v>
      </c>
      <c r="V103" s="327">
        <v>5.0</v>
      </c>
      <c r="W103" s="327">
        <v>4.0</v>
      </c>
      <c r="X103" s="327">
        <v>6.0</v>
      </c>
      <c r="Y103" s="327"/>
      <c r="Z103" s="327"/>
      <c r="AA103" s="327"/>
      <c r="AB103" s="327"/>
      <c r="AC103" s="327"/>
      <c r="AD103" s="327"/>
      <c r="AE103" s="328">
        <f t="shared" si="5"/>
        <v>22</v>
      </c>
      <c r="AF103" s="322">
        <f t="shared" si="6"/>
        <v>20</v>
      </c>
      <c r="AG103" s="330">
        <v>1.0</v>
      </c>
      <c r="AH103" s="327">
        <v>5.0</v>
      </c>
      <c r="AI103" s="327">
        <v>1.0</v>
      </c>
      <c r="AJ103" s="327">
        <v>4.0</v>
      </c>
      <c r="AK103" s="327"/>
      <c r="AL103" s="327"/>
      <c r="AM103" s="327"/>
      <c r="AN103" s="327"/>
      <c r="AO103" s="327"/>
      <c r="AP103" s="327"/>
      <c r="AQ103" s="328">
        <f t="shared" si="7"/>
        <v>11</v>
      </c>
      <c r="AR103" s="322">
        <f t="shared" si="8"/>
        <v>10</v>
      </c>
      <c r="AS103" s="327">
        <v>13.0</v>
      </c>
      <c r="AT103" s="327">
        <v>8.0</v>
      </c>
      <c r="AU103" s="327">
        <v>5.0</v>
      </c>
      <c r="AV103" s="327">
        <v>12.0</v>
      </c>
      <c r="AW103" s="327"/>
      <c r="AX103" s="327"/>
      <c r="AY103" s="327"/>
      <c r="AZ103" s="327"/>
      <c r="BA103" s="327"/>
      <c r="BB103" s="327"/>
      <c r="BC103" s="328">
        <f t="shared" si="9"/>
        <v>38</v>
      </c>
      <c r="BD103" s="322">
        <f t="shared" si="10"/>
        <v>34.54545455</v>
      </c>
      <c r="BE103" s="315"/>
      <c r="BF103" s="316"/>
      <c r="BG103" s="317"/>
      <c r="BH103" s="317"/>
      <c r="BI103" s="317"/>
      <c r="BJ103" s="317"/>
      <c r="BK103" s="317"/>
      <c r="BL103" s="317"/>
      <c r="BM103" s="317"/>
      <c r="BN103" s="317"/>
      <c r="BO103" s="317"/>
      <c r="BP103" s="318"/>
      <c r="BQ103" s="315"/>
    </row>
    <row r="104" ht="15.0" customHeight="1">
      <c r="A104" s="316"/>
      <c r="B104" s="317"/>
      <c r="C104" s="317"/>
      <c r="D104" s="317"/>
      <c r="E104" s="317"/>
      <c r="F104" s="318"/>
      <c r="H104" s="326">
        <v>6.0</v>
      </c>
      <c r="I104" s="327">
        <v>4.0</v>
      </c>
      <c r="J104" s="327">
        <v>4.0</v>
      </c>
      <c r="K104" s="327">
        <v>1.0</v>
      </c>
      <c r="L104" s="327">
        <v>2.0</v>
      </c>
      <c r="M104" s="327"/>
      <c r="N104" s="327"/>
      <c r="O104" s="327"/>
      <c r="P104" s="327"/>
      <c r="Q104" s="327"/>
      <c r="R104" s="327"/>
      <c r="S104" s="328">
        <f t="shared" si="3"/>
        <v>11</v>
      </c>
      <c r="T104" s="329">
        <f t="shared" si="4"/>
        <v>10</v>
      </c>
      <c r="U104" s="327">
        <v>9.0</v>
      </c>
      <c r="V104" s="327">
        <v>17.0</v>
      </c>
      <c r="W104" s="327">
        <v>9.0</v>
      </c>
      <c r="X104" s="327">
        <v>12.0</v>
      </c>
      <c r="Y104" s="327"/>
      <c r="Z104" s="327"/>
      <c r="AA104" s="327"/>
      <c r="AB104" s="327"/>
      <c r="AC104" s="327"/>
      <c r="AD104" s="327"/>
      <c r="AE104" s="328">
        <f t="shared" si="5"/>
        <v>47</v>
      </c>
      <c r="AF104" s="322">
        <f t="shared" si="6"/>
        <v>42.72727273</v>
      </c>
      <c r="AG104" s="330">
        <v>5.0</v>
      </c>
      <c r="AH104" s="327">
        <v>2.0</v>
      </c>
      <c r="AI104" s="327">
        <v>4.0</v>
      </c>
      <c r="AJ104" s="327">
        <v>3.0</v>
      </c>
      <c r="AK104" s="327"/>
      <c r="AL104" s="327"/>
      <c r="AM104" s="327"/>
      <c r="AN104" s="327"/>
      <c r="AO104" s="327"/>
      <c r="AP104" s="327"/>
      <c r="AQ104" s="328">
        <f t="shared" si="7"/>
        <v>14</v>
      </c>
      <c r="AR104" s="322">
        <f t="shared" si="8"/>
        <v>12.72727273</v>
      </c>
      <c r="AS104" s="327">
        <v>7.0</v>
      </c>
      <c r="AT104" s="327">
        <v>2.0</v>
      </c>
      <c r="AU104" s="327">
        <v>3.0</v>
      </c>
      <c r="AV104" s="327">
        <v>8.0</v>
      </c>
      <c r="AW104" s="327"/>
      <c r="AX104" s="327"/>
      <c r="AY104" s="327"/>
      <c r="AZ104" s="327"/>
      <c r="BA104" s="327"/>
      <c r="BB104" s="327"/>
      <c r="BC104" s="328">
        <f t="shared" si="9"/>
        <v>20</v>
      </c>
      <c r="BD104" s="322">
        <f t="shared" si="10"/>
        <v>18.18181818</v>
      </c>
      <c r="BE104" s="315"/>
      <c r="BF104" s="316"/>
      <c r="BG104" s="317"/>
      <c r="BH104" s="317"/>
      <c r="BI104" s="317"/>
      <c r="BJ104" s="317"/>
      <c r="BK104" s="317"/>
      <c r="BL104" s="317"/>
      <c r="BM104" s="317"/>
      <c r="BN104" s="317"/>
      <c r="BO104" s="317"/>
      <c r="BP104" s="318"/>
      <c r="BQ104" s="315"/>
    </row>
    <row r="105" ht="15.0" customHeight="1">
      <c r="A105" s="316"/>
      <c r="B105" s="317"/>
      <c r="C105" s="317"/>
      <c r="D105" s="317"/>
      <c r="E105" s="317"/>
      <c r="F105" s="318"/>
      <c r="H105" s="326">
        <v>7.0</v>
      </c>
      <c r="I105" s="327">
        <v>11.0</v>
      </c>
      <c r="J105" s="327">
        <v>6.0</v>
      </c>
      <c r="K105" s="327">
        <v>8.0</v>
      </c>
      <c r="L105" s="327">
        <v>10.0</v>
      </c>
      <c r="M105" s="327"/>
      <c r="N105" s="327"/>
      <c r="O105" s="327"/>
      <c r="P105" s="327"/>
      <c r="Q105" s="327"/>
      <c r="R105" s="327"/>
      <c r="S105" s="328">
        <f t="shared" si="3"/>
        <v>35</v>
      </c>
      <c r="T105" s="329">
        <f t="shared" si="4"/>
        <v>31.81818182</v>
      </c>
      <c r="U105" s="327">
        <v>7.0</v>
      </c>
      <c r="V105" s="327">
        <v>4.0</v>
      </c>
      <c r="W105" s="327">
        <v>2.0</v>
      </c>
      <c r="X105" s="327">
        <v>4.0</v>
      </c>
      <c r="Y105" s="327"/>
      <c r="Z105" s="327"/>
      <c r="AA105" s="327"/>
      <c r="AB105" s="327"/>
      <c r="AC105" s="327"/>
      <c r="AD105" s="327"/>
      <c r="AE105" s="328">
        <f t="shared" si="5"/>
        <v>17</v>
      </c>
      <c r="AF105" s="322">
        <f t="shared" si="6"/>
        <v>15.45454545</v>
      </c>
      <c r="AG105" s="330">
        <v>6.0</v>
      </c>
      <c r="AH105" s="327">
        <v>7.0</v>
      </c>
      <c r="AI105" s="327">
        <v>2.0</v>
      </c>
      <c r="AJ105" s="327">
        <v>6.0</v>
      </c>
      <c r="AK105" s="327"/>
      <c r="AL105" s="327"/>
      <c r="AM105" s="327"/>
      <c r="AN105" s="327"/>
      <c r="AO105" s="327"/>
      <c r="AP105" s="327"/>
      <c r="AQ105" s="328">
        <f t="shared" si="7"/>
        <v>21</v>
      </c>
      <c r="AR105" s="322">
        <f t="shared" si="8"/>
        <v>19.09090909</v>
      </c>
      <c r="AS105" s="327">
        <v>2.0</v>
      </c>
      <c r="AT105" s="327">
        <v>7.0</v>
      </c>
      <c r="AU105" s="327">
        <v>5.0</v>
      </c>
      <c r="AV105" s="327">
        <v>5.0</v>
      </c>
      <c r="AW105" s="327"/>
      <c r="AX105" s="327"/>
      <c r="AY105" s="327"/>
      <c r="AZ105" s="327"/>
      <c r="BA105" s="327"/>
      <c r="BB105" s="327"/>
      <c r="BC105" s="328">
        <f t="shared" si="9"/>
        <v>19</v>
      </c>
      <c r="BD105" s="322">
        <f t="shared" si="10"/>
        <v>17.27272727</v>
      </c>
      <c r="BE105" s="315"/>
      <c r="BF105" s="316"/>
      <c r="BG105" s="317"/>
      <c r="BH105" s="317"/>
      <c r="BI105" s="317"/>
      <c r="BJ105" s="317"/>
      <c r="BK105" s="317"/>
      <c r="BL105" s="317"/>
      <c r="BM105" s="317"/>
      <c r="BN105" s="317"/>
      <c r="BO105" s="317"/>
      <c r="BP105" s="318"/>
      <c r="BQ105" s="315"/>
    </row>
    <row r="106" ht="15.0" customHeight="1">
      <c r="A106" s="316"/>
      <c r="B106" s="317"/>
      <c r="C106" s="317"/>
      <c r="D106" s="317"/>
      <c r="E106" s="317"/>
      <c r="F106" s="318"/>
      <c r="H106" s="326">
        <v>8.0</v>
      </c>
      <c r="I106" s="327">
        <v>18.0</v>
      </c>
      <c r="J106" s="327">
        <v>12.0</v>
      </c>
      <c r="K106" s="327">
        <v>6.0</v>
      </c>
      <c r="L106" s="327">
        <v>6.0</v>
      </c>
      <c r="M106" s="327"/>
      <c r="N106" s="327"/>
      <c r="O106" s="327"/>
      <c r="P106" s="327"/>
      <c r="Q106" s="327"/>
      <c r="R106" s="327"/>
      <c r="S106" s="328">
        <f t="shared" si="3"/>
        <v>42</v>
      </c>
      <c r="T106" s="329">
        <f t="shared" si="4"/>
        <v>38.18181818</v>
      </c>
      <c r="U106" s="327">
        <v>4.0</v>
      </c>
      <c r="V106" s="327">
        <v>2.0</v>
      </c>
      <c r="W106" s="327">
        <v>4.0</v>
      </c>
      <c r="X106" s="327">
        <v>7.0</v>
      </c>
      <c r="Y106" s="327"/>
      <c r="Z106" s="327"/>
      <c r="AA106" s="327"/>
      <c r="AB106" s="327"/>
      <c r="AC106" s="327"/>
      <c r="AD106" s="327"/>
      <c r="AE106" s="328">
        <f t="shared" si="5"/>
        <v>17</v>
      </c>
      <c r="AF106" s="322">
        <f t="shared" si="6"/>
        <v>15.45454545</v>
      </c>
      <c r="AG106" s="330">
        <v>2.0</v>
      </c>
      <c r="AH106" s="327">
        <v>4.0</v>
      </c>
      <c r="AI106" s="327">
        <v>5.0</v>
      </c>
      <c r="AJ106" s="327">
        <v>5.0</v>
      </c>
      <c r="AK106" s="327"/>
      <c r="AL106" s="327"/>
      <c r="AM106" s="327"/>
      <c r="AN106" s="327"/>
      <c r="AO106" s="327"/>
      <c r="AP106" s="327"/>
      <c r="AQ106" s="328">
        <f t="shared" si="7"/>
        <v>16</v>
      </c>
      <c r="AR106" s="322">
        <f t="shared" si="8"/>
        <v>14.54545455</v>
      </c>
      <c r="AS106" s="327">
        <v>2.0</v>
      </c>
      <c r="AT106" s="327">
        <v>7.0</v>
      </c>
      <c r="AU106" s="327">
        <v>2.0</v>
      </c>
      <c r="AV106" s="327">
        <v>7.0</v>
      </c>
      <c r="AW106" s="327"/>
      <c r="AX106" s="327"/>
      <c r="AY106" s="327"/>
      <c r="AZ106" s="327"/>
      <c r="BA106" s="327"/>
      <c r="BB106" s="327"/>
      <c r="BC106" s="328">
        <f t="shared" si="9"/>
        <v>18</v>
      </c>
      <c r="BD106" s="322">
        <f t="shared" si="10"/>
        <v>16.36363636</v>
      </c>
      <c r="BE106" s="315"/>
      <c r="BF106" s="316"/>
      <c r="BG106" s="317"/>
      <c r="BH106" s="317"/>
      <c r="BI106" s="317"/>
      <c r="BJ106" s="317"/>
      <c r="BK106" s="317"/>
      <c r="BL106" s="317"/>
      <c r="BM106" s="317"/>
      <c r="BN106" s="317"/>
      <c r="BO106" s="317"/>
      <c r="BP106" s="318"/>
      <c r="BQ106" s="315"/>
    </row>
    <row r="107" ht="15.0" customHeight="1">
      <c r="A107" s="316"/>
      <c r="B107" s="317"/>
      <c r="C107" s="317"/>
      <c r="D107" s="317"/>
      <c r="E107" s="317"/>
      <c r="F107" s="318"/>
      <c r="H107" s="326">
        <v>9.0</v>
      </c>
      <c r="I107" s="327">
        <v>3.0</v>
      </c>
      <c r="J107" s="327">
        <v>8.0</v>
      </c>
      <c r="K107" s="327">
        <v>3.0</v>
      </c>
      <c r="L107" s="327">
        <v>7.0</v>
      </c>
      <c r="M107" s="327"/>
      <c r="N107" s="327"/>
      <c r="O107" s="327"/>
      <c r="P107" s="327"/>
      <c r="Q107" s="327"/>
      <c r="R107" s="327"/>
      <c r="S107" s="328">
        <f t="shared" si="3"/>
        <v>21</v>
      </c>
      <c r="T107" s="329">
        <f t="shared" si="4"/>
        <v>19.09090909</v>
      </c>
      <c r="U107" s="327">
        <v>8.0</v>
      </c>
      <c r="V107" s="327">
        <v>3.0</v>
      </c>
      <c r="W107" s="327">
        <v>2.0</v>
      </c>
      <c r="X107" s="327">
        <v>4.0</v>
      </c>
      <c r="Y107" s="327"/>
      <c r="Z107" s="327"/>
      <c r="AA107" s="327"/>
      <c r="AB107" s="327"/>
      <c r="AC107" s="327"/>
      <c r="AD107" s="327"/>
      <c r="AE107" s="328">
        <f t="shared" si="5"/>
        <v>17</v>
      </c>
      <c r="AF107" s="322">
        <f t="shared" si="6"/>
        <v>15.45454545</v>
      </c>
      <c r="AG107" s="330">
        <v>10.0</v>
      </c>
      <c r="AH107" s="327">
        <v>11.0</v>
      </c>
      <c r="AI107" s="327">
        <v>9.0</v>
      </c>
      <c r="AJ107" s="327">
        <v>4.0</v>
      </c>
      <c r="AK107" s="327"/>
      <c r="AL107" s="327"/>
      <c r="AM107" s="327"/>
      <c r="AN107" s="327"/>
      <c r="AO107" s="327"/>
      <c r="AP107" s="327"/>
      <c r="AQ107" s="328">
        <f t="shared" si="7"/>
        <v>34</v>
      </c>
      <c r="AR107" s="322">
        <f t="shared" si="8"/>
        <v>30.90909091</v>
      </c>
      <c r="AS107" s="327">
        <v>5.0</v>
      </c>
      <c r="AT107" s="327">
        <v>3.0</v>
      </c>
      <c r="AU107" s="327">
        <v>3.0</v>
      </c>
      <c r="AV107" s="327">
        <v>10.0</v>
      </c>
      <c r="AW107" s="327"/>
      <c r="AX107" s="327"/>
      <c r="AY107" s="327"/>
      <c r="AZ107" s="327"/>
      <c r="BA107" s="327"/>
      <c r="BB107" s="327"/>
      <c r="BC107" s="328">
        <f t="shared" si="9"/>
        <v>21</v>
      </c>
      <c r="BD107" s="322">
        <f t="shared" si="10"/>
        <v>19.09090909</v>
      </c>
      <c r="BE107" s="315"/>
      <c r="BF107" s="316"/>
      <c r="BG107" s="317"/>
      <c r="BH107" s="317"/>
      <c r="BI107" s="317"/>
      <c r="BJ107" s="317"/>
      <c r="BK107" s="317"/>
      <c r="BL107" s="317"/>
      <c r="BM107" s="317"/>
      <c r="BN107" s="317"/>
      <c r="BO107" s="317"/>
      <c r="BP107" s="318"/>
      <c r="BQ107" s="315"/>
    </row>
    <row r="108" ht="15.0" customHeight="1">
      <c r="A108" s="316"/>
      <c r="B108" s="317"/>
      <c r="C108" s="317"/>
      <c r="D108" s="317"/>
      <c r="E108" s="317"/>
      <c r="F108" s="318"/>
      <c r="H108" s="326">
        <v>10.0</v>
      </c>
      <c r="I108" s="327">
        <v>7.0</v>
      </c>
      <c r="J108" s="327">
        <v>6.0</v>
      </c>
      <c r="K108" s="327">
        <v>6.0</v>
      </c>
      <c r="L108" s="327">
        <v>3.0</v>
      </c>
      <c r="M108" s="327"/>
      <c r="N108" s="327"/>
      <c r="O108" s="327"/>
      <c r="P108" s="327"/>
      <c r="Q108" s="327"/>
      <c r="R108" s="327"/>
      <c r="S108" s="328">
        <f t="shared" si="3"/>
        <v>22</v>
      </c>
      <c r="T108" s="329">
        <f t="shared" si="4"/>
        <v>20</v>
      </c>
      <c r="U108" s="327">
        <v>7.0</v>
      </c>
      <c r="V108" s="327">
        <v>14.0</v>
      </c>
      <c r="W108" s="327">
        <v>6.0</v>
      </c>
      <c r="X108" s="327">
        <v>9.0</v>
      </c>
      <c r="Y108" s="327"/>
      <c r="Z108" s="327"/>
      <c r="AA108" s="327"/>
      <c r="AB108" s="327"/>
      <c r="AC108" s="327"/>
      <c r="AD108" s="327"/>
      <c r="AE108" s="328">
        <f t="shared" si="5"/>
        <v>36</v>
      </c>
      <c r="AF108" s="322">
        <f t="shared" si="6"/>
        <v>32.72727273</v>
      </c>
      <c r="AG108" s="330">
        <v>8.0</v>
      </c>
      <c r="AH108" s="327">
        <v>5.0</v>
      </c>
      <c r="AI108" s="327">
        <v>2.0</v>
      </c>
      <c r="AJ108" s="327">
        <v>10.0</v>
      </c>
      <c r="AK108" s="327"/>
      <c r="AL108" s="327"/>
      <c r="AM108" s="327"/>
      <c r="AN108" s="327"/>
      <c r="AO108" s="327"/>
      <c r="AP108" s="327"/>
      <c r="AQ108" s="328">
        <f t="shared" si="7"/>
        <v>25</v>
      </c>
      <c r="AR108" s="322">
        <f t="shared" si="8"/>
        <v>22.72727273</v>
      </c>
      <c r="AS108" s="327">
        <v>4.0</v>
      </c>
      <c r="AT108" s="327">
        <v>0.0</v>
      </c>
      <c r="AU108" s="327">
        <v>3.0</v>
      </c>
      <c r="AV108" s="327">
        <v>3.0</v>
      </c>
      <c r="AW108" s="327"/>
      <c r="AX108" s="327"/>
      <c r="AY108" s="327"/>
      <c r="AZ108" s="327"/>
      <c r="BA108" s="327"/>
      <c r="BB108" s="327"/>
      <c r="BC108" s="328">
        <f t="shared" si="9"/>
        <v>10</v>
      </c>
      <c r="BD108" s="322">
        <f t="shared" si="10"/>
        <v>9.090909091</v>
      </c>
      <c r="BE108" s="315"/>
      <c r="BF108" s="316"/>
      <c r="BG108" s="317"/>
      <c r="BH108" s="317"/>
      <c r="BI108" s="317"/>
      <c r="BJ108" s="317"/>
      <c r="BK108" s="317"/>
      <c r="BL108" s="317"/>
      <c r="BM108" s="317"/>
      <c r="BN108" s="317"/>
      <c r="BO108" s="317"/>
      <c r="BP108" s="318"/>
      <c r="BQ108" s="315"/>
    </row>
    <row r="109" ht="15.0" customHeight="1">
      <c r="A109" s="316"/>
      <c r="B109" s="317"/>
      <c r="C109" s="317"/>
      <c r="D109" s="317"/>
      <c r="E109" s="317"/>
      <c r="F109" s="318"/>
      <c r="H109" s="326">
        <v>11.0</v>
      </c>
      <c r="I109" s="327">
        <v>10.0</v>
      </c>
      <c r="J109" s="327">
        <v>9.0</v>
      </c>
      <c r="K109" s="327">
        <v>5.0</v>
      </c>
      <c r="L109" s="327">
        <v>9.0</v>
      </c>
      <c r="M109" s="327"/>
      <c r="N109" s="327"/>
      <c r="O109" s="327"/>
      <c r="P109" s="327"/>
      <c r="Q109" s="327"/>
      <c r="R109" s="327"/>
      <c r="S109" s="328">
        <f t="shared" si="3"/>
        <v>33</v>
      </c>
      <c r="T109" s="329">
        <f t="shared" si="4"/>
        <v>30</v>
      </c>
      <c r="U109" s="327">
        <v>1.0</v>
      </c>
      <c r="V109" s="327">
        <v>6.0</v>
      </c>
      <c r="W109" s="327">
        <v>6.0</v>
      </c>
      <c r="X109" s="327">
        <v>6.0</v>
      </c>
      <c r="Y109" s="327"/>
      <c r="Z109" s="327"/>
      <c r="AA109" s="327"/>
      <c r="AB109" s="327"/>
      <c r="AC109" s="327"/>
      <c r="AD109" s="327"/>
      <c r="AE109" s="328">
        <f t="shared" si="5"/>
        <v>19</v>
      </c>
      <c r="AF109" s="322">
        <f t="shared" si="6"/>
        <v>17.27272727</v>
      </c>
      <c r="AG109" s="330">
        <v>9.0</v>
      </c>
      <c r="AH109" s="327">
        <v>4.0</v>
      </c>
      <c r="AI109" s="327">
        <v>3.0</v>
      </c>
      <c r="AJ109" s="327">
        <v>3.0</v>
      </c>
      <c r="AK109" s="327"/>
      <c r="AL109" s="327"/>
      <c r="AM109" s="327"/>
      <c r="AN109" s="327"/>
      <c r="AO109" s="327"/>
      <c r="AP109" s="327"/>
      <c r="AQ109" s="328">
        <f t="shared" si="7"/>
        <v>19</v>
      </c>
      <c r="AR109" s="322">
        <f t="shared" si="8"/>
        <v>17.27272727</v>
      </c>
      <c r="AS109" s="327">
        <v>6.0</v>
      </c>
      <c r="AT109" s="327">
        <v>6.0</v>
      </c>
      <c r="AU109" s="327">
        <v>3.0</v>
      </c>
      <c r="AV109" s="327">
        <v>7.0</v>
      </c>
      <c r="AW109" s="327"/>
      <c r="AX109" s="327"/>
      <c r="AY109" s="327"/>
      <c r="AZ109" s="327"/>
      <c r="BA109" s="327"/>
      <c r="BB109" s="327"/>
      <c r="BC109" s="328">
        <f t="shared" si="9"/>
        <v>22</v>
      </c>
      <c r="BD109" s="322">
        <f t="shared" si="10"/>
        <v>20</v>
      </c>
      <c r="BE109" s="315"/>
      <c r="BF109" s="316"/>
      <c r="BG109" s="317"/>
      <c r="BH109" s="317"/>
      <c r="BI109" s="317"/>
      <c r="BJ109" s="317"/>
      <c r="BK109" s="317"/>
      <c r="BL109" s="317"/>
      <c r="BM109" s="317"/>
      <c r="BN109" s="317"/>
      <c r="BO109" s="317"/>
      <c r="BP109" s="318"/>
      <c r="BQ109" s="315"/>
    </row>
    <row r="110" ht="15.0" customHeight="1">
      <c r="A110" s="316"/>
      <c r="B110" s="317"/>
      <c r="C110" s="317"/>
      <c r="D110" s="317"/>
      <c r="E110" s="317"/>
      <c r="F110" s="318"/>
      <c r="H110" s="326">
        <v>12.0</v>
      </c>
      <c r="I110" s="327">
        <v>3.0</v>
      </c>
      <c r="J110" s="327">
        <v>3.0</v>
      </c>
      <c r="K110" s="327">
        <v>1.0</v>
      </c>
      <c r="L110" s="327">
        <v>4.0</v>
      </c>
      <c r="M110" s="327"/>
      <c r="N110" s="327"/>
      <c r="O110" s="327"/>
      <c r="P110" s="327"/>
      <c r="Q110" s="327"/>
      <c r="R110" s="327"/>
      <c r="S110" s="328">
        <f t="shared" si="3"/>
        <v>11</v>
      </c>
      <c r="T110" s="329">
        <f t="shared" si="4"/>
        <v>10</v>
      </c>
      <c r="U110" s="327">
        <v>10.0</v>
      </c>
      <c r="V110" s="327">
        <v>13.0</v>
      </c>
      <c r="W110" s="327">
        <v>9.0</v>
      </c>
      <c r="X110" s="327">
        <v>11.0</v>
      </c>
      <c r="Y110" s="327"/>
      <c r="Z110" s="327"/>
      <c r="AA110" s="327"/>
      <c r="AB110" s="327"/>
      <c r="AC110" s="327"/>
      <c r="AD110" s="327"/>
      <c r="AE110" s="328">
        <f t="shared" si="5"/>
        <v>43</v>
      </c>
      <c r="AF110" s="322">
        <f t="shared" si="6"/>
        <v>39.09090909</v>
      </c>
      <c r="AG110" s="330">
        <v>4.0</v>
      </c>
      <c r="AH110" s="327">
        <v>6.0</v>
      </c>
      <c r="AI110" s="327">
        <v>5.0</v>
      </c>
      <c r="AJ110" s="327">
        <v>8.0</v>
      </c>
      <c r="AK110" s="327"/>
      <c r="AL110" s="327"/>
      <c r="AM110" s="327"/>
      <c r="AN110" s="327"/>
      <c r="AO110" s="327"/>
      <c r="AP110" s="327"/>
      <c r="AQ110" s="328">
        <f t="shared" si="7"/>
        <v>23</v>
      </c>
      <c r="AR110" s="322">
        <f t="shared" si="8"/>
        <v>20.90909091</v>
      </c>
      <c r="AS110" s="327">
        <v>9.0</v>
      </c>
      <c r="AT110" s="327">
        <v>3.0</v>
      </c>
      <c r="AU110" s="327">
        <v>2.0</v>
      </c>
      <c r="AV110" s="327">
        <v>1.0</v>
      </c>
      <c r="AW110" s="327"/>
      <c r="AX110" s="327"/>
      <c r="AY110" s="327"/>
      <c r="AZ110" s="327"/>
      <c r="BA110" s="327"/>
      <c r="BB110" s="327"/>
      <c r="BC110" s="328">
        <f t="shared" si="9"/>
        <v>15</v>
      </c>
      <c r="BD110" s="322">
        <f t="shared" si="10"/>
        <v>13.63636364</v>
      </c>
      <c r="BE110" s="315"/>
      <c r="BF110" s="316"/>
      <c r="BG110" s="317"/>
      <c r="BH110" s="317"/>
      <c r="BI110" s="317"/>
      <c r="BJ110" s="317"/>
      <c r="BK110" s="317"/>
      <c r="BL110" s="317"/>
      <c r="BM110" s="317"/>
      <c r="BN110" s="317"/>
      <c r="BO110" s="317"/>
      <c r="BP110" s="318"/>
      <c r="BQ110" s="315"/>
    </row>
    <row r="111" ht="15.0" customHeight="1">
      <c r="A111" s="316"/>
      <c r="B111" s="317"/>
      <c r="C111" s="317"/>
      <c r="D111" s="317"/>
      <c r="E111" s="317"/>
      <c r="F111" s="318"/>
      <c r="H111" s="326">
        <v>13.0</v>
      </c>
      <c r="I111" s="327">
        <v>3.0</v>
      </c>
      <c r="J111" s="327">
        <v>5.0</v>
      </c>
      <c r="K111" s="327">
        <v>5.0</v>
      </c>
      <c r="L111" s="327">
        <v>7.0</v>
      </c>
      <c r="M111" s="327"/>
      <c r="N111" s="327"/>
      <c r="O111" s="327"/>
      <c r="P111" s="327"/>
      <c r="Q111" s="327"/>
      <c r="R111" s="327"/>
      <c r="S111" s="328">
        <f t="shared" si="3"/>
        <v>20</v>
      </c>
      <c r="T111" s="329">
        <f t="shared" si="4"/>
        <v>18.18181818</v>
      </c>
      <c r="U111" s="327">
        <v>15.0</v>
      </c>
      <c r="V111" s="327">
        <v>8.0</v>
      </c>
      <c r="W111" s="327">
        <v>7.0</v>
      </c>
      <c r="X111" s="327">
        <v>9.0</v>
      </c>
      <c r="Y111" s="327"/>
      <c r="Z111" s="327"/>
      <c r="AA111" s="327"/>
      <c r="AB111" s="327"/>
      <c r="AC111" s="327"/>
      <c r="AD111" s="327"/>
      <c r="AE111" s="328">
        <f t="shared" si="5"/>
        <v>39</v>
      </c>
      <c r="AF111" s="322">
        <f t="shared" si="6"/>
        <v>35.45454545</v>
      </c>
      <c r="AG111" s="330">
        <v>3.0</v>
      </c>
      <c r="AH111" s="327">
        <v>9.0</v>
      </c>
      <c r="AI111" s="327">
        <v>2.0</v>
      </c>
      <c r="AJ111" s="327">
        <v>4.0</v>
      </c>
      <c r="AK111" s="327"/>
      <c r="AL111" s="327"/>
      <c r="AM111" s="327"/>
      <c r="AN111" s="327"/>
      <c r="AO111" s="327"/>
      <c r="AP111" s="327"/>
      <c r="AQ111" s="328">
        <f t="shared" si="7"/>
        <v>18</v>
      </c>
      <c r="AR111" s="322">
        <f t="shared" si="8"/>
        <v>16.36363636</v>
      </c>
      <c r="AS111" s="327">
        <v>5.0</v>
      </c>
      <c r="AT111" s="327">
        <v>3.0</v>
      </c>
      <c r="AU111" s="327">
        <v>3.0</v>
      </c>
      <c r="AV111" s="327">
        <v>5.0</v>
      </c>
      <c r="AW111" s="327"/>
      <c r="AX111" s="327"/>
      <c r="AY111" s="327"/>
      <c r="AZ111" s="327"/>
      <c r="BA111" s="327"/>
      <c r="BB111" s="327"/>
      <c r="BC111" s="328">
        <f t="shared" si="9"/>
        <v>16</v>
      </c>
      <c r="BD111" s="322">
        <f t="shared" si="10"/>
        <v>14.54545455</v>
      </c>
      <c r="BE111" s="315"/>
      <c r="BF111" s="316"/>
      <c r="BG111" s="317"/>
      <c r="BH111" s="317"/>
      <c r="BI111" s="317"/>
      <c r="BJ111" s="317"/>
      <c r="BK111" s="317"/>
      <c r="BL111" s="317"/>
      <c r="BM111" s="317"/>
      <c r="BN111" s="317"/>
      <c r="BO111" s="317"/>
      <c r="BP111" s="318"/>
      <c r="BQ111" s="315"/>
    </row>
    <row r="112" ht="15.0" customHeight="1">
      <c r="A112" s="316"/>
      <c r="B112" s="317"/>
      <c r="C112" s="317"/>
      <c r="D112" s="317"/>
      <c r="E112" s="317"/>
      <c r="F112" s="318"/>
      <c r="H112" s="326">
        <v>14.0</v>
      </c>
      <c r="I112" s="327">
        <v>13.0</v>
      </c>
      <c r="J112" s="327">
        <v>11.0</v>
      </c>
      <c r="K112" s="327">
        <v>7.0</v>
      </c>
      <c r="L112" s="327">
        <v>15.0</v>
      </c>
      <c r="M112" s="327"/>
      <c r="N112" s="327"/>
      <c r="O112" s="327"/>
      <c r="P112" s="327"/>
      <c r="Q112" s="327"/>
      <c r="R112" s="327"/>
      <c r="S112" s="328">
        <f t="shared" si="3"/>
        <v>46</v>
      </c>
      <c r="T112" s="329">
        <f t="shared" si="4"/>
        <v>41.81818182</v>
      </c>
      <c r="U112" s="327">
        <v>11.0</v>
      </c>
      <c r="V112" s="327">
        <v>6.0</v>
      </c>
      <c r="W112" s="327">
        <v>6.0</v>
      </c>
      <c r="X112" s="327">
        <v>4.0</v>
      </c>
      <c r="Y112" s="327"/>
      <c r="Z112" s="327"/>
      <c r="AA112" s="327"/>
      <c r="AB112" s="327"/>
      <c r="AC112" s="327"/>
      <c r="AD112" s="327"/>
      <c r="AE112" s="328">
        <f t="shared" si="5"/>
        <v>27</v>
      </c>
      <c r="AF112" s="322">
        <f t="shared" si="6"/>
        <v>24.54545455</v>
      </c>
      <c r="AG112" s="330">
        <v>2.0</v>
      </c>
      <c r="AH112" s="327">
        <v>7.0</v>
      </c>
      <c r="AI112" s="327">
        <v>4.0</v>
      </c>
      <c r="AJ112" s="327">
        <v>4.0</v>
      </c>
      <c r="AK112" s="327"/>
      <c r="AL112" s="327"/>
      <c r="AM112" s="327"/>
      <c r="AN112" s="327"/>
      <c r="AO112" s="327"/>
      <c r="AP112" s="327"/>
      <c r="AQ112" s="328">
        <f t="shared" si="7"/>
        <v>17</v>
      </c>
      <c r="AR112" s="322">
        <f t="shared" si="8"/>
        <v>15.45454545</v>
      </c>
      <c r="AS112" s="327">
        <v>0.0</v>
      </c>
      <c r="AT112" s="327">
        <v>1.0</v>
      </c>
      <c r="AU112" s="327">
        <v>0.0</v>
      </c>
      <c r="AV112" s="327">
        <v>2.0</v>
      </c>
      <c r="AW112" s="327"/>
      <c r="AX112" s="327"/>
      <c r="AY112" s="327"/>
      <c r="AZ112" s="327"/>
      <c r="BA112" s="327"/>
      <c r="BB112" s="327"/>
      <c r="BC112" s="328">
        <f t="shared" si="9"/>
        <v>3</v>
      </c>
      <c r="BD112" s="322">
        <f t="shared" si="10"/>
        <v>2.727272727</v>
      </c>
      <c r="BE112" s="315"/>
      <c r="BF112" s="316"/>
      <c r="BG112" s="317"/>
      <c r="BH112" s="317"/>
      <c r="BI112" s="317"/>
      <c r="BJ112" s="317"/>
      <c r="BK112" s="317"/>
      <c r="BL112" s="317"/>
      <c r="BM112" s="317"/>
      <c r="BN112" s="317"/>
      <c r="BO112" s="317"/>
      <c r="BP112" s="318"/>
      <c r="BQ112" s="315"/>
    </row>
    <row r="113" ht="15.0" customHeight="1">
      <c r="A113" s="316"/>
      <c r="B113" s="317"/>
      <c r="C113" s="317"/>
      <c r="D113" s="317"/>
      <c r="E113" s="317"/>
      <c r="F113" s="318"/>
      <c r="H113" s="326">
        <v>15.0</v>
      </c>
      <c r="I113" s="327">
        <v>9.0</v>
      </c>
      <c r="J113" s="327">
        <v>5.0</v>
      </c>
      <c r="K113" s="327">
        <v>7.0</v>
      </c>
      <c r="L113" s="327">
        <v>7.0</v>
      </c>
      <c r="M113" s="327"/>
      <c r="N113" s="327"/>
      <c r="O113" s="327"/>
      <c r="P113" s="327"/>
      <c r="Q113" s="327"/>
      <c r="R113" s="327"/>
      <c r="S113" s="328">
        <f t="shared" si="3"/>
        <v>28</v>
      </c>
      <c r="T113" s="329">
        <f t="shared" si="4"/>
        <v>25.45454545</v>
      </c>
      <c r="U113" s="327">
        <v>2.0</v>
      </c>
      <c r="V113" s="327">
        <v>5.0</v>
      </c>
      <c r="W113" s="327">
        <v>1.0</v>
      </c>
      <c r="X113" s="327">
        <v>4.0</v>
      </c>
      <c r="Y113" s="327"/>
      <c r="Z113" s="327"/>
      <c r="AA113" s="327"/>
      <c r="AB113" s="327"/>
      <c r="AC113" s="327"/>
      <c r="AD113" s="327"/>
      <c r="AE113" s="328">
        <f t="shared" si="5"/>
        <v>12</v>
      </c>
      <c r="AF113" s="322">
        <f t="shared" si="6"/>
        <v>10.90909091</v>
      </c>
      <c r="AG113" s="330">
        <v>13.0</v>
      </c>
      <c r="AH113" s="327">
        <v>14.0</v>
      </c>
      <c r="AI113" s="327">
        <v>8.0</v>
      </c>
      <c r="AJ113" s="327">
        <v>13.0</v>
      </c>
      <c r="AK113" s="327"/>
      <c r="AL113" s="327"/>
      <c r="AM113" s="327"/>
      <c r="AN113" s="327"/>
      <c r="AO113" s="327"/>
      <c r="AP113" s="327"/>
      <c r="AQ113" s="328">
        <f t="shared" si="7"/>
        <v>48</v>
      </c>
      <c r="AR113" s="322">
        <f t="shared" si="8"/>
        <v>43.63636364</v>
      </c>
      <c r="AS113" s="327">
        <v>2.0</v>
      </c>
      <c r="AT113" s="327">
        <v>1.0</v>
      </c>
      <c r="AU113" s="327">
        <v>1.0</v>
      </c>
      <c r="AV113" s="327">
        <v>1.0</v>
      </c>
      <c r="AW113" s="327"/>
      <c r="AX113" s="327"/>
      <c r="AY113" s="327"/>
      <c r="AZ113" s="327"/>
      <c r="BA113" s="327"/>
      <c r="BB113" s="327"/>
      <c r="BC113" s="328">
        <f t="shared" si="9"/>
        <v>5</v>
      </c>
      <c r="BD113" s="322">
        <f t="shared" si="10"/>
        <v>4.545454545</v>
      </c>
      <c r="BE113" s="315"/>
      <c r="BF113" s="316"/>
      <c r="BG113" s="317"/>
      <c r="BH113" s="317"/>
      <c r="BI113" s="317"/>
      <c r="BJ113" s="317"/>
      <c r="BK113" s="317"/>
      <c r="BL113" s="317"/>
      <c r="BM113" s="317"/>
      <c r="BN113" s="317"/>
      <c r="BO113" s="317"/>
      <c r="BP113" s="318"/>
      <c r="BQ113" s="315"/>
    </row>
    <row r="114" ht="15.0" customHeight="1">
      <c r="A114" s="316"/>
      <c r="B114" s="317"/>
      <c r="C114" s="317"/>
      <c r="D114" s="317"/>
      <c r="E114" s="317"/>
      <c r="F114" s="318"/>
      <c r="H114" s="326">
        <v>16.0</v>
      </c>
      <c r="I114" s="327">
        <v>3.0</v>
      </c>
      <c r="J114" s="327">
        <v>1.0</v>
      </c>
      <c r="K114" s="327">
        <v>1.0</v>
      </c>
      <c r="L114" s="327">
        <v>2.0</v>
      </c>
      <c r="M114" s="327"/>
      <c r="N114" s="327"/>
      <c r="O114" s="327"/>
      <c r="P114" s="327"/>
      <c r="Q114" s="327"/>
      <c r="R114" s="327"/>
      <c r="S114" s="328">
        <f t="shared" si="3"/>
        <v>7</v>
      </c>
      <c r="T114" s="329">
        <f t="shared" si="4"/>
        <v>6.363636364</v>
      </c>
      <c r="U114" s="327">
        <v>4.0</v>
      </c>
      <c r="V114" s="327">
        <v>4.0</v>
      </c>
      <c r="W114" s="327">
        <v>1.0</v>
      </c>
      <c r="X114" s="327">
        <v>4.0</v>
      </c>
      <c r="Y114" s="327"/>
      <c r="Z114" s="327"/>
      <c r="AA114" s="327"/>
      <c r="AB114" s="327"/>
      <c r="AC114" s="327"/>
      <c r="AD114" s="327"/>
      <c r="AE114" s="328">
        <f t="shared" si="5"/>
        <v>13</v>
      </c>
      <c r="AF114" s="322">
        <f t="shared" si="6"/>
        <v>11.81818182</v>
      </c>
      <c r="AG114" s="330">
        <v>16.0</v>
      </c>
      <c r="AH114" s="327">
        <v>16.0</v>
      </c>
      <c r="AI114" s="327">
        <v>13.0</v>
      </c>
      <c r="AJ114" s="327">
        <v>17.0</v>
      </c>
      <c r="AK114" s="327"/>
      <c r="AL114" s="327"/>
      <c r="AM114" s="327"/>
      <c r="AN114" s="327"/>
      <c r="AO114" s="327"/>
      <c r="AP114" s="327"/>
      <c r="AQ114" s="328">
        <f t="shared" si="7"/>
        <v>62</v>
      </c>
      <c r="AR114" s="322">
        <f t="shared" si="8"/>
        <v>56.36363636</v>
      </c>
      <c r="AS114" s="327">
        <v>3.0</v>
      </c>
      <c r="AT114" s="327">
        <v>4.0</v>
      </c>
      <c r="AU114" s="327">
        <v>2.0</v>
      </c>
      <c r="AV114" s="327">
        <v>2.0</v>
      </c>
      <c r="AW114" s="327"/>
      <c r="AX114" s="327"/>
      <c r="AY114" s="327"/>
      <c r="AZ114" s="327"/>
      <c r="BA114" s="327"/>
      <c r="BB114" s="327"/>
      <c r="BC114" s="328">
        <f t="shared" si="9"/>
        <v>11</v>
      </c>
      <c r="BD114" s="322">
        <f t="shared" si="10"/>
        <v>10</v>
      </c>
      <c r="BE114" s="315"/>
      <c r="BF114" s="316"/>
      <c r="BG114" s="317"/>
      <c r="BH114" s="317"/>
      <c r="BI114" s="317"/>
      <c r="BJ114" s="317"/>
      <c r="BK114" s="317"/>
      <c r="BL114" s="317"/>
      <c r="BM114" s="317"/>
      <c r="BN114" s="317"/>
      <c r="BO114" s="317"/>
      <c r="BP114" s="318"/>
      <c r="BQ114" s="315"/>
    </row>
    <row r="115" ht="15.0" customHeight="1">
      <c r="A115" s="316"/>
      <c r="B115" s="317"/>
      <c r="C115" s="317"/>
      <c r="D115" s="317"/>
      <c r="E115" s="317"/>
      <c r="F115" s="318"/>
      <c r="H115" s="326">
        <v>17.0</v>
      </c>
      <c r="I115" s="327">
        <v>2.0</v>
      </c>
      <c r="J115" s="327">
        <v>4.0</v>
      </c>
      <c r="K115" s="327">
        <v>3.0</v>
      </c>
      <c r="L115" s="327">
        <v>5.0</v>
      </c>
      <c r="M115" s="327"/>
      <c r="N115" s="327"/>
      <c r="O115" s="327"/>
      <c r="P115" s="327"/>
      <c r="Q115" s="327"/>
      <c r="R115" s="327"/>
      <c r="S115" s="328">
        <f t="shared" si="3"/>
        <v>14</v>
      </c>
      <c r="T115" s="329">
        <f t="shared" si="4"/>
        <v>12.72727273</v>
      </c>
      <c r="U115" s="327">
        <v>17.0</v>
      </c>
      <c r="V115" s="327">
        <v>13.0</v>
      </c>
      <c r="W115" s="327">
        <v>9.0</v>
      </c>
      <c r="X115" s="327">
        <v>12.0</v>
      </c>
      <c r="Y115" s="327"/>
      <c r="Z115" s="327"/>
      <c r="AA115" s="327"/>
      <c r="AB115" s="327"/>
      <c r="AC115" s="327"/>
      <c r="AD115" s="327"/>
      <c r="AE115" s="328">
        <f t="shared" si="5"/>
        <v>51</v>
      </c>
      <c r="AF115" s="322">
        <f t="shared" si="6"/>
        <v>46.36363636</v>
      </c>
      <c r="AG115" s="330">
        <v>3.0</v>
      </c>
      <c r="AH115" s="327">
        <v>2.0</v>
      </c>
      <c r="AI115" s="327">
        <v>2.0</v>
      </c>
      <c r="AJ115" s="327">
        <v>4.0</v>
      </c>
      <c r="AK115" s="327"/>
      <c r="AL115" s="327"/>
      <c r="AM115" s="327"/>
      <c r="AN115" s="327"/>
      <c r="AO115" s="327"/>
      <c r="AP115" s="327"/>
      <c r="AQ115" s="328">
        <f t="shared" si="7"/>
        <v>11</v>
      </c>
      <c r="AR115" s="322">
        <f t="shared" si="8"/>
        <v>10</v>
      </c>
      <c r="AS115" s="327">
        <v>4.0</v>
      </c>
      <c r="AT115" s="327">
        <v>6.0</v>
      </c>
      <c r="AU115" s="327">
        <v>3.0</v>
      </c>
      <c r="AV115" s="327">
        <v>4.0</v>
      </c>
      <c r="AW115" s="327"/>
      <c r="AX115" s="327"/>
      <c r="AY115" s="327"/>
      <c r="AZ115" s="327"/>
      <c r="BA115" s="327"/>
      <c r="BB115" s="327"/>
      <c r="BC115" s="328">
        <f t="shared" si="9"/>
        <v>17</v>
      </c>
      <c r="BD115" s="322">
        <f t="shared" si="10"/>
        <v>15.45454545</v>
      </c>
      <c r="BE115" s="315"/>
      <c r="BF115" s="316"/>
      <c r="BG115" s="317"/>
      <c r="BH115" s="317"/>
      <c r="BI115" s="317"/>
      <c r="BJ115" s="317"/>
      <c r="BK115" s="317"/>
      <c r="BL115" s="317"/>
      <c r="BM115" s="317"/>
      <c r="BN115" s="317"/>
      <c r="BO115" s="317"/>
      <c r="BP115" s="318"/>
      <c r="BQ115" s="315"/>
    </row>
    <row r="116" ht="15.0" customHeight="1">
      <c r="A116" s="316"/>
      <c r="B116" s="317"/>
      <c r="C116" s="317"/>
      <c r="D116" s="317"/>
      <c r="E116" s="317"/>
      <c r="F116" s="318"/>
      <c r="H116" s="326">
        <v>18.0</v>
      </c>
      <c r="I116" s="327">
        <v>9.0</v>
      </c>
      <c r="J116" s="327">
        <v>12.0</v>
      </c>
      <c r="K116" s="327">
        <v>7.0</v>
      </c>
      <c r="L116" s="327">
        <v>11.0</v>
      </c>
      <c r="M116" s="327"/>
      <c r="N116" s="327"/>
      <c r="O116" s="327"/>
      <c r="P116" s="327"/>
      <c r="Q116" s="327"/>
      <c r="R116" s="327"/>
      <c r="S116" s="328">
        <f t="shared" si="3"/>
        <v>39</v>
      </c>
      <c r="T116" s="329">
        <f t="shared" si="4"/>
        <v>35.45454545</v>
      </c>
      <c r="U116" s="327">
        <v>5.0</v>
      </c>
      <c r="V116" s="327">
        <v>5.0</v>
      </c>
      <c r="W116" s="327">
        <v>1.0</v>
      </c>
      <c r="X116" s="327">
        <v>2.0</v>
      </c>
      <c r="Y116" s="327"/>
      <c r="Z116" s="327"/>
      <c r="AA116" s="327"/>
      <c r="AB116" s="327"/>
      <c r="AC116" s="327"/>
      <c r="AD116" s="327"/>
      <c r="AE116" s="328">
        <f t="shared" si="5"/>
        <v>13</v>
      </c>
      <c r="AF116" s="322">
        <f t="shared" si="6"/>
        <v>11.81818182</v>
      </c>
      <c r="AG116" s="330">
        <v>10.0</v>
      </c>
      <c r="AH116" s="327">
        <v>3.0</v>
      </c>
      <c r="AI116" s="327">
        <v>4.0</v>
      </c>
      <c r="AJ116" s="327">
        <v>4.0</v>
      </c>
      <c r="AK116" s="327"/>
      <c r="AL116" s="327"/>
      <c r="AM116" s="327"/>
      <c r="AN116" s="327"/>
      <c r="AO116" s="327"/>
      <c r="AP116" s="327"/>
      <c r="AQ116" s="328">
        <f t="shared" si="7"/>
        <v>21</v>
      </c>
      <c r="AR116" s="322">
        <f t="shared" si="8"/>
        <v>19.09090909</v>
      </c>
      <c r="AS116" s="327">
        <v>2.0</v>
      </c>
      <c r="AT116" s="327">
        <v>4.0</v>
      </c>
      <c r="AU116" s="327">
        <v>5.0</v>
      </c>
      <c r="AV116" s="327">
        <v>8.0</v>
      </c>
      <c r="AW116" s="327"/>
      <c r="AX116" s="327"/>
      <c r="AY116" s="327"/>
      <c r="AZ116" s="327"/>
      <c r="BA116" s="327"/>
      <c r="BB116" s="327"/>
      <c r="BC116" s="328">
        <f t="shared" si="9"/>
        <v>19</v>
      </c>
      <c r="BD116" s="322">
        <f t="shared" si="10"/>
        <v>17.27272727</v>
      </c>
      <c r="BE116" s="315"/>
      <c r="BF116" s="316"/>
      <c r="BG116" s="317"/>
      <c r="BH116" s="317"/>
      <c r="BI116" s="317"/>
      <c r="BJ116" s="317"/>
      <c r="BK116" s="317"/>
      <c r="BL116" s="317"/>
      <c r="BM116" s="317"/>
      <c r="BN116" s="317"/>
      <c r="BO116" s="317"/>
      <c r="BP116" s="318"/>
      <c r="BQ116" s="315"/>
    </row>
    <row r="117" ht="15.0" customHeight="1">
      <c r="A117" s="316"/>
      <c r="B117" s="317"/>
      <c r="C117" s="317"/>
      <c r="D117" s="317"/>
      <c r="E117" s="317"/>
      <c r="F117" s="318"/>
      <c r="H117" s="326">
        <v>19.0</v>
      </c>
      <c r="I117" s="327">
        <v>7.0</v>
      </c>
      <c r="J117" s="327">
        <v>6.0</v>
      </c>
      <c r="K117" s="327">
        <v>5.0</v>
      </c>
      <c r="L117" s="327">
        <v>10.0</v>
      </c>
      <c r="M117" s="327"/>
      <c r="N117" s="327"/>
      <c r="O117" s="327"/>
      <c r="P117" s="327"/>
      <c r="Q117" s="327"/>
      <c r="R117" s="327"/>
      <c r="S117" s="328">
        <f t="shared" si="3"/>
        <v>28</v>
      </c>
      <c r="T117" s="329">
        <f t="shared" si="4"/>
        <v>25.45454545</v>
      </c>
      <c r="U117" s="327">
        <v>7.0</v>
      </c>
      <c r="V117" s="327">
        <v>5.0</v>
      </c>
      <c r="W117" s="327">
        <v>4.0</v>
      </c>
      <c r="X117" s="327">
        <v>5.0</v>
      </c>
      <c r="Y117" s="327"/>
      <c r="Z117" s="327"/>
      <c r="AA117" s="327"/>
      <c r="AB117" s="327"/>
      <c r="AC117" s="327"/>
      <c r="AD117" s="327"/>
      <c r="AE117" s="328">
        <f t="shared" si="5"/>
        <v>21</v>
      </c>
      <c r="AF117" s="322">
        <f t="shared" si="6"/>
        <v>19.09090909</v>
      </c>
      <c r="AG117" s="330">
        <v>3.0</v>
      </c>
      <c r="AH117" s="327">
        <v>8.0</v>
      </c>
      <c r="AI117" s="327">
        <v>5.0</v>
      </c>
      <c r="AJ117" s="327">
        <v>5.0</v>
      </c>
      <c r="AK117" s="327"/>
      <c r="AL117" s="327"/>
      <c r="AM117" s="327"/>
      <c r="AN117" s="327"/>
      <c r="AO117" s="327"/>
      <c r="AP117" s="327"/>
      <c r="AQ117" s="328">
        <f t="shared" si="7"/>
        <v>21</v>
      </c>
      <c r="AR117" s="322">
        <f t="shared" si="8"/>
        <v>19.09090909</v>
      </c>
      <c r="AS117" s="327">
        <v>8.0</v>
      </c>
      <c r="AT117" s="327">
        <v>6.0</v>
      </c>
      <c r="AU117" s="327">
        <v>3.0</v>
      </c>
      <c r="AV117" s="327">
        <v>5.0</v>
      </c>
      <c r="AW117" s="327"/>
      <c r="AX117" s="327"/>
      <c r="AY117" s="327"/>
      <c r="AZ117" s="327"/>
      <c r="BA117" s="327"/>
      <c r="BB117" s="327"/>
      <c r="BC117" s="328">
        <f t="shared" si="9"/>
        <v>22</v>
      </c>
      <c r="BD117" s="322">
        <f t="shared" si="10"/>
        <v>20</v>
      </c>
      <c r="BE117" s="315"/>
      <c r="BF117" s="316"/>
      <c r="BG117" s="317"/>
      <c r="BH117" s="317"/>
      <c r="BI117" s="317"/>
      <c r="BJ117" s="317"/>
      <c r="BK117" s="317"/>
      <c r="BL117" s="317"/>
      <c r="BM117" s="317"/>
      <c r="BN117" s="317"/>
      <c r="BO117" s="317"/>
      <c r="BP117" s="318"/>
      <c r="BQ117" s="315"/>
    </row>
    <row r="118" ht="15.0" customHeight="1">
      <c r="A118" s="316"/>
      <c r="B118" s="317"/>
      <c r="C118" s="317"/>
      <c r="D118" s="317"/>
      <c r="E118" s="317"/>
      <c r="F118" s="318"/>
      <c r="H118" s="326">
        <v>20.0</v>
      </c>
      <c r="I118" s="327">
        <v>7.0</v>
      </c>
      <c r="J118" s="327">
        <v>2.0</v>
      </c>
      <c r="K118" s="327">
        <v>1.0</v>
      </c>
      <c r="L118" s="327">
        <v>5.0</v>
      </c>
      <c r="M118" s="327"/>
      <c r="N118" s="327"/>
      <c r="O118" s="327"/>
      <c r="P118" s="327"/>
      <c r="Q118" s="327"/>
      <c r="R118" s="327"/>
      <c r="S118" s="328">
        <f t="shared" si="3"/>
        <v>15</v>
      </c>
      <c r="T118" s="329">
        <f t="shared" si="4"/>
        <v>13.63636364</v>
      </c>
      <c r="U118" s="327">
        <v>4.0</v>
      </c>
      <c r="V118" s="327">
        <v>10.0</v>
      </c>
      <c r="W118" s="327">
        <v>8.0</v>
      </c>
      <c r="X118" s="327">
        <v>11.0</v>
      </c>
      <c r="Y118" s="327"/>
      <c r="Z118" s="327"/>
      <c r="AA118" s="327"/>
      <c r="AB118" s="327"/>
      <c r="AC118" s="327"/>
      <c r="AD118" s="327"/>
      <c r="AE118" s="328">
        <f t="shared" si="5"/>
        <v>33</v>
      </c>
      <c r="AF118" s="322">
        <f t="shared" si="6"/>
        <v>30</v>
      </c>
      <c r="AG118" s="330">
        <v>9.0</v>
      </c>
      <c r="AH118" s="327">
        <v>9.0</v>
      </c>
      <c r="AI118" s="327">
        <v>5.0</v>
      </c>
      <c r="AJ118" s="327">
        <v>6.0</v>
      </c>
      <c r="AK118" s="327"/>
      <c r="AL118" s="327"/>
      <c r="AM118" s="327"/>
      <c r="AN118" s="327"/>
      <c r="AO118" s="327"/>
      <c r="AP118" s="327"/>
      <c r="AQ118" s="328">
        <f t="shared" si="7"/>
        <v>29</v>
      </c>
      <c r="AR118" s="322">
        <f t="shared" si="8"/>
        <v>26.36363636</v>
      </c>
      <c r="AS118" s="327">
        <v>6.0</v>
      </c>
      <c r="AT118" s="327">
        <v>4.0</v>
      </c>
      <c r="AU118" s="327">
        <v>2.0</v>
      </c>
      <c r="AV118" s="327">
        <v>3.0</v>
      </c>
      <c r="AW118" s="327"/>
      <c r="AX118" s="327"/>
      <c r="AY118" s="327"/>
      <c r="AZ118" s="327"/>
      <c r="BA118" s="327"/>
      <c r="BB118" s="327"/>
      <c r="BC118" s="328">
        <f t="shared" si="9"/>
        <v>15</v>
      </c>
      <c r="BD118" s="322">
        <f t="shared" si="10"/>
        <v>13.63636364</v>
      </c>
      <c r="BE118" s="315"/>
      <c r="BF118" s="316"/>
      <c r="BG118" s="317"/>
      <c r="BH118" s="317"/>
      <c r="BI118" s="317"/>
      <c r="BJ118" s="317"/>
      <c r="BK118" s="317"/>
      <c r="BL118" s="317"/>
      <c r="BM118" s="317"/>
      <c r="BN118" s="317"/>
      <c r="BO118" s="317"/>
      <c r="BP118" s="318"/>
      <c r="BQ118" s="315"/>
    </row>
    <row r="119" ht="15.0" customHeight="1">
      <c r="A119" s="316"/>
      <c r="B119" s="317"/>
      <c r="C119" s="317"/>
      <c r="D119" s="317"/>
      <c r="E119" s="317"/>
      <c r="F119" s="318"/>
      <c r="H119" s="326">
        <v>21.0</v>
      </c>
      <c r="I119" s="327">
        <v>7.0</v>
      </c>
      <c r="J119" s="327">
        <v>10.0</v>
      </c>
      <c r="K119" s="327">
        <v>5.0</v>
      </c>
      <c r="L119" s="327">
        <v>7.0</v>
      </c>
      <c r="M119" s="327"/>
      <c r="N119" s="327"/>
      <c r="O119" s="327"/>
      <c r="P119" s="327"/>
      <c r="Q119" s="327"/>
      <c r="R119" s="327"/>
      <c r="S119" s="328">
        <f t="shared" si="3"/>
        <v>29</v>
      </c>
      <c r="T119" s="329">
        <f t="shared" si="4"/>
        <v>26.36363636</v>
      </c>
      <c r="U119" s="327">
        <v>10.0</v>
      </c>
      <c r="V119" s="327">
        <v>4.0</v>
      </c>
      <c r="W119" s="327">
        <v>3.0</v>
      </c>
      <c r="X119" s="327">
        <v>7.0</v>
      </c>
      <c r="Y119" s="327"/>
      <c r="Z119" s="327"/>
      <c r="AA119" s="327"/>
      <c r="AB119" s="327"/>
      <c r="AC119" s="327"/>
      <c r="AD119" s="327"/>
      <c r="AE119" s="328">
        <f t="shared" si="5"/>
        <v>24</v>
      </c>
      <c r="AF119" s="322">
        <f t="shared" si="6"/>
        <v>21.81818182</v>
      </c>
      <c r="AG119" s="330">
        <v>6.0</v>
      </c>
      <c r="AH119" s="327">
        <v>2.0</v>
      </c>
      <c r="AI119" s="327">
        <v>5.0</v>
      </c>
      <c r="AJ119" s="327">
        <v>7.0</v>
      </c>
      <c r="AK119" s="327"/>
      <c r="AL119" s="327"/>
      <c r="AM119" s="327"/>
      <c r="AN119" s="327"/>
      <c r="AO119" s="327"/>
      <c r="AP119" s="327"/>
      <c r="AQ119" s="328">
        <f t="shared" si="7"/>
        <v>20</v>
      </c>
      <c r="AR119" s="322">
        <f t="shared" si="8"/>
        <v>18.18181818</v>
      </c>
      <c r="AS119" s="327">
        <v>3.0</v>
      </c>
      <c r="AT119" s="327">
        <v>9.0</v>
      </c>
      <c r="AU119" s="327">
        <v>4.0</v>
      </c>
      <c r="AV119" s="327">
        <v>3.0</v>
      </c>
      <c r="AW119" s="327"/>
      <c r="AX119" s="327"/>
      <c r="AY119" s="327"/>
      <c r="AZ119" s="327"/>
      <c r="BA119" s="327"/>
      <c r="BB119" s="327"/>
      <c r="BC119" s="328">
        <f t="shared" si="9"/>
        <v>19</v>
      </c>
      <c r="BD119" s="322">
        <f t="shared" si="10"/>
        <v>17.27272727</v>
      </c>
      <c r="BE119" s="315"/>
      <c r="BF119" s="316"/>
      <c r="BG119" s="317"/>
      <c r="BH119" s="317"/>
      <c r="BI119" s="317"/>
      <c r="BJ119" s="317"/>
      <c r="BK119" s="317"/>
      <c r="BL119" s="317"/>
      <c r="BM119" s="317"/>
      <c r="BN119" s="317"/>
      <c r="BO119" s="317"/>
      <c r="BP119" s="318"/>
      <c r="BQ119" s="315"/>
    </row>
    <row r="120" ht="15.0" customHeight="1">
      <c r="A120" s="316"/>
      <c r="B120" s="317"/>
      <c r="C120" s="317"/>
      <c r="D120" s="317"/>
      <c r="E120" s="317"/>
      <c r="F120" s="318"/>
      <c r="H120" s="326">
        <v>22.0</v>
      </c>
      <c r="I120" s="327">
        <v>3.0</v>
      </c>
      <c r="J120" s="327">
        <v>7.0</v>
      </c>
      <c r="K120" s="327">
        <v>6.0</v>
      </c>
      <c r="L120" s="327">
        <v>8.0</v>
      </c>
      <c r="M120" s="327"/>
      <c r="N120" s="327"/>
      <c r="O120" s="327"/>
      <c r="P120" s="327"/>
      <c r="Q120" s="327"/>
      <c r="R120" s="327"/>
      <c r="S120" s="328">
        <f t="shared" si="3"/>
        <v>24</v>
      </c>
      <c r="T120" s="329">
        <f t="shared" si="4"/>
        <v>21.81818182</v>
      </c>
      <c r="U120" s="327">
        <v>5.0</v>
      </c>
      <c r="V120" s="327">
        <v>9.0</v>
      </c>
      <c r="W120" s="327">
        <v>1.0</v>
      </c>
      <c r="X120" s="327">
        <v>6.0</v>
      </c>
      <c r="Y120" s="327"/>
      <c r="Z120" s="327"/>
      <c r="AA120" s="327"/>
      <c r="AB120" s="327"/>
      <c r="AC120" s="327"/>
      <c r="AD120" s="327"/>
      <c r="AE120" s="328">
        <f t="shared" si="5"/>
        <v>21</v>
      </c>
      <c r="AF120" s="322">
        <f t="shared" si="6"/>
        <v>19.09090909</v>
      </c>
      <c r="AG120" s="330">
        <v>16.0</v>
      </c>
      <c r="AH120" s="327">
        <v>4.0</v>
      </c>
      <c r="AI120" s="327">
        <v>7.0</v>
      </c>
      <c r="AJ120" s="327">
        <v>5.0</v>
      </c>
      <c r="AK120" s="327"/>
      <c r="AL120" s="327"/>
      <c r="AM120" s="327"/>
      <c r="AN120" s="327"/>
      <c r="AO120" s="327"/>
      <c r="AP120" s="327"/>
      <c r="AQ120" s="328">
        <f t="shared" si="7"/>
        <v>32</v>
      </c>
      <c r="AR120" s="322">
        <f t="shared" si="8"/>
        <v>29.09090909</v>
      </c>
      <c r="AS120" s="327">
        <v>2.0</v>
      </c>
      <c r="AT120" s="327">
        <v>5.0</v>
      </c>
      <c r="AU120" s="327">
        <v>3.0</v>
      </c>
      <c r="AV120" s="327">
        <v>6.0</v>
      </c>
      <c r="AW120" s="327"/>
      <c r="AX120" s="327"/>
      <c r="AY120" s="327"/>
      <c r="AZ120" s="327"/>
      <c r="BA120" s="327"/>
      <c r="BB120" s="327"/>
      <c r="BC120" s="328">
        <f t="shared" si="9"/>
        <v>16</v>
      </c>
      <c r="BD120" s="322">
        <f t="shared" si="10"/>
        <v>14.54545455</v>
      </c>
      <c r="BE120" s="315"/>
      <c r="BF120" s="316"/>
      <c r="BG120" s="317"/>
      <c r="BH120" s="317"/>
      <c r="BI120" s="317"/>
      <c r="BJ120" s="317"/>
      <c r="BK120" s="317"/>
      <c r="BL120" s="317"/>
      <c r="BM120" s="317"/>
      <c r="BN120" s="317"/>
      <c r="BO120" s="317"/>
      <c r="BP120" s="318"/>
      <c r="BQ120" s="315"/>
    </row>
    <row r="121" ht="15.0" customHeight="1">
      <c r="A121" s="316"/>
      <c r="B121" s="317"/>
      <c r="C121" s="317"/>
      <c r="D121" s="317"/>
      <c r="E121" s="317"/>
      <c r="F121" s="318"/>
      <c r="H121" s="326">
        <v>23.0</v>
      </c>
      <c r="I121" s="327">
        <v>2.0</v>
      </c>
      <c r="J121" s="327">
        <v>3.0</v>
      </c>
      <c r="K121" s="327">
        <v>4.0</v>
      </c>
      <c r="L121" s="327">
        <v>9.0</v>
      </c>
      <c r="M121" s="327"/>
      <c r="N121" s="327"/>
      <c r="O121" s="327"/>
      <c r="P121" s="327"/>
      <c r="Q121" s="327"/>
      <c r="R121" s="327"/>
      <c r="S121" s="328">
        <f t="shared" si="3"/>
        <v>18</v>
      </c>
      <c r="T121" s="329">
        <f t="shared" si="4"/>
        <v>16.36363636</v>
      </c>
      <c r="U121" s="327">
        <v>13.0</v>
      </c>
      <c r="V121" s="327">
        <v>16.0</v>
      </c>
      <c r="W121" s="327">
        <v>4.0</v>
      </c>
      <c r="X121" s="327">
        <v>5.0</v>
      </c>
      <c r="Y121" s="327"/>
      <c r="Z121" s="327"/>
      <c r="AA121" s="327"/>
      <c r="AB121" s="327"/>
      <c r="AC121" s="327"/>
      <c r="AD121" s="327"/>
      <c r="AE121" s="328">
        <f t="shared" si="5"/>
        <v>38</v>
      </c>
      <c r="AF121" s="322">
        <f t="shared" si="6"/>
        <v>34.54545455</v>
      </c>
      <c r="AG121" s="330">
        <v>8.0</v>
      </c>
      <c r="AH121" s="327">
        <v>5.0</v>
      </c>
      <c r="AI121" s="327">
        <v>5.0</v>
      </c>
      <c r="AJ121" s="327">
        <v>7.0</v>
      </c>
      <c r="AK121" s="327"/>
      <c r="AL121" s="327"/>
      <c r="AM121" s="327"/>
      <c r="AN121" s="327"/>
      <c r="AO121" s="327"/>
      <c r="AP121" s="327"/>
      <c r="AQ121" s="328">
        <f t="shared" si="7"/>
        <v>25</v>
      </c>
      <c r="AR121" s="322">
        <f t="shared" si="8"/>
        <v>22.72727273</v>
      </c>
      <c r="AS121" s="327">
        <v>3.0</v>
      </c>
      <c r="AT121" s="327">
        <v>1.0</v>
      </c>
      <c r="AU121" s="327">
        <v>4.0</v>
      </c>
      <c r="AV121" s="327">
        <v>4.0</v>
      </c>
      <c r="AW121" s="327"/>
      <c r="AX121" s="327"/>
      <c r="AY121" s="327"/>
      <c r="AZ121" s="327"/>
      <c r="BA121" s="327"/>
      <c r="BB121" s="327"/>
      <c r="BC121" s="328">
        <f t="shared" si="9"/>
        <v>12</v>
      </c>
      <c r="BD121" s="322">
        <f t="shared" si="10"/>
        <v>10.90909091</v>
      </c>
      <c r="BE121" s="315"/>
      <c r="BF121" s="316"/>
      <c r="BG121" s="317"/>
      <c r="BH121" s="317"/>
      <c r="BI121" s="317"/>
      <c r="BJ121" s="317"/>
      <c r="BK121" s="317"/>
      <c r="BL121" s="317"/>
      <c r="BM121" s="317"/>
      <c r="BN121" s="317"/>
      <c r="BO121" s="317"/>
      <c r="BP121" s="318"/>
      <c r="BQ121" s="315"/>
    </row>
    <row r="122" ht="15.0" customHeight="1">
      <c r="A122" s="316"/>
      <c r="B122" s="317"/>
      <c r="C122" s="317"/>
      <c r="D122" s="317"/>
      <c r="E122" s="317"/>
      <c r="F122" s="318"/>
      <c r="H122" s="326">
        <v>24.0</v>
      </c>
      <c r="I122" s="327">
        <v>6.0</v>
      </c>
      <c r="J122" s="327">
        <v>6.0</v>
      </c>
      <c r="K122" s="327">
        <v>5.0</v>
      </c>
      <c r="L122" s="327">
        <v>3.0</v>
      </c>
      <c r="M122" s="327"/>
      <c r="N122" s="327"/>
      <c r="O122" s="327"/>
      <c r="P122" s="327"/>
      <c r="Q122" s="327"/>
      <c r="R122" s="327"/>
      <c r="S122" s="328">
        <f t="shared" si="3"/>
        <v>20</v>
      </c>
      <c r="T122" s="329">
        <f t="shared" si="4"/>
        <v>18.18181818</v>
      </c>
      <c r="U122" s="327">
        <v>7.0</v>
      </c>
      <c r="V122" s="327">
        <v>16.0</v>
      </c>
      <c r="W122" s="327">
        <v>9.0</v>
      </c>
      <c r="X122" s="327">
        <v>10.0</v>
      </c>
      <c r="Y122" s="327"/>
      <c r="Z122" s="327"/>
      <c r="AA122" s="327"/>
      <c r="AB122" s="327"/>
      <c r="AC122" s="327"/>
      <c r="AD122" s="327"/>
      <c r="AE122" s="328">
        <f t="shared" si="5"/>
        <v>42</v>
      </c>
      <c r="AF122" s="322">
        <f t="shared" si="6"/>
        <v>38.18181818</v>
      </c>
      <c r="AG122" s="330">
        <v>7.0</v>
      </c>
      <c r="AH122" s="327">
        <v>2.0</v>
      </c>
      <c r="AI122" s="327">
        <v>2.0</v>
      </c>
      <c r="AJ122" s="327">
        <v>5.0</v>
      </c>
      <c r="AK122" s="327"/>
      <c r="AL122" s="327"/>
      <c r="AM122" s="327"/>
      <c r="AN122" s="327"/>
      <c r="AO122" s="327"/>
      <c r="AP122" s="327"/>
      <c r="AQ122" s="328">
        <f t="shared" si="7"/>
        <v>16</v>
      </c>
      <c r="AR122" s="322">
        <f t="shared" si="8"/>
        <v>14.54545455</v>
      </c>
      <c r="AS122" s="327">
        <v>5.0</v>
      </c>
      <c r="AT122" s="327">
        <v>1.0</v>
      </c>
      <c r="AU122" s="327">
        <v>1.0</v>
      </c>
      <c r="AV122" s="327">
        <v>7.0</v>
      </c>
      <c r="AW122" s="327"/>
      <c r="AX122" s="327"/>
      <c r="AY122" s="327"/>
      <c r="AZ122" s="327"/>
      <c r="BA122" s="327"/>
      <c r="BB122" s="327"/>
      <c r="BC122" s="328">
        <f t="shared" si="9"/>
        <v>14</v>
      </c>
      <c r="BD122" s="322">
        <f t="shared" si="10"/>
        <v>12.72727273</v>
      </c>
      <c r="BE122" s="315"/>
      <c r="BF122" s="316"/>
      <c r="BG122" s="317"/>
      <c r="BH122" s="317"/>
      <c r="BI122" s="317"/>
      <c r="BJ122" s="317"/>
      <c r="BK122" s="317"/>
      <c r="BL122" s="317"/>
      <c r="BM122" s="317"/>
      <c r="BN122" s="317"/>
      <c r="BO122" s="317"/>
      <c r="BP122" s="318"/>
      <c r="BQ122" s="315"/>
    </row>
    <row r="123" ht="15.0" customHeight="1">
      <c r="A123" s="316"/>
      <c r="B123" s="317"/>
      <c r="C123" s="317"/>
      <c r="D123" s="317"/>
      <c r="E123" s="317"/>
      <c r="F123" s="318"/>
      <c r="H123" s="326">
        <v>25.0</v>
      </c>
      <c r="I123" s="327">
        <v>4.0</v>
      </c>
      <c r="J123" s="327">
        <v>9.0</v>
      </c>
      <c r="K123" s="327">
        <v>2.0</v>
      </c>
      <c r="L123" s="327">
        <v>10.0</v>
      </c>
      <c r="M123" s="327"/>
      <c r="N123" s="327"/>
      <c r="O123" s="327"/>
      <c r="P123" s="327"/>
      <c r="Q123" s="327"/>
      <c r="R123" s="327"/>
      <c r="S123" s="328">
        <f t="shared" si="3"/>
        <v>25</v>
      </c>
      <c r="T123" s="329">
        <f t="shared" si="4"/>
        <v>22.72727273</v>
      </c>
      <c r="U123" s="327">
        <v>10.0</v>
      </c>
      <c r="V123" s="327">
        <v>9.0</v>
      </c>
      <c r="W123" s="327">
        <v>6.0</v>
      </c>
      <c r="X123" s="327">
        <v>7.0</v>
      </c>
      <c r="Y123" s="327"/>
      <c r="Z123" s="327"/>
      <c r="AA123" s="327"/>
      <c r="AB123" s="327"/>
      <c r="AC123" s="327"/>
      <c r="AD123" s="327"/>
      <c r="AE123" s="328">
        <f t="shared" si="5"/>
        <v>32</v>
      </c>
      <c r="AF123" s="322">
        <f t="shared" si="6"/>
        <v>29.09090909</v>
      </c>
      <c r="AG123" s="330">
        <v>7.0</v>
      </c>
      <c r="AH123" s="327">
        <v>2.0</v>
      </c>
      <c r="AI123" s="327">
        <v>3.0</v>
      </c>
      <c r="AJ123" s="327">
        <v>3.0</v>
      </c>
      <c r="AK123" s="327"/>
      <c r="AL123" s="327"/>
      <c r="AM123" s="327"/>
      <c r="AN123" s="327"/>
      <c r="AO123" s="327"/>
      <c r="AP123" s="327"/>
      <c r="AQ123" s="328">
        <f t="shared" si="7"/>
        <v>15</v>
      </c>
      <c r="AR123" s="322">
        <f t="shared" si="8"/>
        <v>13.63636364</v>
      </c>
      <c r="AS123" s="327">
        <v>5.0</v>
      </c>
      <c r="AT123" s="327">
        <v>5.0</v>
      </c>
      <c r="AU123" s="327">
        <v>5.0</v>
      </c>
      <c r="AV123" s="327">
        <v>5.0</v>
      </c>
      <c r="AW123" s="327"/>
      <c r="AX123" s="327"/>
      <c r="AY123" s="327"/>
      <c r="AZ123" s="327"/>
      <c r="BA123" s="327"/>
      <c r="BB123" s="327"/>
      <c r="BC123" s="328">
        <f t="shared" si="9"/>
        <v>20</v>
      </c>
      <c r="BD123" s="322">
        <f t="shared" si="10"/>
        <v>18.18181818</v>
      </c>
      <c r="BE123" s="315"/>
      <c r="BF123" s="316"/>
      <c r="BG123" s="317"/>
      <c r="BH123" s="317"/>
      <c r="BI123" s="317"/>
      <c r="BJ123" s="317"/>
      <c r="BK123" s="317"/>
      <c r="BL123" s="317"/>
      <c r="BM123" s="317"/>
      <c r="BN123" s="317"/>
      <c r="BO123" s="317"/>
      <c r="BP123" s="318"/>
      <c r="BQ123" s="315"/>
    </row>
    <row r="124" ht="15.0" customHeight="1">
      <c r="A124" s="316"/>
      <c r="B124" s="317"/>
      <c r="C124" s="317"/>
      <c r="D124" s="317"/>
      <c r="E124" s="317"/>
      <c r="F124" s="318"/>
      <c r="G124" s="332" t="s">
        <v>17</v>
      </c>
      <c r="H124" s="333">
        <v>1.0</v>
      </c>
      <c r="I124" s="327">
        <v>14.0</v>
      </c>
      <c r="J124" s="327">
        <v>9.0</v>
      </c>
      <c r="K124" s="327">
        <v>6.0</v>
      </c>
      <c r="L124" s="327">
        <v>6.0</v>
      </c>
      <c r="M124" s="327"/>
      <c r="N124" s="327"/>
      <c r="O124" s="327"/>
      <c r="P124" s="327"/>
      <c r="Q124" s="327"/>
      <c r="R124" s="327"/>
      <c r="S124" s="328">
        <f t="shared" si="3"/>
        <v>35</v>
      </c>
      <c r="T124" s="329">
        <f t="shared" si="4"/>
        <v>31.81818182</v>
      </c>
      <c r="U124" s="327">
        <v>5.0</v>
      </c>
      <c r="V124" s="327">
        <v>2.0</v>
      </c>
      <c r="W124" s="327">
        <v>4.0</v>
      </c>
      <c r="X124" s="327">
        <v>2.0</v>
      </c>
      <c r="Y124" s="327"/>
      <c r="Z124" s="327"/>
      <c r="AA124" s="327"/>
      <c r="AB124" s="327"/>
      <c r="AC124" s="327"/>
      <c r="AD124" s="327"/>
      <c r="AE124" s="328">
        <f t="shared" si="5"/>
        <v>13</v>
      </c>
      <c r="AF124" s="322">
        <f t="shared" si="6"/>
        <v>11.81818182</v>
      </c>
      <c r="AG124" s="330">
        <v>4.0</v>
      </c>
      <c r="AH124" s="327">
        <v>9.0</v>
      </c>
      <c r="AI124" s="327">
        <v>5.0</v>
      </c>
      <c r="AJ124" s="327">
        <v>14.0</v>
      </c>
      <c r="AK124" s="327"/>
      <c r="AL124" s="327"/>
      <c r="AM124" s="327"/>
      <c r="AN124" s="327"/>
      <c r="AO124" s="327"/>
      <c r="AP124" s="327"/>
      <c r="AQ124" s="328">
        <f t="shared" si="7"/>
        <v>32</v>
      </c>
      <c r="AR124" s="322">
        <f t="shared" si="8"/>
        <v>29.09090909</v>
      </c>
      <c r="AS124" s="327">
        <v>4.0</v>
      </c>
      <c r="AT124" s="327">
        <v>5.0</v>
      </c>
      <c r="AU124" s="327">
        <v>2.0</v>
      </c>
      <c r="AV124" s="327">
        <v>3.0</v>
      </c>
      <c r="AW124" s="327"/>
      <c r="AX124" s="327"/>
      <c r="AY124" s="327"/>
      <c r="AZ124" s="327"/>
      <c r="BA124" s="327"/>
      <c r="BB124" s="327"/>
      <c r="BC124" s="328">
        <f t="shared" si="9"/>
        <v>14</v>
      </c>
      <c r="BD124" s="322">
        <f t="shared" si="10"/>
        <v>12.72727273</v>
      </c>
      <c r="BE124" s="315"/>
      <c r="BF124" s="316"/>
      <c r="BG124" s="317"/>
      <c r="BH124" s="317"/>
      <c r="BI124" s="317"/>
      <c r="BJ124" s="317"/>
      <c r="BK124" s="317"/>
      <c r="BL124" s="317"/>
      <c r="BM124" s="317"/>
      <c r="BN124" s="317"/>
      <c r="BO124" s="317"/>
      <c r="BP124" s="318"/>
      <c r="BQ124" s="315"/>
    </row>
    <row r="125" ht="15.0" customHeight="1">
      <c r="A125" s="316"/>
      <c r="B125" s="317"/>
      <c r="C125" s="317"/>
      <c r="D125" s="317"/>
      <c r="E125" s="317"/>
      <c r="F125" s="318"/>
      <c r="H125" s="333">
        <v>2.0</v>
      </c>
      <c r="I125" s="327">
        <v>2.0</v>
      </c>
      <c r="J125" s="327">
        <v>5.0</v>
      </c>
      <c r="K125" s="327">
        <v>3.0</v>
      </c>
      <c r="L125" s="327">
        <v>5.0</v>
      </c>
      <c r="M125" s="327"/>
      <c r="N125" s="327"/>
      <c r="O125" s="327"/>
      <c r="P125" s="327"/>
      <c r="Q125" s="327"/>
      <c r="R125" s="327"/>
      <c r="S125" s="328">
        <f t="shared" si="3"/>
        <v>15</v>
      </c>
      <c r="T125" s="329">
        <f t="shared" si="4"/>
        <v>13.63636364</v>
      </c>
      <c r="U125" s="327">
        <v>11.0</v>
      </c>
      <c r="V125" s="327">
        <v>3.0</v>
      </c>
      <c r="W125" s="327">
        <v>3.0</v>
      </c>
      <c r="X125" s="327">
        <v>8.0</v>
      </c>
      <c r="Y125" s="327"/>
      <c r="Z125" s="327"/>
      <c r="AA125" s="327"/>
      <c r="AB125" s="327"/>
      <c r="AC125" s="327"/>
      <c r="AD125" s="327"/>
      <c r="AE125" s="328">
        <f t="shared" si="5"/>
        <v>25</v>
      </c>
      <c r="AF125" s="322">
        <f t="shared" si="6"/>
        <v>22.72727273</v>
      </c>
      <c r="AG125" s="330">
        <v>7.0</v>
      </c>
      <c r="AH125" s="327">
        <v>8.0</v>
      </c>
      <c r="AI125" s="327">
        <v>7.0</v>
      </c>
      <c r="AJ125" s="327">
        <v>8.0</v>
      </c>
      <c r="AK125" s="327"/>
      <c r="AL125" s="327"/>
      <c r="AM125" s="327"/>
      <c r="AN125" s="327"/>
      <c r="AO125" s="327"/>
      <c r="AP125" s="327"/>
      <c r="AQ125" s="328">
        <f t="shared" si="7"/>
        <v>30</v>
      </c>
      <c r="AR125" s="322">
        <f t="shared" si="8"/>
        <v>27.27272727</v>
      </c>
      <c r="AS125" s="327">
        <v>6.0</v>
      </c>
      <c r="AT125" s="327">
        <v>9.0</v>
      </c>
      <c r="AU125" s="327">
        <v>4.0</v>
      </c>
      <c r="AV125" s="327">
        <v>4.0</v>
      </c>
      <c r="AW125" s="327"/>
      <c r="AX125" s="327"/>
      <c r="AY125" s="327"/>
      <c r="AZ125" s="327"/>
      <c r="BA125" s="327"/>
      <c r="BB125" s="327"/>
      <c r="BC125" s="328">
        <f t="shared" si="9"/>
        <v>23</v>
      </c>
      <c r="BD125" s="322">
        <f t="shared" si="10"/>
        <v>20.90909091</v>
      </c>
      <c r="BE125" s="315"/>
      <c r="BF125" s="316"/>
      <c r="BG125" s="317"/>
      <c r="BH125" s="317"/>
      <c r="BI125" s="317"/>
      <c r="BJ125" s="317"/>
      <c r="BK125" s="317"/>
      <c r="BL125" s="317"/>
      <c r="BM125" s="317"/>
      <c r="BN125" s="317"/>
      <c r="BO125" s="317"/>
      <c r="BP125" s="318"/>
      <c r="BQ125" s="315"/>
    </row>
    <row r="126" ht="15.0" customHeight="1">
      <c r="A126" s="316"/>
      <c r="B126" s="317"/>
      <c r="C126" s="317"/>
      <c r="D126" s="317"/>
      <c r="E126" s="317"/>
      <c r="F126" s="318"/>
      <c r="H126" s="333">
        <v>3.0</v>
      </c>
      <c r="I126" s="327">
        <v>2.0</v>
      </c>
      <c r="J126" s="327">
        <v>2.0</v>
      </c>
      <c r="K126" s="327">
        <v>2.0</v>
      </c>
      <c r="L126" s="327">
        <v>3.0</v>
      </c>
      <c r="M126" s="327"/>
      <c r="N126" s="327"/>
      <c r="O126" s="327"/>
      <c r="P126" s="327"/>
      <c r="Q126" s="327"/>
      <c r="R126" s="327"/>
      <c r="S126" s="328">
        <f t="shared" si="3"/>
        <v>9</v>
      </c>
      <c r="T126" s="329">
        <f t="shared" si="4"/>
        <v>8.181818182</v>
      </c>
      <c r="U126" s="327">
        <v>13.0</v>
      </c>
      <c r="V126" s="327">
        <v>13.0</v>
      </c>
      <c r="W126" s="327">
        <v>4.0</v>
      </c>
      <c r="X126" s="327">
        <v>6.0</v>
      </c>
      <c r="Y126" s="327"/>
      <c r="Z126" s="327"/>
      <c r="AA126" s="327"/>
      <c r="AB126" s="327"/>
      <c r="AC126" s="327"/>
      <c r="AD126" s="327"/>
      <c r="AE126" s="328">
        <f t="shared" si="5"/>
        <v>36</v>
      </c>
      <c r="AF126" s="322">
        <f t="shared" si="6"/>
        <v>32.72727273</v>
      </c>
      <c r="AG126" s="330">
        <v>4.0</v>
      </c>
      <c r="AH126" s="327">
        <v>4.0</v>
      </c>
      <c r="AI126" s="327">
        <v>3.0</v>
      </c>
      <c r="AJ126" s="327">
        <v>6.0</v>
      </c>
      <c r="AK126" s="327"/>
      <c r="AL126" s="327"/>
      <c r="AM126" s="327"/>
      <c r="AN126" s="327"/>
      <c r="AO126" s="327"/>
      <c r="AP126" s="327"/>
      <c r="AQ126" s="328">
        <f t="shared" si="7"/>
        <v>17</v>
      </c>
      <c r="AR126" s="322">
        <f t="shared" si="8"/>
        <v>15.45454545</v>
      </c>
      <c r="AS126" s="327">
        <v>7.0</v>
      </c>
      <c r="AT126" s="327">
        <v>6.0</v>
      </c>
      <c r="AU126" s="327">
        <v>8.0</v>
      </c>
      <c r="AV126" s="327">
        <v>9.0</v>
      </c>
      <c r="AW126" s="327"/>
      <c r="AX126" s="327"/>
      <c r="AY126" s="327"/>
      <c r="AZ126" s="327"/>
      <c r="BA126" s="327"/>
      <c r="BB126" s="327"/>
      <c r="BC126" s="328">
        <f t="shared" si="9"/>
        <v>30</v>
      </c>
      <c r="BD126" s="322">
        <f t="shared" si="10"/>
        <v>27.27272727</v>
      </c>
      <c r="BE126" s="315"/>
      <c r="BF126" s="316"/>
      <c r="BG126" s="317"/>
      <c r="BH126" s="317"/>
      <c r="BI126" s="317"/>
      <c r="BJ126" s="317"/>
      <c r="BK126" s="317"/>
      <c r="BL126" s="317"/>
      <c r="BM126" s="317"/>
      <c r="BN126" s="317"/>
      <c r="BO126" s="317"/>
      <c r="BP126" s="318"/>
      <c r="BQ126" s="315"/>
    </row>
    <row r="127" ht="15.0" customHeight="1">
      <c r="A127" s="316"/>
      <c r="B127" s="317"/>
      <c r="C127" s="317"/>
      <c r="D127" s="317"/>
      <c r="E127" s="317"/>
      <c r="F127" s="318"/>
      <c r="H127" s="333">
        <v>4.0</v>
      </c>
      <c r="I127" s="327">
        <v>8.0</v>
      </c>
      <c r="J127" s="327">
        <v>7.0</v>
      </c>
      <c r="K127" s="327">
        <v>4.0</v>
      </c>
      <c r="L127" s="327">
        <v>6.0</v>
      </c>
      <c r="M127" s="327"/>
      <c r="N127" s="327"/>
      <c r="O127" s="327"/>
      <c r="P127" s="327"/>
      <c r="Q127" s="327"/>
      <c r="R127" s="327"/>
      <c r="S127" s="328">
        <f t="shared" si="3"/>
        <v>25</v>
      </c>
      <c r="T127" s="329">
        <f t="shared" si="4"/>
        <v>22.72727273</v>
      </c>
      <c r="U127" s="327">
        <v>8.0</v>
      </c>
      <c r="V127" s="327">
        <v>5.0</v>
      </c>
      <c r="W127" s="327">
        <v>6.0</v>
      </c>
      <c r="X127" s="327">
        <v>6.0</v>
      </c>
      <c r="Y127" s="327"/>
      <c r="Z127" s="327"/>
      <c r="AA127" s="327"/>
      <c r="AB127" s="327"/>
      <c r="AC127" s="327"/>
      <c r="AD127" s="327"/>
      <c r="AE127" s="328">
        <f t="shared" si="5"/>
        <v>25</v>
      </c>
      <c r="AF127" s="322">
        <f t="shared" si="6"/>
        <v>22.72727273</v>
      </c>
      <c r="AG127" s="330">
        <v>7.0</v>
      </c>
      <c r="AH127" s="327">
        <v>6.0</v>
      </c>
      <c r="AI127" s="327">
        <v>6.0</v>
      </c>
      <c r="AJ127" s="327">
        <v>5.0</v>
      </c>
      <c r="AK127" s="327"/>
      <c r="AL127" s="327"/>
      <c r="AM127" s="327"/>
      <c r="AN127" s="327"/>
      <c r="AO127" s="327"/>
      <c r="AP127" s="327"/>
      <c r="AQ127" s="328">
        <f t="shared" si="7"/>
        <v>24</v>
      </c>
      <c r="AR127" s="322">
        <f t="shared" si="8"/>
        <v>21.81818182</v>
      </c>
      <c r="AS127" s="327">
        <v>4.0</v>
      </c>
      <c r="AT127" s="327">
        <v>7.0</v>
      </c>
      <c r="AU127" s="327">
        <v>1.0</v>
      </c>
      <c r="AV127" s="327">
        <v>8.0</v>
      </c>
      <c r="AW127" s="327"/>
      <c r="AX127" s="327"/>
      <c r="AY127" s="327"/>
      <c r="AZ127" s="327"/>
      <c r="BA127" s="327"/>
      <c r="BB127" s="327"/>
      <c r="BC127" s="328">
        <f t="shared" si="9"/>
        <v>20</v>
      </c>
      <c r="BD127" s="322">
        <f t="shared" si="10"/>
        <v>18.18181818</v>
      </c>
      <c r="BE127" s="315"/>
      <c r="BF127" s="316"/>
      <c r="BG127" s="317"/>
      <c r="BH127" s="317"/>
      <c r="BI127" s="317"/>
      <c r="BJ127" s="317"/>
      <c r="BK127" s="317"/>
      <c r="BL127" s="317"/>
      <c r="BM127" s="317"/>
      <c r="BN127" s="317"/>
      <c r="BO127" s="317"/>
      <c r="BP127" s="318"/>
      <c r="BQ127" s="315"/>
    </row>
    <row r="128" ht="15.0" customHeight="1">
      <c r="A128" s="316"/>
      <c r="B128" s="317"/>
      <c r="C128" s="317"/>
      <c r="D128" s="317"/>
      <c r="E128" s="317"/>
      <c r="F128" s="318"/>
      <c r="H128" s="333">
        <v>5.0</v>
      </c>
      <c r="I128" s="327">
        <v>5.0</v>
      </c>
      <c r="J128" s="327">
        <v>6.0</v>
      </c>
      <c r="K128" s="327">
        <v>6.0</v>
      </c>
      <c r="L128" s="327">
        <v>5.0</v>
      </c>
      <c r="M128" s="327"/>
      <c r="N128" s="327"/>
      <c r="O128" s="327"/>
      <c r="P128" s="327"/>
      <c r="Q128" s="327"/>
      <c r="R128" s="327"/>
      <c r="S128" s="328">
        <f t="shared" si="3"/>
        <v>22</v>
      </c>
      <c r="T128" s="329">
        <f t="shared" si="4"/>
        <v>20</v>
      </c>
      <c r="U128" s="327">
        <v>7.0</v>
      </c>
      <c r="V128" s="327">
        <v>8.0</v>
      </c>
      <c r="W128" s="327">
        <v>3.0</v>
      </c>
      <c r="X128" s="327">
        <v>8.0</v>
      </c>
      <c r="Y128" s="327"/>
      <c r="Z128" s="327"/>
      <c r="AA128" s="327"/>
      <c r="AB128" s="327"/>
      <c r="AC128" s="327"/>
      <c r="AD128" s="327"/>
      <c r="AE128" s="328">
        <f t="shared" si="5"/>
        <v>26</v>
      </c>
      <c r="AF128" s="322">
        <f t="shared" si="6"/>
        <v>23.63636364</v>
      </c>
      <c r="AG128" s="330">
        <v>5.0</v>
      </c>
      <c r="AH128" s="327">
        <v>8.0</v>
      </c>
      <c r="AI128" s="327">
        <v>3.0</v>
      </c>
      <c r="AJ128" s="327">
        <v>6.0</v>
      </c>
      <c r="AK128" s="327"/>
      <c r="AL128" s="327"/>
      <c r="AM128" s="327"/>
      <c r="AN128" s="327"/>
      <c r="AO128" s="327"/>
      <c r="AP128" s="327"/>
      <c r="AQ128" s="328">
        <f t="shared" si="7"/>
        <v>22</v>
      </c>
      <c r="AR128" s="322">
        <f t="shared" si="8"/>
        <v>20</v>
      </c>
      <c r="AS128" s="327">
        <v>9.0</v>
      </c>
      <c r="AT128" s="327">
        <v>3.0</v>
      </c>
      <c r="AU128" s="327">
        <v>5.0</v>
      </c>
      <c r="AV128" s="327">
        <v>6.0</v>
      </c>
      <c r="AW128" s="327"/>
      <c r="AX128" s="327"/>
      <c r="AY128" s="327"/>
      <c r="AZ128" s="327"/>
      <c r="BA128" s="327"/>
      <c r="BB128" s="327"/>
      <c r="BC128" s="328">
        <f t="shared" si="9"/>
        <v>23</v>
      </c>
      <c r="BD128" s="322">
        <f t="shared" si="10"/>
        <v>20.90909091</v>
      </c>
      <c r="BE128" s="315"/>
      <c r="BF128" s="316"/>
      <c r="BG128" s="317"/>
      <c r="BH128" s="317"/>
      <c r="BI128" s="317"/>
      <c r="BJ128" s="317"/>
      <c r="BK128" s="317"/>
      <c r="BL128" s="317"/>
      <c r="BM128" s="317"/>
      <c r="BN128" s="317"/>
      <c r="BO128" s="317"/>
      <c r="BP128" s="318"/>
      <c r="BQ128" s="315"/>
    </row>
    <row r="129" ht="15.0" customHeight="1">
      <c r="A129" s="316"/>
      <c r="B129" s="317"/>
      <c r="C129" s="317"/>
      <c r="D129" s="317"/>
      <c r="E129" s="317"/>
      <c r="F129" s="318"/>
      <c r="H129" s="333">
        <v>6.0</v>
      </c>
      <c r="I129" s="327">
        <v>3.0</v>
      </c>
      <c r="J129" s="327">
        <v>8.0</v>
      </c>
      <c r="K129" s="327">
        <v>4.0</v>
      </c>
      <c r="L129" s="327">
        <v>6.0</v>
      </c>
      <c r="M129" s="327"/>
      <c r="N129" s="327"/>
      <c r="O129" s="327"/>
      <c r="P129" s="327"/>
      <c r="Q129" s="327"/>
      <c r="R129" s="327"/>
      <c r="S129" s="328">
        <f t="shared" si="3"/>
        <v>21</v>
      </c>
      <c r="T129" s="329">
        <f t="shared" si="4"/>
        <v>19.09090909</v>
      </c>
      <c r="U129" s="327">
        <v>15.0</v>
      </c>
      <c r="V129" s="327">
        <v>5.0</v>
      </c>
      <c r="W129" s="327">
        <v>6.0</v>
      </c>
      <c r="X129" s="327">
        <v>11.0</v>
      </c>
      <c r="Y129" s="327"/>
      <c r="Z129" s="327"/>
      <c r="AA129" s="327"/>
      <c r="AB129" s="327"/>
      <c r="AC129" s="327"/>
      <c r="AD129" s="327"/>
      <c r="AE129" s="328">
        <f t="shared" si="5"/>
        <v>37</v>
      </c>
      <c r="AF129" s="322">
        <f t="shared" si="6"/>
        <v>33.63636364</v>
      </c>
      <c r="AG129" s="330">
        <v>6.0</v>
      </c>
      <c r="AH129" s="327">
        <v>6.0</v>
      </c>
      <c r="AI129" s="327">
        <v>4.0</v>
      </c>
      <c r="AJ129" s="327">
        <v>3.0</v>
      </c>
      <c r="AK129" s="327"/>
      <c r="AL129" s="327"/>
      <c r="AM129" s="327"/>
      <c r="AN129" s="327"/>
      <c r="AO129" s="327"/>
      <c r="AP129" s="327"/>
      <c r="AQ129" s="328">
        <f t="shared" si="7"/>
        <v>19</v>
      </c>
      <c r="AR129" s="322">
        <f t="shared" si="8"/>
        <v>17.27272727</v>
      </c>
      <c r="AS129" s="327">
        <v>2.0</v>
      </c>
      <c r="AT129" s="327">
        <v>5.0</v>
      </c>
      <c r="AU129" s="327">
        <v>3.0</v>
      </c>
      <c r="AV129" s="327">
        <v>5.0</v>
      </c>
      <c r="AW129" s="327"/>
      <c r="AX129" s="327"/>
      <c r="AY129" s="327"/>
      <c r="AZ129" s="327"/>
      <c r="BA129" s="327"/>
      <c r="BB129" s="327"/>
      <c r="BC129" s="328">
        <f t="shared" si="9"/>
        <v>15</v>
      </c>
      <c r="BD129" s="322">
        <f t="shared" si="10"/>
        <v>13.63636364</v>
      </c>
      <c r="BE129" s="315"/>
      <c r="BF129" s="316"/>
      <c r="BG129" s="317"/>
      <c r="BH129" s="317"/>
      <c r="BI129" s="317"/>
      <c r="BJ129" s="317"/>
      <c r="BK129" s="317"/>
      <c r="BL129" s="317"/>
      <c r="BM129" s="317"/>
      <c r="BN129" s="317"/>
      <c r="BO129" s="317"/>
      <c r="BP129" s="318"/>
      <c r="BQ129" s="315"/>
    </row>
    <row r="130" ht="15.0" customHeight="1">
      <c r="A130" s="316"/>
      <c r="B130" s="317"/>
      <c r="C130" s="317"/>
      <c r="D130" s="317"/>
      <c r="E130" s="317"/>
      <c r="F130" s="318"/>
      <c r="H130" s="333">
        <v>7.0</v>
      </c>
      <c r="I130" s="327">
        <v>10.0</v>
      </c>
      <c r="J130" s="327">
        <v>6.0</v>
      </c>
      <c r="K130" s="327">
        <v>2.0</v>
      </c>
      <c r="L130" s="327">
        <v>5.0</v>
      </c>
      <c r="M130" s="327"/>
      <c r="N130" s="327"/>
      <c r="O130" s="327"/>
      <c r="P130" s="327"/>
      <c r="Q130" s="327"/>
      <c r="R130" s="327"/>
      <c r="S130" s="328">
        <f t="shared" si="3"/>
        <v>23</v>
      </c>
      <c r="T130" s="329">
        <f t="shared" si="4"/>
        <v>20.90909091</v>
      </c>
      <c r="U130" s="327">
        <v>4.0</v>
      </c>
      <c r="V130" s="327">
        <v>10.0</v>
      </c>
      <c r="W130" s="327">
        <v>8.0</v>
      </c>
      <c r="X130" s="327">
        <v>8.0</v>
      </c>
      <c r="Y130" s="327"/>
      <c r="Z130" s="327"/>
      <c r="AA130" s="327"/>
      <c r="AB130" s="327"/>
      <c r="AC130" s="327"/>
      <c r="AD130" s="327"/>
      <c r="AE130" s="328">
        <f t="shared" si="5"/>
        <v>30</v>
      </c>
      <c r="AF130" s="322">
        <f t="shared" si="6"/>
        <v>27.27272727</v>
      </c>
      <c r="AG130" s="330">
        <v>10.0</v>
      </c>
      <c r="AH130" s="327">
        <v>4.0</v>
      </c>
      <c r="AI130" s="327">
        <v>4.0</v>
      </c>
      <c r="AJ130" s="327">
        <v>4.0</v>
      </c>
      <c r="AK130" s="327"/>
      <c r="AL130" s="327"/>
      <c r="AM130" s="327"/>
      <c r="AN130" s="327"/>
      <c r="AO130" s="327"/>
      <c r="AP130" s="327"/>
      <c r="AQ130" s="328">
        <f t="shared" si="7"/>
        <v>22</v>
      </c>
      <c r="AR130" s="322">
        <f t="shared" si="8"/>
        <v>20</v>
      </c>
      <c r="AS130" s="327">
        <v>3.0</v>
      </c>
      <c r="AT130" s="327">
        <v>5.0</v>
      </c>
      <c r="AU130" s="327">
        <v>3.0</v>
      </c>
      <c r="AV130" s="327">
        <v>8.0</v>
      </c>
      <c r="AW130" s="327"/>
      <c r="AX130" s="327"/>
      <c r="AY130" s="327"/>
      <c r="AZ130" s="327"/>
      <c r="BA130" s="327"/>
      <c r="BB130" s="327"/>
      <c r="BC130" s="328">
        <f t="shared" si="9"/>
        <v>19</v>
      </c>
      <c r="BD130" s="322">
        <f t="shared" si="10"/>
        <v>17.27272727</v>
      </c>
      <c r="BE130" s="315"/>
      <c r="BF130" s="316"/>
      <c r="BG130" s="317"/>
      <c r="BH130" s="317"/>
      <c r="BI130" s="317"/>
      <c r="BJ130" s="317"/>
      <c r="BK130" s="317"/>
      <c r="BL130" s="317"/>
      <c r="BM130" s="317"/>
      <c r="BN130" s="317"/>
      <c r="BO130" s="317"/>
      <c r="BP130" s="318"/>
      <c r="BQ130" s="315"/>
    </row>
    <row r="131" ht="15.0" customHeight="1">
      <c r="A131" s="316"/>
      <c r="B131" s="317"/>
      <c r="C131" s="317"/>
      <c r="D131" s="317"/>
      <c r="E131" s="317"/>
      <c r="F131" s="318"/>
      <c r="H131" s="333">
        <v>8.0</v>
      </c>
      <c r="I131" s="327">
        <v>9.0</v>
      </c>
      <c r="J131" s="327">
        <v>4.0</v>
      </c>
      <c r="K131" s="327">
        <v>5.0</v>
      </c>
      <c r="L131" s="327">
        <v>8.0</v>
      </c>
      <c r="M131" s="327"/>
      <c r="N131" s="327"/>
      <c r="O131" s="327"/>
      <c r="P131" s="327"/>
      <c r="Q131" s="327"/>
      <c r="R131" s="327"/>
      <c r="S131" s="328">
        <f t="shared" si="3"/>
        <v>26</v>
      </c>
      <c r="T131" s="329">
        <f t="shared" si="4"/>
        <v>23.63636364</v>
      </c>
      <c r="U131" s="327">
        <v>3.0</v>
      </c>
      <c r="V131" s="327">
        <v>8.0</v>
      </c>
      <c r="W131" s="327">
        <v>4.0</v>
      </c>
      <c r="X131" s="327">
        <v>5.0</v>
      </c>
      <c r="Y131" s="327"/>
      <c r="Z131" s="327"/>
      <c r="AA131" s="327"/>
      <c r="AB131" s="327"/>
      <c r="AC131" s="327"/>
      <c r="AD131" s="327"/>
      <c r="AE131" s="328">
        <f t="shared" si="5"/>
        <v>20</v>
      </c>
      <c r="AF131" s="322">
        <f t="shared" si="6"/>
        <v>18.18181818</v>
      </c>
      <c r="AG131" s="330">
        <v>7.0</v>
      </c>
      <c r="AH131" s="327">
        <v>8.0</v>
      </c>
      <c r="AI131" s="327">
        <v>4.0</v>
      </c>
      <c r="AJ131" s="327">
        <v>9.0</v>
      </c>
      <c r="AK131" s="327"/>
      <c r="AL131" s="327"/>
      <c r="AM131" s="327"/>
      <c r="AN131" s="327"/>
      <c r="AO131" s="327"/>
      <c r="AP131" s="327"/>
      <c r="AQ131" s="328">
        <f t="shared" si="7"/>
        <v>28</v>
      </c>
      <c r="AR131" s="322">
        <f t="shared" si="8"/>
        <v>25.45454545</v>
      </c>
      <c r="AS131" s="327">
        <v>7.0</v>
      </c>
      <c r="AT131" s="327">
        <v>5.0</v>
      </c>
      <c r="AU131" s="327">
        <v>3.0</v>
      </c>
      <c r="AV131" s="327">
        <v>3.0</v>
      </c>
      <c r="AW131" s="327"/>
      <c r="AX131" s="327"/>
      <c r="AY131" s="327"/>
      <c r="AZ131" s="327"/>
      <c r="BA131" s="327"/>
      <c r="BB131" s="327"/>
      <c r="BC131" s="328">
        <f t="shared" si="9"/>
        <v>18</v>
      </c>
      <c r="BD131" s="322">
        <f t="shared" si="10"/>
        <v>16.36363636</v>
      </c>
      <c r="BE131" s="315"/>
      <c r="BF131" s="316"/>
      <c r="BG131" s="317"/>
      <c r="BH131" s="317"/>
      <c r="BI131" s="317"/>
      <c r="BJ131" s="317"/>
      <c r="BK131" s="317"/>
      <c r="BL131" s="317"/>
      <c r="BM131" s="317"/>
      <c r="BN131" s="317"/>
      <c r="BO131" s="317"/>
      <c r="BP131" s="318"/>
      <c r="BQ131" s="315"/>
    </row>
    <row r="132" ht="15.0" customHeight="1">
      <c r="A132" s="316"/>
      <c r="B132" s="317"/>
      <c r="C132" s="317"/>
      <c r="D132" s="317"/>
      <c r="E132" s="317"/>
      <c r="F132" s="318"/>
      <c r="H132" s="333">
        <v>9.0</v>
      </c>
      <c r="I132" s="327">
        <v>4.0</v>
      </c>
      <c r="J132" s="327">
        <v>3.0</v>
      </c>
      <c r="K132" s="327">
        <v>7.0</v>
      </c>
      <c r="L132" s="327">
        <v>5.0</v>
      </c>
      <c r="M132" s="327"/>
      <c r="N132" s="327"/>
      <c r="O132" s="327"/>
      <c r="P132" s="327"/>
      <c r="Q132" s="327"/>
      <c r="R132" s="327"/>
      <c r="S132" s="328">
        <f t="shared" si="3"/>
        <v>19</v>
      </c>
      <c r="T132" s="329">
        <f t="shared" si="4"/>
        <v>17.27272727</v>
      </c>
      <c r="U132" s="327">
        <v>2.0</v>
      </c>
      <c r="V132" s="327">
        <v>6.0</v>
      </c>
      <c r="W132" s="327">
        <v>2.0</v>
      </c>
      <c r="X132" s="327">
        <v>4.0</v>
      </c>
      <c r="Y132" s="327"/>
      <c r="Z132" s="327"/>
      <c r="AA132" s="327"/>
      <c r="AB132" s="327"/>
      <c r="AC132" s="327"/>
      <c r="AD132" s="327"/>
      <c r="AE132" s="328">
        <f t="shared" si="5"/>
        <v>14</v>
      </c>
      <c r="AF132" s="322">
        <f t="shared" si="6"/>
        <v>12.72727273</v>
      </c>
      <c r="AG132" s="330">
        <v>14.0</v>
      </c>
      <c r="AH132" s="327">
        <v>11.0</v>
      </c>
      <c r="AI132" s="327">
        <v>5.0</v>
      </c>
      <c r="AJ132" s="327">
        <v>11.0</v>
      </c>
      <c r="AK132" s="327"/>
      <c r="AL132" s="327"/>
      <c r="AM132" s="327"/>
      <c r="AN132" s="327"/>
      <c r="AO132" s="327"/>
      <c r="AP132" s="327"/>
      <c r="AQ132" s="328">
        <f t="shared" si="7"/>
        <v>41</v>
      </c>
      <c r="AR132" s="322">
        <f t="shared" si="8"/>
        <v>37.27272727</v>
      </c>
      <c r="AS132" s="327">
        <v>6.0</v>
      </c>
      <c r="AT132" s="327">
        <v>4.0</v>
      </c>
      <c r="AU132" s="327">
        <v>3.0</v>
      </c>
      <c r="AV132" s="327">
        <v>4.0</v>
      </c>
      <c r="AW132" s="327"/>
      <c r="AX132" s="327"/>
      <c r="AY132" s="327"/>
      <c r="AZ132" s="327"/>
      <c r="BA132" s="327"/>
      <c r="BB132" s="327"/>
      <c r="BC132" s="328">
        <f t="shared" si="9"/>
        <v>17</v>
      </c>
      <c r="BD132" s="322">
        <f t="shared" si="10"/>
        <v>15.45454545</v>
      </c>
      <c r="BE132" s="315"/>
      <c r="BF132" s="316"/>
      <c r="BG132" s="317"/>
      <c r="BH132" s="317"/>
      <c r="BI132" s="317"/>
      <c r="BJ132" s="317"/>
      <c r="BK132" s="317"/>
      <c r="BL132" s="317"/>
      <c r="BM132" s="317"/>
      <c r="BN132" s="317"/>
      <c r="BO132" s="317"/>
      <c r="BP132" s="318"/>
      <c r="BQ132" s="315"/>
    </row>
    <row r="133" ht="15.0" customHeight="1">
      <c r="A133" s="316"/>
      <c r="B133" s="317"/>
      <c r="C133" s="317"/>
      <c r="D133" s="317"/>
      <c r="E133" s="317"/>
      <c r="F133" s="318"/>
      <c r="H133" s="333">
        <v>10.0</v>
      </c>
      <c r="I133" s="327">
        <v>6.0</v>
      </c>
      <c r="J133" s="327">
        <v>12.0</v>
      </c>
      <c r="K133" s="327">
        <v>4.0</v>
      </c>
      <c r="L133" s="327">
        <v>7.0</v>
      </c>
      <c r="M133" s="327"/>
      <c r="N133" s="327"/>
      <c r="O133" s="327"/>
      <c r="P133" s="327"/>
      <c r="Q133" s="327"/>
      <c r="R133" s="327"/>
      <c r="S133" s="328">
        <f t="shared" si="3"/>
        <v>29</v>
      </c>
      <c r="T133" s="329">
        <f t="shared" si="4"/>
        <v>26.36363636</v>
      </c>
      <c r="U133" s="327">
        <v>10.0</v>
      </c>
      <c r="V133" s="327">
        <v>5.0</v>
      </c>
      <c r="W133" s="327">
        <v>8.0</v>
      </c>
      <c r="X133" s="327">
        <v>9.0</v>
      </c>
      <c r="Y133" s="327"/>
      <c r="Z133" s="327"/>
      <c r="AA133" s="327"/>
      <c r="AB133" s="327"/>
      <c r="AC133" s="327"/>
      <c r="AD133" s="327"/>
      <c r="AE133" s="328">
        <f t="shared" si="5"/>
        <v>32</v>
      </c>
      <c r="AF133" s="322">
        <f t="shared" si="6"/>
        <v>29.09090909</v>
      </c>
      <c r="AG133" s="330">
        <v>5.0</v>
      </c>
      <c r="AH133" s="327">
        <v>6.0</v>
      </c>
      <c r="AI133" s="327">
        <v>4.0</v>
      </c>
      <c r="AJ133" s="327">
        <v>7.0</v>
      </c>
      <c r="AK133" s="327"/>
      <c r="AL133" s="327"/>
      <c r="AM133" s="327"/>
      <c r="AN133" s="327"/>
      <c r="AO133" s="327"/>
      <c r="AP133" s="327"/>
      <c r="AQ133" s="328">
        <f t="shared" si="7"/>
        <v>22</v>
      </c>
      <c r="AR133" s="322">
        <f t="shared" si="8"/>
        <v>20</v>
      </c>
      <c r="AS133" s="327">
        <v>6.0</v>
      </c>
      <c r="AT133" s="327">
        <v>2.0</v>
      </c>
      <c r="AU133" s="327">
        <v>1.0</v>
      </c>
      <c r="AV133" s="327">
        <v>2.0</v>
      </c>
      <c r="AW133" s="327"/>
      <c r="AX133" s="327"/>
      <c r="AY133" s="327"/>
      <c r="AZ133" s="327"/>
      <c r="BA133" s="327"/>
      <c r="BB133" s="327"/>
      <c r="BC133" s="328">
        <f t="shared" si="9"/>
        <v>11</v>
      </c>
      <c r="BD133" s="322">
        <f t="shared" si="10"/>
        <v>10</v>
      </c>
      <c r="BE133" s="315"/>
      <c r="BF133" s="316"/>
      <c r="BG133" s="317"/>
      <c r="BH133" s="317"/>
      <c r="BI133" s="317"/>
      <c r="BJ133" s="317"/>
      <c r="BK133" s="317"/>
      <c r="BL133" s="317"/>
      <c r="BM133" s="317"/>
      <c r="BN133" s="317"/>
      <c r="BO133" s="317"/>
      <c r="BP133" s="318"/>
      <c r="BQ133" s="315"/>
    </row>
    <row r="134" ht="15.0" customHeight="1">
      <c r="A134" s="316"/>
      <c r="B134" s="317"/>
      <c r="C134" s="317"/>
      <c r="D134" s="317"/>
      <c r="E134" s="317"/>
      <c r="F134" s="318"/>
      <c r="H134" s="333">
        <v>11.0</v>
      </c>
      <c r="I134" s="327">
        <v>7.0</v>
      </c>
      <c r="J134" s="327">
        <v>4.0</v>
      </c>
      <c r="K134" s="327">
        <v>4.0</v>
      </c>
      <c r="L134" s="327">
        <v>7.0</v>
      </c>
      <c r="M134" s="327"/>
      <c r="N134" s="327"/>
      <c r="O134" s="327"/>
      <c r="P134" s="327"/>
      <c r="Q134" s="327"/>
      <c r="R134" s="327"/>
      <c r="S134" s="328">
        <f t="shared" si="3"/>
        <v>22</v>
      </c>
      <c r="T134" s="329">
        <f t="shared" si="4"/>
        <v>20</v>
      </c>
      <c r="U134" s="327">
        <v>8.0</v>
      </c>
      <c r="V134" s="327">
        <v>5.0</v>
      </c>
      <c r="W134" s="327">
        <v>1.0</v>
      </c>
      <c r="X134" s="327">
        <v>5.0</v>
      </c>
      <c r="Y134" s="327"/>
      <c r="Z134" s="327"/>
      <c r="AA134" s="327"/>
      <c r="AB134" s="327"/>
      <c r="AC134" s="327"/>
      <c r="AD134" s="327"/>
      <c r="AE134" s="328">
        <f t="shared" si="5"/>
        <v>19</v>
      </c>
      <c r="AF134" s="322">
        <f t="shared" si="6"/>
        <v>17.27272727</v>
      </c>
      <c r="AG134" s="330">
        <v>9.0</v>
      </c>
      <c r="AH134" s="327">
        <v>14.0</v>
      </c>
      <c r="AI134" s="327">
        <v>10.0</v>
      </c>
      <c r="AJ134" s="327">
        <v>8.0</v>
      </c>
      <c r="AK134" s="327"/>
      <c r="AL134" s="327"/>
      <c r="AM134" s="327"/>
      <c r="AN134" s="327"/>
      <c r="AO134" s="327"/>
      <c r="AP134" s="327"/>
      <c r="AQ134" s="328">
        <f t="shared" si="7"/>
        <v>41</v>
      </c>
      <c r="AR134" s="322">
        <f t="shared" si="8"/>
        <v>37.27272727</v>
      </c>
      <c r="AS134" s="327">
        <v>3.0</v>
      </c>
      <c r="AT134" s="327">
        <v>2.0</v>
      </c>
      <c r="AU134" s="327">
        <v>2.0</v>
      </c>
      <c r="AV134" s="327">
        <v>5.0</v>
      </c>
      <c r="AW134" s="327"/>
      <c r="AX134" s="327"/>
      <c r="AY134" s="327"/>
      <c r="AZ134" s="327"/>
      <c r="BA134" s="327"/>
      <c r="BB134" s="327"/>
      <c r="BC134" s="328">
        <f t="shared" si="9"/>
        <v>12</v>
      </c>
      <c r="BD134" s="322">
        <f t="shared" si="10"/>
        <v>10.90909091</v>
      </c>
      <c r="BE134" s="315"/>
      <c r="BF134" s="316"/>
      <c r="BG134" s="317"/>
      <c r="BH134" s="317"/>
      <c r="BI134" s="317"/>
      <c r="BJ134" s="317"/>
      <c r="BK134" s="317"/>
      <c r="BL134" s="317"/>
      <c r="BM134" s="317"/>
      <c r="BN134" s="317"/>
      <c r="BO134" s="317"/>
      <c r="BP134" s="318"/>
      <c r="BQ134" s="315"/>
    </row>
    <row r="135" ht="15.0" customHeight="1">
      <c r="A135" s="316"/>
      <c r="B135" s="317"/>
      <c r="C135" s="317"/>
      <c r="D135" s="317"/>
      <c r="E135" s="317"/>
      <c r="F135" s="318"/>
      <c r="H135" s="333">
        <v>12.0</v>
      </c>
      <c r="I135" s="327">
        <v>7.0</v>
      </c>
      <c r="J135" s="327">
        <v>5.0</v>
      </c>
      <c r="K135" s="327">
        <v>3.0</v>
      </c>
      <c r="L135" s="327">
        <v>8.0</v>
      </c>
      <c r="M135" s="327"/>
      <c r="N135" s="327"/>
      <c r="O135" s="327"/>
      <c r="P135" s="327"/>
      <c r="Q135" s="327"/>
      <c r="R135" s="327"/>
      <c r="S135" s="328">
        <f t="shared" si="3"/>
        <v>23</v>
      </c>
      <c r="T135" s="329">
        <f t="shared" si="4"/>
        <v>20.90909091</v>
      </c>
      <c r="U135" s="327">
        <v>2.0</v>
      </c>
      <c r="V135" s="327">
        <v>7.0</v>
      </c>
      <c r="W135" s="327">
        <v>5.0</v>
      </c>
      <c r="X135" s="327">
        <v>5.0</v>
      </c>
      <c r="Y135" s="327"/>
      <c r="Z135" s="327"/>
      <c r="AA135" s="327"/>
      <c r="AB135" s="327"/>
      <c r="AC135" s="327"/>
      <c r="AD135" s="327"/>
      <c r="AE135" s="328">
        <f t="shared" si="5"/>
        <v>19</v>
      </c>
      <c r="AF135" s="322">
        <f t="shared" si="6"/>
        <v>17.27272727</v>
      </c>
      <c r="AG135" s="330">
        <v>12.0</v>
      </c>
      <c r="AH135" s="327">
        <v>7.0</v>
      </c>
      <c r="AI135" s="327">
        <v>6.0</v>
      </c>
      <c r="AJ135" s="327">
        <v>5.0</v>
      </c>
      <c r="AK135" s="327"/>
      <c r="AL135" s="327"/>
      <c r="AM135" s="327"/>
      <c r="AN135" s="327"/>
      <c r="AO135" s="327"/>
      <c r="AP135" s="327"/>
      <c r="AQ135" s="328">
        <f t="shared" si="7"/>
        <v>30</v>
      </c>
      <c r="AR135" s="322">
        <f t="shared" si="8"/>
        <v>27.27272727</v>
      </c>
      <c r="AS135" s="327">
        <v>6.0</v>
      </c>
      <c r="AT135" s="327">
        <v>6.0</v>
      </c>
      <c r="AU135" s="327">
        <v>3.0</v>
      </c>
      <c r="AV135" s="327">
        <v>7.0</v>
      </c>
      <c r="AW135" s="327"/>
      <c r="AX135" s="327"/>
      <c r="AY135" s="327"/>
      <c r="AZ135" s="327"/>
      <c r="BA135" s="327"/>
      <c r="BB135" s="327"/>
      <c r="BC135" s="328">
        <f t="shared" si="9"/>
        <v>22</v>
      </c>
      <c r="BD135" s="322">
        <f t="shared" si="10"/>
        <v>20</v>
      </c>
      <c r="BE135" s="315"/>
      <c r="BF135" s="316"/>
      <c r="BG135" s="317"/>
      <c r="BH135" s="317"/>
      <c r="BI135" s="317"/>
      <c r="BJ135" s="317"/>
      <c r="BK135" s="317"/>
      <c r="BL135" s="317"/>
      <c r="BM135" s="317"/>
      <c r="BN135" s="317"/>
      <c r="BO135" s="317"/>
      <c r="BP135" s="318"/>
      <c r="BQ135" s="315"/>
    </row>
    <row r="136" ht="15.0" customHeight="1">
      <c r="A136" s="316"/>
      <c r="B136" s="317"/>
      <c r="C136" s="317"/>
      <c r="D136" s="317"/>
      <c r="E136" s="317"/>
      <c r="F136" s="318"/>
      <c r="H136" s="333">
        <v>13.0</v>
      </c>
      <c r="I136" s="327">
        <v>2.0</v>
      </c>
      <c r="J136" s="327">
        <v>1.0</v>
      </c>
      <c r="K136" s="327">
        <v>3.0</v>
      </c>
      <c r="L136" s="327">
        <v>5.0</v>
      </c>
      <c r="M136" s="327"/>
      <c r="N136" s="327"/>
      <c r="O136" s="327"/>
      <c r="P136" s="327"/>
      <c r="Q136" s="327"/>
      <c r="R136" s="327"/>
      <c r="S136" s="328">
        <f t="shared" si="3"/>
        <v>11</v>
      </c>
      <c r="T136" s="329">
        <f t="shared" si="4"/>
        <v>10</v>
      </c>
      <c r="U136" s="327">
        <v>10.0</v>
      </c>
      <c r="V136" s="327">
        <v>7.0</v>
      </c>
      <c r="W136" s="327">
        <v>5.0</v>
      </c>
      <c r="X136" s="327">
        <v>9.0</v>
      </c>
      <c r="Y136" s="327"/>
      <c r="Z136" s="327"/>
      <c r="AA136" s="327"/>
      <c r="AB136" s="327"/>
      <c r="AC136" s="327"/>
      <c r="AD136" s="327"/>
      <c r="AE136" s="328">
        <f t="shared" si="5"/>
        <v>31</v>
      </c>
      <c r="AF136" s="322">
        <f t="shared" si="6"/>
        <v>28.18181818</v>
      </c>
      <c r="AG136" s="330">
        <v>6.0</v>
      </c>
      <c r="AH136" s="327">
        <v>5.0</v>
      </c>
      <c r="AI136" s="327">
        <v>4.0</v>
      </c>
      <c r="AJ136" s="327">
        <v>5.0</v>
      </c>
      <c r="AK136" s="327"/>
      <c r="AL136" s="327"/>
      <c r="AM136" s="327"/>
      <c r="AN136" s="327"/>
      <c r="AO136" s="327"/>
      <c r="AP136" s="327"/>
      <c r="AQ136" s="328">
        <f t="shared" si="7"/>
        <v>20</v>
      </c>
      <c r="AR136" s="322">
        <f t="shared" si="8"/>
        <v>18.18181818</v>
      </c>
      <c r="AS136" s="327">
        <v>9.0</v>
      </c>
      <c r="AT136" s="327">
        <v>12.0</v>
      </c>
      <c r="AU136" s="327">
        <v>5.0</v>
      </c>
      <c r="AV136" s="327">
        <v>6.0</v>
      </c>
      <c r="AW136" s="327"/>
      <c r="AX136" s="327"/>
      <c r="AY136" s="327"/>
      <c r="AZ136" s="327"/>
      <c r="BA136" s="327"/>
      <c r="BB136" s="327"/>
      <c r="BC136" s="328">
        <f t="shared" si="9"/>
        <v>32</v>
      </c>
      <c r="BD136" s="322">
        <f t="shared" si="10"/>
        <v>29.09090909</v>
      </c>
      <c r="BE136" s="315"/>
      <c r="BF136" s="316"/>
      <c r="BG136" s="317"/>
      <c r="BH136" s="317"/>
      <c r="BI136" s="317"/>
      <c r="BJ136" s="317"/>
      <c r="BK136" s="317"/>
      <c r="BL136" s="317"/>
      <c r="BM136" s="317"/>
      <c r="BN136" s="317"/>
      <c r="BO136" s="317"/>
      <c r="BP136" s="318"/>
      <c r="BQ136" s="315"/>
    </row>
    <row r="137" ht="15.0" customHeight="1">
      <c r="A137" s="316"/>
      <c r="B137" s="317"/>
      <c r="C137" s="317"/>
      <c r="D137" s="317"/>
      <c r="E137" s="317"/>
      <c r="F137" s="318"/>
      <c r="H137" s="333">
        <v>14.0</v>
      </c>
      <c r="I137" s="327">
        <v>11.0</v>
      </c>
      <c r="J137" s="327">
        <v>7.0</v>
      </c>
      <c r="K137" s="327">
        <v>2.0</v>
      </c>
      <c r="L137" s="327">
        <v>9.0</v>
      </c>
      <c r="M137" s="327"/>
      <c r="N137" s="327"/>
      <c r="O137" s="327"/>
      <c r="P137" s="327"/>
      <c r="Q137" s="327"/>
      <c r="R137" s="327"/>
      <c r="S137" s="328">
        <f t="shared" si="3"/>
        <v>29</v>
      </c>
      <c r="T137" s="329">
        <f t="shared" si="4"/>
        <v>26.36363636</v>
      </c>
      <c r="U137" s="327">
        <v>6.0</v>
      </c>
      <c r="V137" s="327">
        <v>7.0</v>
      </c>
      <c r="W137" s="327">
        <v>4.0</v>
      </c>
      <c r="X137" s="327">
        <v>5.0</v>
      </c>
      <c r="Y137" s="327"/>
      <c r="Z137" s="327"/>
      <c r="AA137" s="327"/>
      <c r="AB137" s="327"/>
      <c r="AC137" s="327"/>
      <c r="AD137" s="327"/>
      <c r="AE137" s="328">
        <f t="shared" si="5"/>
        <v>22</v>
      </c>
      <c r="AF137" s="322">
        <f t="shared" si="6"/>
        <v>20</v>
      </c>
      <c r="AG137" s="330">
        <v>6.0</v>
      </c>
      <c r="AH137" s="327">
        <v>4.0</v>
      </c>
      <c r="AI137" s="327">
        <v>6.0</v>
      </c>
      <c r="AJ137" s="327">
        <v>9.0</v>
      </c>
      <c r="AK137" s="327"/>
      <c r="AL137" s="327"/>
      <c r="AM137" s="327"/>
      <c r="AN137" s="327"/>
      <c r="AO137" s="327"/>
      <c r="AP137" s="327"/>
      <c r="AQ137" s="328">
        <f t="shared" si="7"/>
        <v>25</v>
      </c>
      <c r="AR137" s="322">
        <f t="shared" si="8"/>
        <v>22.72727273</v>
      </c>
      <c r="AS137" s="327">
        <v>4.0</v>
      </c>
      <c r="AT137" s="327">
        <v>7.0</v>
      </c>
      <c r="AU137" s="327">
        <v>5.0</v>
      </c>
      <c r="AV137" s="327">
        <v>2.0</v>
      </c>
      <c r="AW137" s="327"/>
      <c r="AX137" s="327"/>
      <c r="AY137" s="327"/>
      <c r="AZ137" s="327"/>
      <c r="BA137" s="327"/>
      <c r="BB137" s="327"/>
      <c r="BC137" s="328">
        <f t="shared" si="9"/>
        <v>18</v>
      </c>
      <c r="BD137" s="322">
        <f t="shared" si="10"/>
        <v>16.36363636</v>
      </c>
      <c r="BE137" s="315"/>
      <c r="BF137" s="316"/>
      <c r="BG137" s="317"/>
      <c r="BH137" s="317"/>
      <c r="BI137" s="317"/>
      <c r="BJ137" s="317"/>
      <c r="BK137" s="317"/>
      <c r="BL137" s="317"/>
      <c r="BM137" s="317"/>
      <c r="BN137" s="317"/>
      <c r="BO137" s="317"/>
      <c r="BP137" s="318"/>
      <c r="BQ137" s="315"/>
    </row>
    <row r="138" ht="15.0" customHeight="1">
      <c r="A138" s="316"/>
      <c r="B138" s="317"/>
      <c r="C138" s="317"/>
      <c r="D138" s="317"/>
      <c r="E138" s="317"/>
      <c r="F138" s="318"/>
      <c r="H138" s="333">
        <v>15.0</v>
      </c>
      <c r="I138" s="327">
        <v>8.0</v>
      </c>
      <c r="J138" s="327">
        <v>2.0</v>
      </c>
      <c r="K138" s="327">
        <v>1.0</v>
      </c>
      <c r="L138" s="327">
        <v>2.0</v>
      </c>
      <c r="M138" s="327"/>
      <c r="N138" s="327"/>
      <c r="O138" s="327"/>
      <c r="P138" s="327"/>
      <c r="Q138" s="327"/>
      <c r="R138" s="327"/>
      <c r="S138" s="328">
        <f t="shared" si="3"/>
        <v>13</v>
      </c>
      <c r="T138" s="329">
        <f t="shared" si="4"/>
        <v>11.81818182</v>
      </c>
      <c r="U138" s="327">
        <v>7.0</v>
      </c>
      <c r="V138" s="327">
        <v>8.0</v>
      </c>
      <c r="W138" s="327">
        <v>10.0</v>
      </c>
      <c r="X138" s="327">
        <v>8.0</v>
      </c>
      <c r="Y138" s="327"/>
      <c r="Z138" s="327"/>
      <c r="AA138" s="327"/>
      <c r="AB138" s="327"/>
      <c r="AC138" s="327"/>
      <c r="AD138" s="327"/>
      <c r="AE138" s="328">
        <f t="shared" si="5"/>
        <v>33</v>
      </c>
      <c r="AF138" s="322">
        <f t="shared" si="6"/>
        <v>30</v>
      </c>
      <c r="AG138" s="330">
        <v>5.0</v>
      </c>
      <c r="AH138" s="327">
        <v>7.0</v>
      </c>
      <c r="AI138" s="327">
        <v>4.0</v>
      </c>
      <c r="AJ138" s="327">
        <v>11.0</v>
      </c>
      <c r="AK138" s="327"/>
      <c r="AL138" s="327"/>
      <c r="AM138" s="327"/>
      <c r="AN138" s="327"/>
      <c r="AO138" s="327"/>
      <c r="AP138" s="327"/>
      <c r="AQ138" s="328">
        <f t="shared" si="7"/>
        <v>27</v>
      </c>
      <c r="AR138" s="322">
        <f t="shared" si="8"/>
        <v>24.54545455</v>
      </c>
      <c r="AS138" s="327">
        <v>7.0</v>
      </c>
      <c r="AT138" s="327">
        <v>8.0</v>
      </c>
      <c r="AU138" s="327">
        <v>2.0</v>
      </c>
      <c r="AV138" s="327">
        <v>4.0</v>
      </c>
      <c r="AW138" s="327"/>
      <c r="AX138" s="327"/>
      <c r="AY138" s="327"/>
      <c r="AZ138" s="327"/>
      <c r="BA138" s="327"/>
      <c r="BB138" s="327"/>
      <c r="BC138" s="328">
        <f t="shared" si="9"/>
        <v>21</v>
      </c>
      <c r="BD138" s="322">
        <f t="shared" si="10"/>
        <v>19.09090909</v>
      </c>
      <c r="BE138" s="315"/>
      <c r="BF138" s="316"/>
      <c r="BG138" s="317"/>
      <c r="BH138" s="317"/>
      <c r="BI138" s="317"/>
      <c r="BJ138" s="317"/>
      <c r="BK138" s="317"/>
      <c r="BL138" s="317"/>
      <c r="BM138" s="317"/>
      <c r="BN138" s="317"/>
      <c r="BO138" s="317"/>
      <c r="BP138" s="318"/>
      <c r="BQ138" s="315"/>
    </row>
    <row r="139" ht="15.0" customHeight="1">
      <c r="A139" s="316"/>
      <c r="B139" s="317"/>
      <c r="C139" s="317"/>
      <c r="D139" s="317"/>
      <c r="E139" s="317"/>
      <c r="F139" s="318"/>
      <c r="H139" s="333">
        <v>16.0</v>
      </c>
      <c r="I139" s="327">
        <v>4.0</v>
      </c>
      <c r="J139" s="327">
        <v>2.0</v>
      </c>
      <c r="K139" s="327">
        <v>5.0</v>
      </c>
      <c r="L139" s="327">
        <v>2.0</v>
      </c>
      <c r="M139" s="327"/>
      <c r="N139" s="327"/>
      <c r="O139" s="327"/>
      <c r="P139" s="327"/>
      <c r="Q139" s="327"/>
      <c r="R139" s="327"/>
      <c r="S139" s="328">
        <f t="shared" si="3"/>
        <v>13</v>
      </c>
      <c r="T139" s="329">
        <f t="shared" si="4"/>
        <v>11.81818182</v>
      </c>
      <c r="U139" s="327">
        <v>8.0</v>
      </c>
      <c r="V139" s="327">
        <v>8.0</v>
      </c>
      <c r="W139" s="327">
        <v>3.0</v>
      </c>
      <c r="X139" s="327">
        <v>10.0</v>
      </c>
      <c r="Y139" s="327"/>
      <c r="Z139" s="327"/>
      <c r="AA139" s="327"/>
      <c r="AB139" s="327"/>
      <c r="AC139" s="327"/>
      <c r="AD139" s="327"/>
      <c r="AE139" s="328">
        <f t="shared" si="5"/>
        <v>29</v>
      </c>
      <c r="AF139" s="322">
        <f t="shared" si="6"/>
        <v>26.36363636</v>
      </c>
      <c r="AG139" s="330">
        <v>10.0</v>
      </c>
      <c r="AH139" s="327">
        <v>10.0</v>
      </c>
      <c r="AI139" s="327">
        <v>3.0</v>
      </c>
      <c r="AJ139" s="327">
        <v>9.0</v>
      </c>
      <c r="AK139" s="327"/>
      <c r="AL139" s="327"/>
      <c r="AM139" s="327"/>
      <c r="AN139" s="327"/>
      <c r="AO139" s="327"/>
      <c r="AP139" s="327"/>
      <c r="AQ139" s="328">
        <f t="shared" si="7"/>
        <v>32</v>
      </c>
      <c r="AR139" s="322">
        <f t="shared" si="8"/>
        <v>29.09090909</v>
      </c>
      <c r="AS139" s="327">
        <v>5.0</v>
      </c>
      <c r="AT139" s="327">
        <v>5.0</v>
      </c>
      <c r="AU139" s="327">
        <v>6.0</v>
      </c>
      <c r="AV139" s="327">
        <v>3.0</v>
      </c>
      <c r="AW139" s="327"/>
      <c r="AX139" s="327"/>
      <c r="AY139" s="327"/>
      <c r="AZ139" s="327"/>
      <c r="BA139" s="327"/>
      <c r="BB139" s="327"/>
      <c r="BC139" s="328">
        <f t="shared" si="9"/>
        <v>19</v>
      </c>
      <c r="BD139" s="322">
        <f t="shared" si="10"/>
        <v>17.27272727</v>
      </c>
      <c r="BE139" s="315"/>
      <c r="BF139" s="316"/>
      <c r="BG139" s="317"/>
      <c r="BH139" s="317"/>
      <c r="BI139" s="317"/>
      <c r="BJ139" s="317"/>
      <c r="BK139" s="317"/>
      <c r="BL139" s="317"/>
      <c r="BM139" s="317"/>
      <c r="BN139" s="317"/>
      <c r="BO139" s="317"/>
      <c r="BP139" s="318"/>
      <c r="BQ139" s="315"/>
    </row>
    <row r="140" ht="15.0" customHeight="1">
      <c r="A140" s="316"/>
      <c r="B140" s="317"/>
      <c r="C140" s="317"/>
      <c r="D140" s="317"/>
      <c r="E140" s="317"/>
      <c r="F140" s="318"/>
      <c r="H140" s="333">
        <v>17.0</v>
      </c>
      <c r="I140" s="327">
        <v>10.0</v>
      </c>
      <c r="J140" s="327">
        <v>6.0</v>
      </c>
      <c r="K140" s="327">
        <v>6.0</v>
      </c>
      <c r="L140" s="327">
        <v>6.0</v>
      </c>
      <c r="M140" s="327"/>
      <c r="N140" s="327"/>
      <c r="O140" s="327"/>
      <c r="P140" s="327"/>
      <c r="Q140" s="327"/>
      <c r="R140" s="327"/>
      <c r="S140" s="328">
        <f t="shared" si="3"/>
        <v>28</v>
      </c>
      <c r="T140" s="329">
        <f t="shared" si="4"/>
        <v>25.45454545</v>
      </c>
      <c r="U140" s="327">
        <v>5.0</v>
      </c>
      <c r="V140" s="327">
        <v>8.0</v>
      </c>
      <c r="W140" s="327">
        <v>6.0</v>
      </c>
      <c r="X140" s="327">
        <v>8.0</v>
      </c>
      <c r="Y140" s="327"/>
      <c r="Z140" s="327"/>
      <c r="AA140" s="327"/>
      <c r="AB140" s="327"/>
      <c r="AC140" s="327"/>
      <c r="AD140" s="327"/>
      <c r="AE140" s="328">
        <f t="shared" si="5"/>
        <v>27</v>
      </c>
      <c r="AF140" s="322">
        <f t="shared" si="6"/>
        <v>24.54545455</v>
      </c>
      <c r="AG140" s="330">
        <v>8.0</v>
      </c>
      <c r="AH140" s="327">
        <v>3.0</v>
      </c>
      <c r="AI140" s="327">
        <v>4.0</v>
      </c>
      <c r="AJ140" s="327">
        <v>5.0</v>
      </c>
      <c r="AK140" s="327"/>
      <c r="AL140" s="327"/>
      <c r="AM140" s="327"/>
      <c r="AN140" s="327"/>
      <c r="AO140" s="327"/>
      <c r="AP140" s="327"/>
      <c r="AQ140" s="328">
        <f t="shared" si="7"/>
        <v>20</v>
      </c>
      <c r="AR140" s="322">
        <f t="shared" si="8"/>
        <v>18.18181818</v>
      </c>
      <c r="AS140" s="327">
        <v>4.0</v>
      </c>
      <c r="AT140" s="327">
        <v>7.0</v>
      </c>
      <c r="AU140" s="327">
        <v>1.0</v>
      </c>
      <c r="AV140" s="327">
        <v>5.0</v>
      </c>
      <c r="AW140" s="327"/>
      <c r="AX140" s="327"/>
      <c r="AY140" s="327"/>
      <c r="AZ140" s="327"/>
      <c r="BA140" s="327"/>
      <c r="BB140" s="327"/>
      <c r="BC140" s="328">
        <f t="shared" si="9"/>
        <v>17</v>
      </c>
      <c r="BD140" s="322">
        <f t="shared" si="10"/>
        <v>15.45454545</v>
      </c>
      <c r="BE140" s="315"/>
      <c r="BF140" s="316"/>
      <c r="BG140" s="317"/>
      <c r="BH140" s="317"/>
      <c r="BI140" s="317"/>
      <c r="BJ140" s="317"/>
      <c r="BK140" s="317"/>
      <c r="BL140" s="317"/>
      <c r="BM140" s="317"/>
      <c r="BN140" s="317"/>
      <c r="BO140" s="317"/>
      <c r="BP140" s="318"/>
      <c r="BQ140" s="315"/>
    </row>
    <row r="141" ht="15.0" customHeight="1">
      <c r="A141" s="316"/>
      <c r="B141" s="317"/>
      <c r="C141" s="317"/>
      <c r="D141" s="317"/>
      <c r="E141" s="317"/>
      <c r="F141" s="318"/>
      <c r="H141" s="333">
        <v>18.0</v>
      </c>
      <c r="I141" s="327">
        <v>2.0</v>
      </c>
      <c r="J141" s="327">
        <v>9.0</v>
      </c>
      <c r="K141" s="327">
        <v>6.0</v>
      </c>
      <c r="L141" s="327">
        <v>6.0</v>
      </c>
      <c r="M141" s="327"/>
      <c r="N141" s="327"/>
      <c r="O141" s="327"/>
      <c r="P141" s="327"/>
      <c r="Q141" s="327"/>
      <c r="R141" s="327"/>
      <c r="S141" s="328">
        <f t="shared" si="3"/>
        <v>23</v>
      </c>
      <c r="T141" s="329">
        <f t="shared" si="4"/>
        <v>20.90909091</v>
      </c>
      <c r="U141" s="327">
        <v>6.0</v>
      </c>
      <c r="V141" s="327">
        <v>6.0</v>
      </c>
      <c r="W141" s="327">
        <v>6.0</v>
      </c>
      <c r="X141" s="327">
        <v>9.0</v>
      </c>
      <c r="Y141" s="327"/>
      <c r="Z141" s="327"/>
      <c r="AA141" s="327"/>
      <c r="AB141" s="327"/>
      <c r="AC141" s="327"/>
      <c r="AD141" s="327"/>
      <c r="AE141" s="328">
        <f t="shared" si="5"/>
        <v>27</v>
      </c>
      <c r="AF141" s="322">
        <f t="shared" si="6"/>
        <v>24.54545455</v>
      </c>
      <c r="AG141" s="330">
        <v>9.0</v>
      </c>
      <c r="AH141" s="327">
        <v>9.0</v>
      </c>
      <c r="AI141" s="327">
        <v>3.0</v>
      </c>
      <c r="AJ141" s="327">
        <v>4.0</v>
      </c>
      <c r="AK141" s="327"/>
      <c r="AL141" s="327"/>
      <c r="AM141" s="327"/>
      <c r="AN141" s="327"/>
      <c r="AO141" s="327"/>
      <c r="AP141" s="327"/>
      <c r="AQ141" s="328">
        <f t="shared" si="7"/>
        <v>25</v>
      </c>
      <c r="AR141" s="322">
        <f t="shared" si="8"/>
        <v>22.72727273</v>
      </c>
      <c r="AS141" s="327">
        <v>10.0</v>
      </c>
      <c r="AT141" s="327">
        <v>1.0</v>
      </c>
      <c r="AU141" s="327">
        <v>2.0</v>
      </c>
      <c r="AV141" s="327">
        <v>6.0</v>
      </c>
      <c r="AW141" s="327"/>
      <c r="AX141" s="327"/>
      <c r="AY141" s="327"/>
      <c r="AZ141" s="327"/>
      <c r="BA141" s="327"/>
      <c r="BB141" s="327"/>
      <c r="BC141" s="328">
        <f t="shared" si="9"/>
        <v>19</v>
      </c>
      <c r="BD141" s="322">
        <f t="shared" si="10"/>
        <v>17.27272727</v>
      </c>
      <c r="BE141" s="315"/>
      <c r="BF141" s="316"/>
      <c r="BG141" s="317"/>
      <c r="BH141" s="317"/>
      <c r="BI141" s="317"/>
      <c r="BJ141" s="317"/>
      <c r="BK141" s="317"/>
      <c r="BL141" s="317"/>
      <c r="BM141" s="317"/>
      <c r="BN141" s="317"/>
      <c r="BO141" s="317"/>
      <c r="BP141" s="318"/>
      <c r="BQ141" s="315"/>
    </row>
    <row r="142" ht="15.0" customHeight="1">
      <c r="A142" s="316"/>
      <c r="B142" s="317"/>
      <c r="C142" s="317"/>
      <c r="D142" s="317"/>
      <c r="E142" s="317"/>
      <c r="F142" s="318"/>
      <c r="H142" s="333">
        <v>19.0</v>
      </c>
      <c r="I142" s="327">
        <v>7.0</v>
      </c>
      <c r="J142" s="327">
        <v>6.0</v>
      </c>
      <c r="K142" s="327">
        <v>5.0</v>
      </c>
      <c r="L142" s="327">
        <v>9.0</v>
      </c>
      <c r="M142" s="327"/>
      <c r="N142" s="327"/>
      <c r="O142" s="327"/>
      <c r="P142" s="327"/>
      <c r="Q142" s="327"/>
      <c r="R142" s="327"/>
      <c r="S142" s="328">
        <f t="shared" si="3"/>
        <v>27</v>
      </c>
      <c r="T142" s="329">
        <f t="shared" si="4"/>
        <v>24.54545455</v>
      </c>
      <c r="U142" s="327">
        <v>11.0</v>
      </c>
      <c r="V142" s="327">
        <v>5.0</v>
      </c>
      <c r="W142" s="327">
        <v>2.0</v>
      </c>
      <c r="X142" s="327">
        <v>7.0</v>
      </c>
      <c r="Y142" s="327"/>
      <c r="Z142" s="327"/>
      <c r="AA142" s="327"/>
      <c r="AB142" s="327"/>
      <c r="AC142" s="327"/>
      <c r="AD142" s="327"/>
      <c r="AE142" s="328">
        <f t="shared" si="5"/>
        <v>25</v>
      </c>
      <c r="AF142" s="322">
        <f t="shared" si="6"/>
        <v>22.72727273</v>
      </c>
      <c r="AG142" s="330">
        <v>3.0</v>
      </c>
      <c r="AH142" s="327">
        <v>6.0</v>
      </c>
      <c r="AI142" s="327">
        <v>6.0</v>
      </c>
      <c r="AJ142" s="327">
        <v>6.0</v>
      </c>
      <c r="AK142" s="327"/>
      <c r="AL142" s="327"/>
      <c r="AM142" s="327"/>
      <c r="AN142" s="327"/>
      <c r="AO142" s="327"/>
      <c r="AP142" s="327"/>
      <c r="AQ142" s="328">
        <f t="shared" si="7"/>
        <v>21</v>
      </c>
      <c r="AR142" s="322">
        <f t="shared" si="8"/>
        <v>19.09090909</v>
      </c>
      <c r="AS142" s="327">
        <v>6.0</v>
      </c>
      <c r="AT142" s="327">
        <v>8.0</v>
      </c>
      <c r="AU142" s="327">
        <v>4.0</v>
      </c>
      <c r="AV142" s="327">
        <v>3.0</v>
      </c>
      <c r="AW142" s="327"/>
      <c r="AX142" s="327"/>
      <c r="AY142" s="327"/>
      <c r="AZ142" s="327"/>
      <c r="BA142" s="327"/>
      <c r="BB142" s="327"/>
      <c r="BC142" s="328">
        <f t="shared" si="9"/>
        <v>21</v>
      </c>
      <c r="BD142" s="322">
        <f t="shared" si="10"/>
        <v>19.09090909</v>
      </c>
      <c r="BE142" s="315"/>
      <c r="BF142" s="316"/>
      <c r="BG142" s="317"/>
      <c r="BH142" s="317"/>
      <c r="BI142" s="317"/>
      <c r="BJ142" s="317"/>
      <c r="BK142" s="317"/>
      <c r="BL142" s="317"/>
      <c r="BM142" s="317"/>
      <c r="BN142" s="317"/>
      <c r="BO142" s="317"/>
      <c r="BP142" s="318"/>
      <c r="BQ142" s="315"/>
    </row>
    <row r="143" ht="15.0" customHeight="1">
      <c r="A143" s="316"/>
      <c r="B143" s="317"/>
      <c r="C143" s="317"/>
      <c r="D143" s="317"/>
      <c r="E143" s="317"/>
      <c r="F143" s="318"/>
      <c r="H143" s="333">
        <v>20.0</v>
      </c>
      <c r="I143" s="327">
        <v>7.0</v>
      </c>
      <c r="J143" s="327">
        <v>4.0</v>
      </c>
      <c r="K143" s="327">
        <v>4.0</v>
      </c>
      <c r="L143" s="327">
        <v>4.0</v>
      </c>
      <c r="M143" s="327"/>
      <c r="N143" s="327"/>
      <c r="O143" s="327"/>
      <c r="P143" s="327"/>
      <c r="Q143" s="327"/>
      <c r="R143" s="327"/>
      <c r="S143" s="328">
        <f t="shared" si="3"/>
        <v>19</v>
      </c>
      <c r="T143" s="329">
        <f t="shared" si="4"/>
        <v>17.27272727</v>
      </c>
      <c r="U143" s="327">
        <v>3.0</v>
      </c>
      <c r="V143" s="327">
        <v>6.0</v>
      </c>
      <c r="W143" s="327">
        <v>5.0</v>
      </c>
      <c r="X143" s="327">
        <v>5.0</v>
      </c>
      <c r="Y143" s="327"/>
      <c r="Z143" s="327"/>
      <c r="AA143" s="327"/>
      <c r="AB143" s="327"/>
      <c r="AC143" s="327"/>
      <c r="AD143" s="327"/>
      <c r="AE143" s="328">
        <f t="shared" si="5"/>
        <v>19</v>
      </c>
      <c r="AF143" s="322">
        <f t="shared" si="6"/>
        <v>17.27272727</v>
      </c>
      <c r="AG143" s="330">
        <v>15.0</v>
      </c>
      <c r="AH143" s="327">
        <v>9.0</v>
      </c>
      <c r="AI143" s="327">
        <v>5.0</v>
      </c>
      <c r="AJ143" s="327">
        <v>9.0</v>
      </c>
      <c r="AK143" s="327"/>
      <c r="AL143" s="327"/>
      <c r="AM143" s="327"/>
      <c r="AN143" s="327"/>
      <c r="AO143" s="327"/>
      <c r="AP143" s="327"/>
      <c r="AQ143" s="328">
        <f t="shared" si="7"/>
        <v>38</v>
      </c>
      <c r="AR143" s="322">
        <f t="shared" si="8"/>
        <v>34.54545455</v>
      </c>
      <c r="AS143" s="327">
        <v>2.0</v>
      </c>
      <c r="AT143" s="327">
        <v>5.0</v>
      </c>
      <c r="AU143" s="327">
        <v>3.0</v>
      </c>
      <c r="AV143" s="327">
        <v>7.0</v>
      </c>
      <c r="AW143" s="327"/>
      <c r="AX143" s="327"/>
      <c r="AY143" s="327"/>
      <c r="AZ143" s="327"/>
      <c r="BA143" s="327"/>
      <c r="BB143" s="327"/>
      <c r="BC143" s="328">
        <f t="shared" si="9"/>
        <v>17</v>
      </c>
      <c r="BD143" s="322">
        <f t="shared" si="10"/>
        <v>15.45454545</v>
      </c>
      <c r="BE143" s="315"/>
      <c r="BF143" s="316"/>
      <c r="BG143" s="317"/>
      <c r="BH143" s="317"/>
      <c r="BI143" s="317"/>
      <c r="BJ143" s="317"/>
      <c r="BK143" s="317"/>
      <c r="BL143" s="317"/>
      <c r="BM143" s="317"/>
      <c r="BN143" s="317"/>
      <c r="BO143" s="317"/>
      <c r="BP143" s="318"/>
      <c r="BQ143" s="315"/>
    </row>
    <row r="144" ht="15.0" customHeight="1">
      <c r="A144" s="316"/>
      <c r="B144" s="317"/>
      <c r="C144" s="317"/>
      <c r="D144" s="317"/>
      <c r="E144" s="317"/>
      <c r="F144" s="318"/>
      <c r="H144" s="333">
        <v>21.0</v>
      </c>
      <c r="I144" s="327">
        <v>7.0</v>
      </c>
      <c r="J144" s="327">
        <v>5.0</v>
      </c>
      <c r="K144" s="327">
        <v>6.0</v>
      </c>
      <c r="L144" s="327">
        <v>4.0</v>
      </c>
      <c r="M144" s="327"/>
      <c r="N144" s="327"/>
      <c r="O144" s="327"/>
      <c r="P144" s="327"/>
      <c r="Q144" s="327"/>
      <c r="R144" s="327"/>
      <c r="S144" s="328">
        <f t="shared" si="3"/>
        <v>22</v>
      </c>
      <c r="T144" s="329">
        <f t="shared" si="4"/>
        <v>20</v>
      </c>
      <c r="U144" s="327">
        <v>10.0</v>
      </c>
      <c r="V144" s="327">
        <v>8.0</v>
      </c>
      <c r="W144" s="327">
        <v>4.0</v>
      </c>
      <c r="X144" s="327">
        <v>7.0</v>
      </c>
      <c r="Y144" s="327"/>
      <c r="Z144" s="327"/>
      <c r="AA144" s="327"/>
      <c r="AB144" s="327"/>
      <c r="AC144" s="327"/>
      <c r="AD144" s="327"/>
      <c r="AE144" s="328">
        <f t="shared" si="5"/>
        <v>29</v>
      </c>
      <c r="AF144" s="322">
        <f t="shared" si="6"/>
        <v>26.36363636</v>
      </c>
      <c r="AG144" s="330">
        <v>6.0</v>
      </c>
      <c r="AH144" s="327">
        <v>9.0</v>
      </c>
      <c r="AI144" s="327">
        <v>4.0</v>
      </c>
      <c r="AJ144" s="327">
        <v>6.0</v>
      </c>
      <c r="AK144" s="327"/>
      <c r="AL144" s="327"/>
      <c r="AM144" s="327"/>
      <c r="AN144" s="327"/>
      <c r="AO144" s="327"/>
      <c r="AP144" s="327"/>
      <c r="AQ144" s="328">
        <f t="shared" si="7"/>
        <v>25</v>
      </c>
      <c r="AR144" s="322">
        <f t="shared" si="8"/>
        <v>22.72727273</v>
      </c>
      <c r="AS144" s="327">
        <v>3.0</v>
      </c>
      <c r="AT144" s="327">
        <v>3.0</v>
      </c>
      <c r="AU144" s="327">
        <v>3.0</v>
      </c>
      <c r="AV144" s="327">
        <v>8.0</v>
      </c>
      <c r="AW144" s="327"/>
      <c r="AX144" s="327"/>
      <c r="AY144" s="327"/>
      <c r="AZ144" s="327"/>
      <c r="BA144" s="327"/>
      <c r="BB144" s="327"/>
      <c r="BC144" s="328">
        <f t="shared" si="9"/>
        <v>17</v>
      </c>
      <c r="BD144" s="322">
        <f t="shared" si="10"/>
        <v>15.45454545</v>
      </c>
      <c r="BE144" s="315"/>
      <c r="BF144" s="316"/>
      <c r="BG144" s="317"/>
      <c r="BH144" s="317"/>
      <c r="BI144" s="317"/>
      <c r="BJ144" s="317"/>
      <c r="BK144" s="317"/>
      <c r="BL144" s="317"/>
      <c r="BM144" s="317"/>
      <c r="BN144" s="317"/>
      <c r="BO144" s="317"/>
      <c r="BP144" s="318"/>
      <c r="BQ144" s="315"/>
    </row>
    <row r="145" ht="15.0" customHeight="1">
      <c r="A145" s="316"/>
      <c r="B145" s="317"/>
      <c r="C145" s="317"/>
      <c r="D145" s="317"/>
      <c r="E145" s="317"/>
      <c r="F145" s="318"/>
      <c r="H145" s="333">
        <v>22.0</v>
      </c>
      <c r="I145" s="327">
        <v>6.0</v>
      </c>
      <c r="J145" s="327">
        <v>8.0</v>
      </c>
      <c r="K145" s="327">
        <v>2.0</v>
      </c>
      <c r="L145" s="327">
        <v>4.0</v>
      </c>
      <c r="M145" s="327"/>
      <c r="N145" s="327"/>
      <c r="O145" s="327"/>
      <c r="P145" s="327"/>
      <c r="Q145" s="327"/>
      <c r="R145" s="327"/>
      <c r="S145" s="328">
        <f t="shared" si="3"/>
        <v>20</v>
      </c>
      <c r="T145" s="329">
        <f t="shared" si="4"/>
        <v>18.18181818</v>
      </c>
      <c r="U145" s="327">
        <v>9.0</v>
      </c>
      <c r="V145" s="327">
        <v>4.0</v>
      </c>
      <c r="W145" s="327">
        <v>3.0</v>
      </c>
      <c r="X145" s="327">
        <v>11.0</v>
      </c>
      <c r="Y145" s="327"/>
      <c r="Z145" s="327"/>
      <c r="AA145" s="327"/>
      <c r="AB145" s="327"/>
      <c r="AC145" s="327"/>
      <c r="AD145" s="327"/>
      <c r="AE145" s="328">
        <f t="shared" si="5"/>
        <v>27</v>
      </c>
      <c r="AF145" s="322">
        <f t="shared" si="6"/>
        <v>24.54545455</v>
      </c>
      <c r="AG145" s="330">
        <v>6.0</v>
      </c>
      <c r="AH145" s="327">
        <v>8.0</v>
      </c>
      <c r="AI145" s="327">
        <v>6.0</v>
      </c>
      <c r="AJ145" s="327">
        <v>5.0</v>
      </c>
      <c r="AK145" s="327"/>
      <c r="AL145" s="327"/>
      <c r="AM145" s="327"/>
      <c r="AN145" s="327"/>
      <c r="AO145" s="327"/>
      <c r="AP145" s="327"/>
      <c r="AQ145" s="328">
        <f t="shared" si="7"/>
        <v>25</v>
      </c>
      <c r="AR145" s="322">
        <f t="shared" si="8"/>
        <v>22.72727273</v>
      </c>
      <c r="AS145" s="327">
        <v>6.0</v>
      </c>
      <c r="AT145" s="327">
        <v>5.0</v>
      </c>
      <c r="AU145" s="327">
        <v>6.0</v>
      </c>
      <c r="AV145" s="327">
        <v>4.0</v>
      </c>
      <c r="AW145" s="327"/>
      <c r="AX145" s="327"/>
      <c r="AY145" s="327"/>
      <c r="AZ145" s="327"/>
      <c r="BA145" s="327"/>
      <c r="BB145" s="327"/>
      <c r="BC145" s="328">
        <f t="shared" si="9"/>
        <v>21</v>
      </c>
      <c r="BD145" s="322">
        <f t="shared" si="10"/>
        <v>19.09090909</v>
      </c>
      <c r="BE145" s="315"/>
      <c r="BF145" s="316"/>
      <c r="BG145" s="317"/>
      <c r="BH145" s="317"/>
      <c r="BI145" s="317"/>
      <c r="BJ145" s="317"/>
      <c r="BK145" s="317"/>
      <c r="BL145" s="317"/>
      <c r="BM145" s="317"/>
      <c r="BN145" s="317"/>
      <c r="BO145" s="317"/>
      <c r="BP145" s="318"/>
      <c r="BQ145" s="315"/>
    </row>
    <row r="146" ht="15.0" customHeight="1">
      <c r="A146" s="316"/>
      <c r="B146" s="317"/>
      <c r="C146" s="317"/>
      <c r="D146" s="317"/>
      <c r="E146" s="317"/>
      <c r="F146" s="318"/>
      <c r="H146" s="333">
        <v>23.0</v>
      </c>
      <c r="I146" s="327">
        <v>8.0</v>
      </c>
      <c r="J146" s="327">
        <v>5.0</v>
      </c>
      <c r="K146" s="327">
        <v>2.0</v>
      </c>
      <c r="L146" s="327">
        <v>9.0</v>
      </c>
      <c r="M146" s="327"/>
      <c r="N146" s="327"/>
      <c r="O146" s="327"/>
      <c r="P146" s="327"/>
      <c r="Q146" s="327"/>
      <c r="R146" s="327"/>
      <c r="S146" s="328">
        <f t="shared" si="3"/>
        <v>24</v>
      </c>
      <c r="T146" s="329">
        <f t="shared" si="4"/>
        <v>21.81818182</v>
      </c>
      <c r="U146" s="327">
        <v>10.0</v>
      </c>
      <c r="V146" s="327">
        <v>6.0</v>
      </c>
      <c r="W146" s="327">
        <v>7.0</v>
      </c>
      <c r="X146" s="327">
        <v>7.0</v>
      </c>
      <c r="Y146" s="327"/>
      <c r="Z146" s="327"/>
      <c r="AA146" s="327"/>
      <c r="AB146" s="327"/>
      <c r="AC146" s="327"/>
      <c r="AD146" s="327"/>
      <c r="AE146" s="328">
        <f t="shared" si="5"/>
        <v>30</v>
      </c>
      <c r="AF146" s="322">
        <f t="shared" si="6"/>
        <v>27.27272727</v>
      </c>
      <c r="AG146" s="330">
        <v>4.0</v>
      </c>
      <c r="AH146" s="327">
        <v>8.0</v>
      </c>
      <c r="AI146" s="327">
        <v>3.0</v>
      </c>
      <c r="AJ146" s="327">
        <v>6.0</v>
      </c>
      <c r="AK146" s="327"/>
      <c r="AL146" s="327"/>
      <c r="AM146" s="327"/>
      <c r="AN146" s="327"/>
      <c r="AO146" s="327"/>
      <c r="AP146" s="327"/>
      <c r="AQ146" s="328">
        <f t="shared" si="7"/>
        <v>21</v>
      </c>
      <c r="AR146" s="322">
        <f t="shared" si="8"/>
        <v>19.09090909</v>
      </c>
      <c r="AS146" s="327">
        <v>4.0</v>
      </c>
      <c r="AT146" s="327">
        <v>6.0</v>
      </c>
      <c r="AU146" s="327">
        <v>5.0</v>
      </c>
      <c r="AV146" s="327">
        <v>2.0</v>
      </c>
      <c r="AW146" s="327"/>
      <c r="AX146" s="327"/>
      <c r="AY146" s="327"/>
      <c r="AZ146" s="327"/>
      <c r="BA146" s="327"/>
      <c r="BB146" s="327"/>
      <c r="BC146" s="328">
        <f t="shared" si="9"/>
        <v>17</v>
      </c>
      <c r="BD146" s="322">
        <f t="shared" si="10"/>
        <v>15.45454545</v>
      </c>
      <c r="BE146" s="315"/>
      <c r="BF146" s="316"/>
      <c r="BG146" s="317"/>
      <c r="BH146" s="317"/>
      <c r="BI146" s="317"/>
      <c r="BJ146" s="317"/>
      <c r="BK146" s="317"/>
      <c r="BL146" s="317"/>
      <c r="BM146" s="317"/>
      <c r="BN146" s="317"/>
      <c r="BO146" s="317"/>
      <c r="BP146" s="318"/>
      <c r="BQ146" s="315"/>
    </row>
    <row r="147" ht="15.0" customHeight="1">
      <c r="A147" s="316"/>
      <c r="B147" s="317"/>
      <c r="C147" s="317"/>
      <c r="D147" s="317"/>
      <c r="E147" s="317"/>
      <c r="F147" s="318"/>
      <c r="H147" s="333">
        <v>24.0</v>
      </c>
      <c r="I147" s="327">
        <v>10.0</v>
      </c>
      <c r="J147" s="327">
        <v>9.0</v>
      </c>
      <c r="K147" s="327">
        <v>3.0</v>
      </c>
      <c r="L147" s="327">
        <v>3.0</v>
      </c>
      <c r="M147" s="327"/>
      <c r="N147" s="327"/>
      <c r="O147" s="327"/>
      <c r="P147" s="327"/>
      <c r="Q147" s="327"/>
      <c r="R147" s="327"/>
      <c r="S147" s="328">
        <f t="shared" si="3"/>
        <v>25</v>
      </c>
      <c r="T147" s="329">
        <f t="shared" si="4"/>
        <v>22.72727273</v>
      </c>
      <c r="U147" s="327">
        <v>3.0</v>
      </c>
      <c r="V147" s="327">
        <v>1.0</v>
      </c>
      <c r="W147" s="327">
        <v>4.0</v>
      </c>
      <c r="X147" s="327">
        <v>0.0</v>
      </c>
      <c r="Y147" s="327"/>
      <c r="Z147" s="327"/>
      <c r="AA147" s="327"/>
      <c r="AB147" s="327"/>
      <c r="AC147" s="327"/>
      <c r="AD147" s="327"/>
      <c r="AE147" s="328">
        <f t="shared" si="5"/>
        <v>8</v>
      </c>
      <c r="AF147" s="322">
        <f t="shared" si="6"/>
        <v>7.272727273</v>
      </c>
      <c r="AG147" s="330">
        <v>6.0</v>
      </c>
      <c r="AH147" s="327">
        <v>6.0</v>
      </c>
      <c r="AI147" s="327">
        <v>5.0</v>
      </c>
      <c r="AJ147" s="327">
        <v>12.0</v>
      </c>
      <c r="AK147" s="327"/>
      <c r="AL147" s="327"/>
      <c r="AM147" s="327"/>
      <c r="AN147" s="327"/>
      <c r="AO147" s="327"/>
      <c r="AP147" s="327"/>
      <c r="AQ147" s="328">
        <f t="shared" si="7"/>
        <v>29</v>
      </c>
      <c r="AR147" s="322">
        <f t="shared" si="8"/>
        <v>26.36363636</v>
      </c>
      <c r="AS147" s="327">
        <v>7.0</v>
      </c>
      <c r="AT147" s="327">
        <v>9.0</v>
      </c>
      <c r="AU147" s="327">
        <v>5.0</v>
      </c>
      <c r="AV147" s="327">
        <v>9.0</v>
      </c>
      <c r="AW147" s="327"/>
      <c r="AX147" s="327"/>
      <c r="AY147" s="327"/>
      <c r="AZ147" s="327"/>
      <c r="BA147" s="327"/>
      <c r="BB147" s="327"/>
      <c r="BC147" s="328">
        <f t="shared" si="9"/>
        <v>30</v>
      </c>
      <c r="BD147" s="322">
        <f t="shared" si="10"/>
        <v>27.27272727</v>
      </c>
      <c r="BE147" s="315"/>
      <c r="BF147" s="316"/>
      <c r="BG147" s="317"/>
      <c r="BH147" s="317"/>
      <c r="BI147" s="317"/>
      <c r="BJ147" s="317"/>
      <c r="BK147" s="317"/>
      <c r="BL147" s="317"/>
      <c r="BM147" s="317"/>
      <c r="BN147" s="317"/>
      <c r="BO147" s="317"/>
      <c r="BP147" s="318"/>
      <c r="BQ147" s="315"/>
    </row>
    <row r="148" ht="15.0" customHeight="1">
      <c r="A148" s="316"/>
      <c r="B148" s="317"/>
      <c r="C148" s="317"/>
      <c r="D148" s="317"/>
      <c r="E148" s="317"/>
      <c r="F148" s="318"/>
      <c r="H148" s="333">
        <v>25.0</v>
      </c>
      <c r="I148" s="327">
        <v>8.0</v>
      </c>
      <c r="J148" s="327">
        <v>5.0</v>
      </c>
      <c r="K148" s="327">
        <v>3.0</v>
      </c>
      <c r="L148" s="327">
        <v>6.0</v>
      </c>
      <c r="M148" s="327"/>
      <c r="N148" s="327"/>
      <c r="O148" s="327"/>
      <c r="P148" s="327"/>
      <c r="Q148" s="327"/>
      <c r="R148" s="327"/>
      <c r="S148" s="328">
        <f t="shared" si="3"/>
        <v>22</v>
      </c>
      <c r="T148" s="329">
        <f t="shared" si="4"/>
        <v>20</v>
      </c>
      <c r="U148" s="327">
        <v>7.0</v>
      </c>
      <c r="V148" s="327">
        <v>6.0</v>
      </c>
      <c r="W148" s="327">
        <v>4.0</v>
      </c>
      <c r="X148" s="327">
        <v>8.0</v>
      </c>
      <c r="Y148" s="327"/>
      <c r="Z148" s="327"/>
      <c r="AA148" s="327"/>
      <c r="AB148" s="327"/>
      <c r="AC148" s="327"/>
      <c r="AD148" s="327"/>
      <c r="AE148" s="328">
        <f t="shared" si="5"/>
        <v>25</v>
      </c>
      <c r="AF148" s="322">
        <f t="shared" si="6"/>
        <v>22.72727273</v>
      </c>
      <c r="AG148" s="330">
        <v>9.0</v>
      </c>
      <c r="AH148" s="327">
        <v>9.0</v>
      </c>
      <c r="AI148" s="327">
        <v>10.0</v>
      </c>
      <c r="AJ148" s="327">
        <v>8.0</v>
      </c>
      <c r="AK148" s="327"/>
      <c r="AL148" s="327"/>
      <c r="AM148" s="327"/>
      <c r="AN148" s="327"/>
      <c r="AO148" s="327"/>
      <c r="AP148" s="327"/>
      <c r="AQ148" s="328">
        <f t="shared" si="7"/>
        <v>36</v>
      </c>
      <c r="AR148" s="322">
        <f t="shared" si="8"/>
        <v>32.72727273</v>
      </c>
      <c r="AS148" s="327">
        <v>3.0</v>
      </c>
      <c r="AT148" s="327">
        <v>5.0</v>
      </c>
      <c r="AU148" s="327">
        <v>0.0</v>
      </c>
      <c r="AV148" s="327">
        <v>3.0</v>
      </c>
      <c r="AW148" s="327"/>
      <c r="AX148" s="327"/>
      <c r="AY148" s="327"/>
      <c r="AZ148" s="327"/>
      <c r="BA148" s="327"/>
      <c r="BB148" s="327"/>
      <c r="BC148" s="328">
        <f t="shared" si="9"/>
        <v>11</v>
      </c>
      <c r="BD148" s="322">
        <f t="shared" si="10"/>
        <v>10</v>
      </c>
      <c r="BE148" s="315"/>
      <c r="BF148" s="316"/>
      <c r="BG148" s="317"/>
      <c r="BH148" s="317"/>
      <c r="BI148" s="317"/>
      <c r="BJ148" s="317"/>
      <c r="BK148" s="317"/>
      <c r="BL148" s="317"/>
      <c r="BM148" s="317"/>
      <c r="BN148" s="317"/>
      <c r="BO148" s="317"/>
      <c r="BP148" s="318"/>
      <c r="BQ148" s="315"/>
    </row>
    <row r="149" ht="15.0" customHeight="1">
      <c r="A149" s="334"/>
      <c r="B149" s="335"/>
      <c r="C149" s="335"/>
      <c r="D149" s="335"/>
      <c r="E149" s="335"/>
      <c r="F149" s="336"/>
      <c r="H149" s="333">
        <v>26.0</v>
      </c>
      <c r="I149" s="327">
        <v>3.0</v>
      </c>
      <c r="J149" s="327">
        <v>5.0</v>
      </c>
      <c r="K149" s="327">
        <v>4.0</v>
      </c>
      <c r="L149" s="327">
        <v>5.0</v>
      </c>
      <c r="M149" s="327"/>
      <c r="N149" s="327"/>
      <c r="O149" s="327"/>
      <c r="P149" s="327"/>
      <c r="Q149" s="327"/>
      <c r="R149" s="327"/>
      <c r="S149" s="328">
        <f t="shared" si="3"/>
        <v>17</v>
      </c>
      <c r="T149" s="329">
        <f t="shared" si="4"/>
        <v>15.45454545</v>
      </c>
      <c r="U149" s="327">
        <v>9.0</v>
      </c>
      <c r="V149" s="327">
        <v>10.0</v>
      </c>
      <c r="W149" s="327">
        <v>7.0</v>
      </c>
      <c r="X149" s="327">
        <v>8.0</v>
      </c>
      <c r="Y149" s="327"/>
      <c r="Z149" s="327"/>
      <c r="AA149" s="327"/>
      <c r="AB149" s="327"/>
      <c r="AC149" s="327"/>
      <c r="AD149" s="327"/>
      <c r="AE149" s="328">
        <f t="shared" si="5"/>
        <v>34</v>
      </c>
      <c r="AF149" s="322">
        <f t="shared" si="6"/>
        <v>30.90909091</v>
      </c>
      <c r="AG149" s="330">
        <v>12.0</v>
      </c>
      <c r="AH149" s="327">
        <v>4.0</v>
      </c>
      <c r="AI149" s="327">
        <v>2.0</v>
      </c>
      <c r="AJ149" s="327">
        <v>5.0</v>
      </c>
      <c r="AK149" s="327"/>
      <c r="AL149" s="327"/>
      <c r="AM149" s="327"/>
      <c r="AN149" s="327"/>
      <c r="AO149" s="327"/>
      <c r="AP149" s="327"/>
      <c r="AQ149" s="328">
        <f t="shared" si="7"/>
        <v>23</v>
      </c>
      <c r="AR149" s="322">
        <f t="shared" si="8"/>
        <v>20.90909091</v>
      </c>
      <c r="AS149" s="327">
        <v>3.0</v>
      </c>
      <c r="AT149" s="327">
        <v>6.0</v>
      </c>
      <c r="AU149" s="327">
        <v>4.0</v>
      </c>
      <c r="AV149" s="327">
        <v>7.0</v>
      </c>
      <c r="AW149" s="327"/>
      <c r="AX149" s="327"/>
      <c r="AY149" s="327"/>
      <c r="AZ149" s="327"/>
      <c r="BA149" s="327"/>
      <c r="BB149" s="327"/>
      <c r="BC149" s="328">
        <f t="shared" si="9"/>
        <v>20</v>
      </c>
      <c r="BD149" s="322">
        <f t="shared" si="10"/>
        <v>18.18181818</v>
      </c>
      <c r="BE149" s="315"/>
      <c r="BF149" s="334"/>
      <c r="BG149" s="335"/>
      <c r="BH149" s="335"/>
      <c r="BI149" s="335"/>
      <c r="BJ149" s="335"/>
      <c r="BK149" s="335"/>
      <c r="BL149" s="335"/>
      <c r="BM149" s="335"/>
      <c r="BN149" s="335"/>
      <c r="BO149" s="335"/>
      <c r="BP149" s="336"/>
      <c r="BQ149" s="315"/>
    </row>
    <row r="150" ht="19.5" customHeight="1"/>
    <row r="151" ht="19.5" customHeight="1">
      <c r="A151" s="89"/>
      <c r="B151" s="90"/>
      <c r="C151" s="90"/>
      <c r="D151" s="90"/>
      <c r="E151" s="90"/>
      <c r="F151" s="91"/>
      <c r="G151" s="166" t="s">
        <v>89</v>
      </c>
      <c r="H151" s="167"/>
      <c r="I151" s="167"/>
      <c r="J151" s="167"/>
      <c r="K151" s="167"/>
      <c r="L151" s="167"/>
      <c r="M151" s="167"/>
      <c r="N151" s="167"/>
      <c r="O151" s="167"/>
      <c r="P151" s="167"/>
      <c r="Q151" s="167"/>
      <c r="R151" s="168"/>
      <c r="S151" s="168"/>
      <c r="T151" s="168"/>
      <c r="U151" s="168"/>
      <c r="V151" s="169"/>
      <c r="X151" s="170"/>
      <c r="Y151" s="171"/>
      <c r="Z151" s="171"/>
      <c r="AA151" s="171"/>
      <c r="AB151" s="171"/>
      <c r="AC151" s="171"/>
      <c r="AD151" s="171"/>
      <c r="AE151" s="171"/>
      <c r="AF151" s="171"/>
      <c r="AG151" s="171"/>
      <c r="AH151" s="171"/>
      <c r="AI151" s="171"/>
      <c r="AJ151" s="171"/>
      <c r="AK151" s="171"/>
      <c r="AL151" s="171"/>
      <c r="AM151" s="171"/>
      <c r="AN151" s="171"/>
      <c r="AO151" s="171"/>
      <c r="AP151" s="171"/>
      <c r="AQ151" s="171"/>
      <c r="AR151" s="171"/>
      <c r="AS151" s="171"/>
      <c r="AT151" s="171"/>
      <c r="AU151" s="171"/>
      <c r="AV151" s="171"/>
      <c r="AW151" s="171"/>
      <c r="AX151" s="171"/>
      <c r="AY151" s="171"/>
      <c r="AZ151" s="171"/>
      <c r="BA151" s="171"/>
      <c r="BB151" s="171"/>
      <c r="BC151" s="171"/>
      <c r="BD151" s="171"/>
      <c r="BE151" s="171"/>
      <c r="BF151" s="171"/>
      <c r="BG151" s="171"/>
      <c r="BH151" s="171"/>
      <c r="BI151" s="171"/>
      <c r="BJ151" s="171"/>
      <c r="BK151" s="171"/>
      <c r="BL151" s="171"/>
      <c r="BM151" s="171"/>
      <c r="BN151" s="171"/>
      <c r="BO151" s="171"/>
      <c r="BP151" s="337"/>
    </row>
    <row r="152" ht="19.5" customHeight="1">
      <c r="A152" s="94"/>
      <c r="B152" s="95"/>
      <c r="C152" s="95"/>
      <c r="D152" s="95"/>
      <c r="E152" s="95"/>
      <c r="F152" s="103"/>
      <c r="G152" s="153">
        <v>901.0</v>
      </c>
      <c r="H152" s="153">
        <v>902.0</v>
      </c>
      <c r="I152" s="153">
        <v>903.0</v>
      </c>
      <c r="J152" s="153">
        <v>904.0</v>
      </c>
      <c r="K152" s="153">
        <v>905.0</v>
      </c>
      <c r="L152" s="153">
        <v>906.0</v>
      </c>
      <c r="M152" s="153">
        <v>907.0</v>
      </c>
      <c r="N152" s="153">
        <v>908.0</v>
      </c>
      <c r="O152" s="153">
        <v>909.0</v>
      </c>
      <c r="P152" s="153">
        <v>910.0</v>
      </c>
      <c r="Q152" s="173" t="s">
        <v>10</v>
      </c>
      <c r="R152" s="174" t="s">
        <v>54</v>
      </c>
      <c r="S152" s="175" t="s">
        <v>90</v>
      </c>
      <c r="T152" s="176"/>
      <c r="U152" s="176"/>
      <c r="V152" s="177"/>
      <c r="X152" s="178"/>
      <c r="AH152" s="179"/>
      <c r="AI152" s="179"/>
      <c r="AJ152" s="179"/>
      <c r="AK152" s="179"/>
      <c r="AL152" s="179"/>
      <c r="AM152" s="179"/>
      <c r="AN152" s="179"/>
      <c r="AO152" s="179"/>
      <c r="AP152" s="179"/>
      <c r="AQ152" s="179"/>
      <c r="AR152" s="179"/>
      <c r="AS152" s="179"/>
      <c r="AT152" s="179"/>
      <c r="AU152" s="179"/>
      <c r="AV152" s="179"/>
      <c r="AW152" s="179"/>
      <c r="AX152" s="179"/>
      <c r="AY152" s="179"/>
      <c r="AZ152" s="179"/>
      <c r="BA152" s="179"/>
      <c r="BB152" s="179"/>
      <c r="BC152" s="179"/>
      <c r="BD152" s="179"/>
      <c r="BE152" s="179"/>
      <c r="BF152" s="179"/>
      <c r="BG152" s="179"/>
      <c r="BP152" s="338"/>
    </row>
    <row r="153" ht="19.5" customHeight="1">
      <c r="A153" s="94"/>
      <c r="B153" s="95"/>
      <c r="C153" s="95"/>
      <c r="D153" s="95"/>
      <c r="E153" s="95"/>
      <c r="F153" s="103"/>
      <c r="G153" s="182">
        <f t="array" ref="G153:G156">'9º Ano - 901'!$D$129:$D$132</f>
        <v>6</v>
      </c>
      <c r="H153" s="182">
        <f t="array" ref="H153:H156">'9º Ano - 902'!$D$129:$D$132</f>
        <v>13</v>
      </c>
      <c r="I153" s="182">
        <f t="array" ref="I153:I156">'9º Ano - 903'!$D$129:$D$132</f>
        <v>6</v>
      </c>
      <c r="J153" s="182">
        <f t="array" ref="J153:J156">'9º Ano - 904'!$D$129:$D$132</f>
        <v>6</v>
      </c>
      <c r="K153" s="182"/>
      <c r="L153" s="182"/>
      <c r="M153" s="182"/>
      <c r="N153" s="182"/>
      <c r="O153" s="182"/>
      <c r="P153" s="182"/>
      <c r="Q153" s="183">
        <f t="shared" ref="Q153:Q156" si="11">SUM(G153:P153)</f>
        <v>31</v>
      </c>
      <c r="R153" s="184">
        <f t="shared" ref="R153:R156" si="12">SUM(Q153/F$17*100)</f>
        <v>28.18181818</v>
      </c>
      <c r="S153" s="185" t="s">
        <v>91</v>
      </c>
      <c r="T153" s="186"/>
      <c r="U153" s="186"/>
      <c r="V153" s="187"/>
      <c r="X153" s="178"/>
      <c r="AH153" s="179"/>
      <c r="AI153" s="179"/>
      <c r="AJ153" s="179"/>
      <c r="AK153" s="179"/>
      <c r="AL153" s="179"/>
      <c r="AM153" s="179"/>
      <c r="AN153" s="179"/>
      <c r="AO153" s="179"/>
      <c r="AP153" s="179"/>
      <c r="AQ153" s="179"/>
      <c r="AR153" s="179"/>
      <c r="AS153" s="179"/>
      <c r="AT153" s="179"/>
      <c r="AU153" s="179"/>
      <c r="AV153" s="179"/>
      <c r="AW153" s="179"/>
      <c r="AX153" s="179"/>
      <c r="AY153" s="179"/>
      <c r="AZ153" s="179"/>
      <c r="BA153" s="179"/>
      <c r="BB153" s="179"/>
      <c r="BC153" s="179"/>
      <c r="BD153" s="179"/>
      <c r="BE153" s="179"/>
      <c r="BF153" s="179"/>
      <c r="BG153" s="179"/>
      <c r="BP153" s="338"/>
    </row>
    <row r="154" ht="19.5" customHeight="1">
      <c r="A154" s="94"/>
      <c r="B154" s="95"/>
      <c r="C154" s="95"/>
      <c r="D154" s="95"/>
      <c r="E154" s="95"/>
      <c r="F154" s="103"/>
      <c r="G154" s="188">
        <v>10.0</v>
      </c>
      <c r="H154" s="189">
        <v>5.0</v>
      </c>
      <c r="I154" s="189">
        <v>1.0</v>
      </c>
      <c r="J154" s="189">
        <v>10.0</v>
      </c>
      <c r="K154" s="189"/>
      <c r="L154" s="189"/>
      <c r="M154" s="190"/>
      <c r="N154" s="189"/>
      <c r="O154" s="189"/>
      <c r="P154" s="189"/>
      <c r="Q154" s="183">
        <f t="shared" si="11"/>
        <v>26</v>
      </c>
      <c r="R154" s="184">
        <f t="shared" si="12"/>
        <v>23.63636364</v>
      </c>
      <c r="S154" s="191" t="s">
        <v>92</v>
      </c>
      <c r="T154" s="186"/>
      <c r="U154" s="186"/>
      <c r="V154" s="187"/>
      <c r="X154" s="178"/>
      <c r="Y154" s="192" t="s">
        <v>93</v>
      </c>
      <c r="AH154" s="179"/>
      <c r="AI154" s="179"/>
      <c r="AJ154" s="179"/>
      <c r="AK154" s="179"/>
      <c r="AL154" s="179"/>
      <c r="AM154" s="179"/>
      <c r="AN154" s="179"/>
      <c r="AO154" s="179"/>
      <c r="AP154" s="179"/>
      <c r="AQ154" s="179"/>
      <c r="AR154" s="179"/>
      <c r="AS154" s="179"/>
      <c r="AT154" s="179"/>
      <c r="AU154" s="179"/>
      <c r="AV154" s="179"/>
      <c r="AW154" s="179"/>
      <c r="AX154" s="179"/>
      <c r="AY154" s="179"/>
      <c r="AZ154" s="179"/>
      <c r="BA154" s="179"/>
      <c r="BB154" s="179"/>
      <c r="BC154" s="179"/>
      <c r="BD154" s="179"/>
      <c r="BE154" s="179"/>
      <c r="BF154" s="179"/>
      <c r="BG154" s="179"/>
      <c r="BP154" s="338"/>
    </row>
    <row r="155" ht="19.5" customHeight="1">
      <c r="A155" s="94"/>
      <c r="B155" s="95"/>
      <c r="C155" s="95"/>
      <c r="D155" s="95"/>
      <c r="E155" s="95"/>
      <c r="F155" s="103"/>
      <c r="G155" s="188">
        <v>13.0</v>
      </c>
      <c r="H155" s="189">
        <v>12.0</v>
      </c>
      <c r="I155" s="193">
        <v>10.0</v>
      </c>
      <c r="J155" s="189">
        <v>11.0</v>
      </c>
      <c r="K155" s="189"/>
      <c r="L155" s="189"/>
      <c r="M155" s="190"/>
      <c r="N155" s="189"/>
      <c r="O155" s="189"/>
      <c r="P155" s="189"/>
      <c r="Q155" s="183">
        <f t="shared" si="11"/>
        <v>46</v>
      </c>
      <c r="R155" s="184">
        <f t="shared" si="12"/>
        <v>41.81818182</v>
      </c>
      <c r="S155" s="194" t="s">
        <v>94</v>
      </c>
      <c r="T155" s="186"/>
      <c r="U155" s="186"/>
      <c r="V155" s="187"/>
      <c r="X155" s="178"/>
      <c r="Y155" s="179"/>
      <c r="Z155" s="179"/>
      <c r="AA155" s="179"/>
      <c r="AB155" s="179"/>
      <c r="AC155" s="179"/>
      <c r="AD155" s="179"/>
      <c r="AE155" s="179"/>
      <c r="AF155" s="179"/>
      <c r="AG155" s="179"/>
      <c r="AH155" s="179"/>
      <c r="AI155" s="179"/>
      <c r="AJ155" s="179"/>
      <c r="AK155" s="179"/>
      <c r="AL155" s="179"/>
      <c r="AM155" s="179"/>
      <c r="AN155" s="179"/>
      <c r="AO155" s="179"/>
      <c r="AP155" s="179"/>
      <c r="AQ155" s="179"/>
      <c r="AR155" s="179"/>
      <c r="AS155" s="179"/>
      <c r="AT155" s="179"/>
      <c r="AU155" s="179"/>
      <c r="AV155" s="179"/>
      <c r="AW155" s="179"/>
      <c r="AX155" s="179"/>
      <c r="AY155" s="179"/>
      <c r="AZ155" s="179"/>
      <c r="BA155" s="179"/>
      <c r="BB155" s="179"/>
      <c r="BC155" s="179"/>
      <c r="BD155" s="179"/>
      <c r="BE155" s="179"/>
      <c r="BF155" s="179"/>
      <c r="BG155" s="179"/>
      <c r="BP155" s="338"/>
    </row>
    <row r="156" ht="19.5" customHeight="1">
      <c r="A156" s="94"/>
      <c r="B156" s="95"/>
      <c r="C156" s="95"/>
      <c r="D156" s="95"/>
      <c r="E156" s="95"/>
      <c r="F156" s="103"/>
      <c r="G156" s="188">
        <v>1.0</v>
      </c>
      <c r="H156" s="189">
        <v>1.0</v>
      </c>
      <c r="I156" s="193">
        <v>5.0</v>
      </c>
      <c r="J156" s="189">
        <v>0.0</v>
      </c>
      <c r="K156" s="189"/>
      <c r="L156" s="189"/>
      <c r="M156" s="190"/>
      <c r="N156" s="189"/>
      <c r="O156" s="189"/>
      <c r="P156" s="189"/>
      <c r="Q156" s="183">
        <f t="shared" si="11"/>
        <v>7</v>
      </c>
      <c r="R156" s="184">
        <f t="shared" si="12"/>
        <v>6.363636364</v>
      </c>
      <c r="S156" s="195" t="s">
        <v>95</v>
      </c>
      <c r="T156" s="186"/>
      <c r="U156" s="186"/>
      <c r="V156" s="187"/>
      <c r="X156" s="178"/>
      <c r="Y156" s="179" t="s">
        <v>145</v>
      </c>
      <c r="Z156" s="179"/>
      <c r="AA156" s="179"/>
      <c r="AB156" s="179"/>
      <c r="AC156" s="179"/>
      <c r="AD156" s="179"/>
      <c r="AE156" s="179"/>
      <c r="AF156" s="179"/>
      <c r="AG156" s="179"/>
      <c r="AH156" s="179"/>
      <c r="AI156" s="179"/>
      <c r="AJ156" s="179"/>
      <c r="AK156" s="179"/>
      <c r="AL156" s="179"/>
      <c r="AM156" s="179"/>
      <c r="AN156" s="179"/>
      <c r="AO156" s="179"/>
      <c r="AP156" s="179"/>
      <c r="AQ156" s="179"/>
      <c r="AR156" s="179"/>
      <c r="AS156" s="179"/>
      <c r="AT156" s="179"/>
      <c r="AU156" s="179"/>
      <c r="AV156" s="179"/>
      <c r="AW156" s="179"/>
      <c r="AX156" s="179"/>
      <c r="AY156" s="179"/>
      <c r="AZ156" s="179"/>
      <c r="BA156" s="179"/>
      <c r="BB156" s="179"/>
      <c r="BC156" s="179"/>
      <c r="BD156" s="179"/>
      <c r="BE156" s="179"/>
      <c r="BF156" s="179"/>
      <c r="BG156" s="179"/>
      <c r="BP156" s="338"/>
    </row>
    <row r="157" ht="19.5" customHeight="1">
      <c r="A157" s="94"/>
      <c r="B157" s="95"/>
      <c r="C157" s="95"/>
      <c r="D157" s="95"/>
      <c r="E157" s="95"/>
      <c r="F157" s="103"/>
      <c r="M157" s="196"/>
      <c r="Q157" s="196"/>
      <c r="R157" s="339"/>
      <c r="S157" s="198"/>
      <c r="T157" s="196"/>
      <c r="U157" s="199"/>
      <c r="V157" s="196"/>
      <c r="X157" s="178"/>
      <c r="Y157" s="179" t="s">
        <v>146</v>
      </c>
      <c r="Z157" s="179"/>
      <c r="AA157" s="179"/>
      <c r="AB157" s="179"/>
      <c r="AC157" s="179"/>
      <c r="AD157" s="179"/>
      <c r="AE157" s="179"/>
      <c r="AF157" s="179"/>
      <c r="AG157" s="179"/>
      <c r="AH157" s="179"/>
      <c r="AI157" s="179"/>
      <c r="AJ157" s="179"/>
      <c r="AK157" s="179"/>
      <c r="AL157" s="179"/>
      <c r="AM157" s="179"/>
      <c r="AN157" s="179"/>
      <c r="AO157" s="179"/>
      <c r="AP157" s="179"/>
      <c r="AQ157" s="179"/>
      <c r="AR157" s="179"/>
      <c r="AS157" s="179"/>
      <c r="AT157" s="179"/>
      <c r="AU157" s="179"/>
      <c r="AV157" s="179"/>
      <c r="AW157" s="179"/>
      <c r="AX157" s="179"/>
      <c r="AY157" s="179"/>
      <c r="AZ157" s="179"/>
      <c r="BA157" s="179"/>
      <c r="BB157" s="179"/>
      <c r="BC157" s="179"/>
      <c r="BD157" s="179"/>
      <c r="BE157" s="179"/>
      <c r="BF157" s="179"/>
      <c r="BG157" s="179"/>
      <c r="BP157" s="338"/>
    </row>
    <row r="158" ht="19.5" customHeight="1">
      <c r="A158" s="94"/>
      <c r="B158" s="95"/>
      <c r="C158" s="95"/>
      <c r="D158" s="95"/>
      <c r="E158" s="95"/>
      <c r="F158" s="103"/>
      <c r="G158" s="200" t="s">
        <v>98</v>
      </c>
      <c r="H158" s="201"/>
      <c r="I158" s="201"/>
      <c r="J158" s="201"/>
      <c r="K158" s="201"/>
      <c r="L158" s="201"/>
      <c r="M158" s="202"/>
      <c r="N158" s="201"/>
      <c r="O158" s="201"/>
      <c r="P158" s="201"/>
      <c r="Q158" s="201"/>
      <c r="R158" s="201"/>
      <c r="S158" s="203"/>
      <c r="T158" s="204"/>
      <c r="U158" s="204"/>
      <c r="V158" s="205"/>
      <c r="X158" s="178"/>
      <c r="Y158" s="179" t="s">
        <v>147</v>
      </c>
      <c r="Z158" s="179"/>
      <c r="AA158" s="179"/>
      <c r="AB158" s="179"/>
      <c r="AC158" s="179"/>
      <c r="AD158" s="179"/>
      <c r="AE158" s="179"/>
      <c r="AF158" s="179"/>
      <c r="AG158" s="179"/>
      <c r="AH158" s="179"/>
      <c r="AI158" s="179"/>
      <c r="AJ158" s="179"/>
      <c r="AK158" s="179"/>
      <c r="AL158" s="179"/>
      <c r="AM158" s="179"/>
      <c r="AN158" s="179"/>
      <c r="AO158" s="179"/>
      <c r="AP158" s="179"/>
      <c r="AQ158" s="179"/>
      <c r="AR158" s="179"/>
      <c r="AS158" s="179"/>
      <c r="AT158" s="179"/>
      <c r="AU158" s="179"/>
      <c r="AV158" s="179"/>
      <c r="AW158" s="179"/>
      <c r="AX158" s="179"/>
      <c r="AY158" s="179"/>
      <c r="AZ158" s="179"/>
      <c r="BA158" s="179"/>
      <c r="BB158" s="179"/>
      <c r="BC158" s="179"/>
      <c r="BD158" s="179"/>
      <c r="BE158" s="179"/>
      <c r="BF158" s="179"/>
      <c r="BG158" s="179"/>
      <c r="BP158" s="338"/>
    </row>
    <row r="159" ht="19.5" customHeight="1">
      <c r="A159" s="94"/>
      <c r="B159" s="95"/>
      <c r="C159" s="95"/>
      <c r="D159" s="95"/>
      <c r="E159" s="95"/>
      <c r="F159" s="103"/>
      <c r="G159" s="153">
        <v>901.0</v>
      </c>
      <c r="H159" s="153">
        <v>902.0</v>
      </c>
      <c r="I159" s="153">
        <v>903.0</v>
      </c>
      <c r="J159" s="153">
        <v>904.0</v>
      </c>
      <c r="K159" s="153">
        <v>905.0</v>
      </c>
      <c r="L159" s="153">
        <v>906.0</v>
      </c>
      <c r="M159" s="153">
        <v>907.0</v>
      </c>
      <c r="N159" s="153">
        <v>908.0</v>
      </c>
      <c r="O159" s="153">
        <v>909.0</v>
      </c>
      <c r="P159" s="153">
        <v>910.0</v>
      </c>
      <c r="Q159" s="206" t="s">
        <v>10</v>
      </c>
      <c r="R159" s="207" t="s">
        <v>54</v>
      </c>
      <c r="S159" s="175" t="s">
        <v>90</v>
      </c>
      <c r="T159" s="176"/>
      <c r="U159" s="176"/>
      <c r="V159" s="177"/>
      <c r="X159" s="178"/>
      <c r="Y159" s="179" t="s">
        <v>148</v>
      </c>
      <c r="Z159" s="179"/>
      <c r="AA159" s="179"/>
      <c r="AB159" s="179"/>
      <c r="AC159" s="179"/>
      <c r="AD159" s="179"/>
      <c r="AE159" s="179"/>
      <c r="AF159" s="179"/>
      <c r="AG159" s="179"/>
      <c r="AH159" s="179"/>
      <c r="AI159" s="179"/>
      <c r="AJ159" s="179"/>
      <c r="AK159" s="179"/>
      <c r="AL159" s="179"/>
      <c r="AM159" s="179"/>
      <c r="AN159" s="179"/>
      <c r="AO159" s="179"/>
      <c r="AP159" s="179"/>
      <c r="AQ159" s="179"/>
      <c r="AR159" s="179"/>
      <c r="AS159" s="179"/>
      <c r="AT159" s="179"/>
      <c r="AU159" s="179"/>
      <c r="AV159" s="179"/>
      <c r="AW159" s="179"/>
      <c r="AX159" s="179"/>
      <c r="AY159" s="179"/>
      <c r="AZ159" s="179"/>
      <c r="BA159" s="179"/>
      <c r="BB159" s="179"/>
      <c r="BC159" s="179"/>
      <c r="BD159" s="179"/>
      <c r="BE159" s="179"/>
      <c r="BF159" s="179"/>
      <c r="BG159" s="179"/>
      <c r="BP159" s="338"/>
    </row>
    <row r="160" ht="19.5" customHeight="1">
      <c r="A160" s="94"/>
      <c r="B160" s="95"/>
      <c r="C160" s="95"/>
      <c r="D160" s="95"/>
      <c r="E160" s="95"/>
      <c r="F160" s="103"/>
      <c r="G160" s="208">
        <f t="array" ref="G160:G163">'9º Ano - 901'!$D$136:$D$139</f>
        <v>9</v>
      </c>
      <c r="H160" s="208">
        <f t="array" ref="H160:H163">'9º Ano - 902'!$D$136:$D$139</f>
        <v>12</v>
      </c>
      <c r="I160" s="208">
        <f t="array" ref="I160:I163">'9º Ano - 903'!$D$136:$D$139</f>
        <v>8</v>
      </c>
      <c r="J160" s="208">
        <f t="array" ref="J160:J163">'9º Ano - 904'!$D$136:$D$139</f>
        <v>8</v>
      </c>
      <c r="K160" s="208"/>
      <c r="L160" s="208"/>
      <c r="M160" s="208"/>
      <c r="N160" s="208"/>
      <c r="O160" s="208"/>
      <c r="P160" s="208"/>
      <c r="Q160" s="209">
        <f t="shared" ref="Q160:Q163" si="13">SUM(G160:P160)</f>
        <v>37</v>
      </c>
      <c r="R160" s="210">
        <f t="shared" ref="R160:R163" si="14">SUM(Q160/F$17*100)</f>
        <v>33.63636364</v>
      </c>
      <c r="S160" s="185" t="s">
        <v>91</v>
      </c>
      <c r="T160" s="186"/>
      <c r="U160" s="186"/>
      <c r="V160" s="187"/>
      <c r="X160" s="178"/>
      <c r="Y160" s="179"/>
      <c r="Z160" s="179"/>
      <c r="AA160" s="179"/>
      <c r="AB160" s="179"/>
      <c r="AC160" s="179"/>
      <c r="AD160" s="179"/>
      <c r="AE160" s="179"/>
      <c r="AF160" s="179"/>
      <c r="AG160" s="179"/>
      <c r="AH160" s="179"/>
      <c r="AI160" s="179"/>
      <c r="AJ160" s="179"/>
      <c r="AK160" s="179"/>
      <c r="AL160" s="179"/>
      <c r="AM160" s="179"/>
      <c r="AN160" s="179"/>
      <c r="AO160" s="179"/>
      <c r="AP160" s="179"/>
      <c r="AQ160" s="179"/>
      <c r="AR160" s="179"/>
      <c r="AS160" s="179"/>
      <c r="AT160" s="179"/>
      <c r="AU160" s="179"/>
      <c r="AV160" s="179"/>
      <c r="AW160" s="179"/>
      <c r="AX160" s="179"/>
      <c r="AY160" s="179"/>
      <c r="AZ160" s="179"/>
      <c r="BA160" s="179"/>
      <c r="BB160" s="179"/>
      <c r="BC160" s="179"/>
      <c r="BD160" s="179"/>
      <c r="BE160" s="179"/>
      <c r="BF160" s="179"/>
      <c r="BG160" s="179"/>
      <c r="BP160" s="338"/>
    </row>
    <row r="161" ht="19.5" customHeight="1">
      <c r="A161" s="94"/>
      <c r="B161" s="95"/>
      <c r="C161" s="95"/>
      <c r="D161" s="95"/>
      <c r="E161" s="95"/>
      <c r="F161" s="103"/>
      <c r="G161" s="208">
        <v>14.0</v>
      </c>
      <c r="H161" s="113">
        <v>11.0</v>
      </c>
      <c r="I161" s="113">
        <v>10.0</v>
      </c>
      <c r="J161" s="113">
        <v>11.0</v>
      </c>
      <c r="K161" s="113"/>
      <c r="L161" s="113"/>
      <c r="M161" s="113"/>
      <c r="N161" s="113"/>
      <c r="O161" s="113"/>
      <c r="P161" s="113"/>
      <c r="Q161" s="209">
        <f t="shared" si="13"/>
        <v>46</v>
      </c>
      <c r="R161" s="210">
        <f t="shared" si="14"/>
        <v>41.81818182</v>
      </c>
      <c r="S161" s="191" t="s">
        <v>92</v>
      </c>
      <c r="T161" s="186"/>
      <c r="U161" s="186"/>
      <c r="V161" s="187"/>
      <c r="X161" s="178"/>
      <c r="Y161" s="179" t="s">
        <v>149</v>
      </c>
      <c r="Z161" s="179"/>
      <c r="AA161" s="179"/>
      <c r="AB161" s="179"/>
      <c r="AC161" s="179"/>
      <c r="AD161" s="179"/>
      <c r="AE161" s="179"/>
      <c r="AF161" s="179"/>
      <c r="AG161" s="179"/>
      <c r="AH161" s="179"/>
      <c r="AI161" s="179"/>
      <c r="AJ161" s="179"/>
      <c r="AK161" s="179"/>
      <c r="AL161" s="179"/>
      <c r="AM161" s="179"/>
      <c r="AN161" s="179"/>
      <c r="AO161" s="179"/>
      <c r="AP161" s="179"/>
      <c r="AQ161" s="179"/>
      <c r="AR161" s="179"/>
      <c r="AS161" s="179"/>
      <c r="AT161" s="179"/>
      <c r="AU161" s="179"/>
      <c r="AV161" s="179"/>
      <c r="AW161" s="179"/>
      <c r="AX161" s="179"/>
      <c r="AY161" s="179"/>
      <c r="AZ161" s="179"/>
      <c r="BA161" s="179"/>
      <c r="BB161" s="179"/>
      <c r="BC161" s="179"/>
      <c r="BD161" s="179"/>
      <c r="BE161" s="179"/>
      <c r="BF161" s="179"/>
      <c r="BG161" s="179"/>
      <c r="BP161" s="338"/>
    </row>
    <row r="162" ht="19.5" customHeight="1">
      <c r="A162" s="94"/>
      <c r="B162" s="95"/>
      <c r="C162" s="95"/>
      <c r="D162" s="95"/>
      <c r="E162" s="95"/>
      <c r="F162" s="103"/>
      <c r="G162" s="208">
        <v>7.0</v>
      </c>
      <c r="H162" s="113">
        <v>5.0</v>
      </c>
      <c r="I162" s="113">
        <v>4.0</v>
      </c>
      <c r="J162" s="113">
        <v>8.0</v>
      </c>
      <c r="K162" s="113"/>
      <c r="L162" s="113"/>
      <c r="M162" s="113"/>
      <c r="N162" s="113"/>
      <c r="O162" s="113"/>
      <c r="P162" s="113"/>
      <c r="Q162" s="209">
        <f t="shared" si="13"/>
        <v>24</v>
      </c>
      <c r="R162" s="210">
        <f t="shared" si="14"/>
        <v>21.81818182</v>
      </c>
      <c r="S162" s="194" t="s">
        <v>94</v>
      </c>
      <c r="T162" s="186"/>
      <c r="U162" s="186"/>
      <c r="V162" s="187"/>
      <c r="X162" s="178"/>
      <c r="Y162" s="179" t="s">
        <v>150</v>
      </c>
      <c r="Z162" s="179"/>
      <c r="AA162" s="179"/>
      <c r="AB162" s="179"/>
      <c r="AC162" s="179"/>
      <c r="AD162" s="179"/>
      <c r="AE162" s="179"/>
      <c r="AF162" s="179"/>
      <c r="AG162" s="179"/>
      <c r="AH162" s="179"/>
      <c r="AI162" s="179"/>
      <c r="AJ162" s="179"/>
      <c r="AK162" s="179"/>
      <c r="AL162" s="179"/>
      <c r="AM162" s="179"/>
      <c r="AN162" s="179"/>
      <c r="AO162" s="179"/>
      <c r="AP162" s="179"/>
      <c r="AQ162" s="179"/>
      <c r="AR162" s="179"/>
      <c r="AS162" s="179"/>
      <c r="AT162" s="179"/>
      <c r="AU162" s="179"/>
      <c r="AV162" s="179"/>
      <c r="AW162" s="179"/>
      <c r="AX162" s="179"/>
      <c r="AY162" s="179"/>
      <c r="AZ162" s="179"/>
      <c r="BA162" s="179"/>
      <c r="BB162" s="179"/>
      <c r="BC162" s="179"/>
      <c r="BD162" s="179"/>
      <c r="BE162" s="179"/>
      <c r="BF162" s="179"/>
      <c r="BG162" s="179"/>
      <c r="BP162" s="338"/>
    </row>
    <row r="163" ht="19.5" customHeight="1">
      <c r="A163" s="94"/>
      <c r="B163" s="95"/>
      <c r="C163" s="95"/>
      <c r="D163" s="95"/>
      <c r="E163" s="95"/>
      <c r="F163" s="103"/>
      <c r="G163" s="208">
        <v>0.0</v>
      </c>
      <c r="H163" s="113">
        <v>3.0</v>
      </c>
      <c r="I163" s="113">
        <v>0.0</v>
      </c>
      <c r="J163" s="113">
        <v>0.0</v>
      </c>
      <c r="K163" s="113"/>
      <c r="L163" s="113"/>
      <c r="M163" s="113"/>
      <c r="N163" s="113"/>
      <c r="O163" s="113"/>
      <c r="P163" s="113"/>
      <c r="Q163" s="209">
        <f t="shared" si="13"/>
        <v>3</v>
      </c>
      <c r="R163" s="210">
        <f t="shared" si="14"/>
        <v>2.727272727</v>
      </c>
      <c r="S163" s="195" t="s">
        <v>95</v>
      </c>
      <c r="T163" s="186"/>
      <c r="U163" s="186"/>
      <c r="V163" s="187"/>
      <c r="X163" s="178"/>
      <c r="Y163" s="179" t="s">
        <v>151</v>
      </c>
      <c r="Z163" s="179"/>
      <c r="AA163" s="179"/>
      <c r="AB163" s="179"/>
      <c r="AC163" s="179"/>
      <c r="AD163" s="179"/>
      <c r="AE163" s="179"/>
      <c r="AF163" s="179"/>
      <c r="AG163" s="179"/>
      <c r="AH163" s="179"/>
      <c r="AI163" s="179"/>
      <c r="AJ163" s="179"/>
      <c r="AK163" s="179"/>
      <c r="AL163" s="179"/>
      <c r="AM163" s="179"/>
      <c r="AN163" s="179"/>
      <c r="AO163" s="179"/>
      <c r="AP163" s="179"/>
      <c r="AQ163" s="179"/>
      <c r="AR163" s="179"/>
      <c r="AS163" s="179"/>
      <c r="AT163" s="179"/>
      <c r="AU163" s="179"/>
      <c r="AV163" s="179"/>
      <c r="AW163" s="179"/>
      <c r="AX163" s="179"/>
      <c r="AY163" s="179"/>
      <c r="AZ163" s="179"/>
      <c r="BA163" s="179"/>
      <c r="BB163" s="179"/>
      <c r="BC163" s="179"/>
      <c r="BD163" s="179"/>
      <c r="BE163" s="179"/>
      <c r="BF163" s="179"/>
      <c r="BG163" s="179"/>
      <c r="BP163" s="338"/>
    </row>
    <row r="164" ht="19.5" customHeight="1">
      <c r="A164" s="94"/>
      <c r="B164" s="95"/>
      <c r="C164" s="95"/>
      <c r="D164" s="95"/>
      <c r="E164" s="95"/>
      <c r="F164" s="103"/>
      <c r="M164" s="196"/>
      <c r="Q164" s="196"/>
      <c r="R164" s="211"/>
      <c r="S164" s="198"/>
      <c r="T164" s="196"/>
      <c r="U164" s="196"/>
      <c r="V164" s="196"/>
      <c r="X164" s="178"/>
      <c r="Y164" s="179"/>
      <c r="Z164" s="179"/>
      <c r="AA164" s="179"/>
      <c r="AB164" s="179"/>
      <c r="AC164" s="179"/>
      <c r="AD164" s="179"/>
      <c r="AE164" s="179"/>
      <c r="AF164" s="179"/>
      <c r="AG164" s="179"/>
      <c r="AH164" s="179"/>
      <c r="AI164" s="179"/>
      <c r="AJ164" s="179"/>
      <c r="AK164" s="179"/>
      <c r="AL164" s="179"/>
      <c r="AM164" s="179"/>
      <c r="AN164" s="179"/>
      <c r="AO164" s="179"/>
      <c r="AP164" s="179"/>
      <c r="AQ164" s="179"/>
      <c r="AR164" s="179"/>
      <c r="AS164" s="179"/>
      <c r="AT164" s="179"/>
      <c r="AU164" s="179"/>
      <c r="AV164" s="179"/>
      <c r="AW164" s="179"/>
      <c r="AX164" s="179"/>
      <c r="AY164" s="179"/>
      <c r="AZ164" s="179"/>
      <c r="BA164" s="179"/>
      <c r="BB164" s="179"/>
      <c r="BC164" s="179"/>
      <c r="BD164" s="179"/>
      <c r="BE164" s="179"/>
      <c r="BF164" s="179"/>
      <c r="BG164" s="179"/>
      <c r="BP164" s="338"/>
    </row>
    <row r="165" ht="19.5" customHeight="1">
      <c r="A165" s="94"/>
      <c r="B165" s="95"/>
      <c r="C165" s="95"/>
      <c r="D165" s="95"/>
      <c r="E165" s="95"/>
      <c r="F165" s="103"/>
      <c r="G165" s="212" t="s">
        <v>17</v>
      </c>
      <c r="H165" s="213"/>
      <c r="I165" s="213"/>
      <c r="J165" s="213"/>
      <c r="K165" s="213"/>
      <c r="L165" s="213"/>
      <c r="M165" s="214"/>
      <c r="N165" s="213"/>
      <c r="O165" s="213"/>
      <c r="P165" s="213"/>
      <c r="Q165" s="215"/>
      <c r="R165" s="216"/>
      <c r="S165" s="215"/>
      <c r="T165" s="217"/>
      <c r="U165" s="217"/>
      <c r="V165" s="218"/>
      <c r="X165" s="178"/>
      <c r="Y165" s="179" t="s">
        <v>152</v>
      </c>
      <c r="Z165" s="179"/>
      <c r="AA165" s="179"/>
      <c r="AB165" s="179"/>
      <c r="AC165" s="179"/>
      <c r="AD165" s="179"/>
      <c r="AE165" s="179"/>
      <c r="AF165" s="179"/>
      <c r="AG165" s="179"/>
      <c r="AH165" s="179"/>
      <c r="AI165" s="179"/>
      <c r="AJ165" s="179"/>
      <c r="AK165" s="179"/>
      <c r="AL165" s="179"/>
      <c r="AM165" s="179"/>
      <c r="AN165" s="179"/>
      <c r="AO165" s="179"/>
      <c r="AP165" s="179"/>
      <c r="AQ165" s="179"/>
      <c r="AR165" s="179"/>
      <c r="AS165" s="179"/>
      <c r="AT165" s="179"/>
      <c r="AU165" s="179"/>
      <c r="AV165" s="179"/>
      <c r="AW165" s="179"/>
      <c r="AX165" s="179"/>
      <c r="AY165" s="179"/>
      <c r="AZ165" s="179"/>
      <c r="BA165" s="179"/>
      <c r="BB165" s="179"/>
      <c r="BC165" s="179"/>
      <c r="BD165" s="179"/>
      <c r="BE165" s="179"/>
      <c r="BF165" s="179"/>
      <c r="BG165" s="179"/>
      <c r="BP165" s="338"/>
    </row>
    <row r="166" ht="19.5" customHeight="1">
      <c r="A166" s="94"/>
      <c r="B166" s="95"/>
      <c r="C166" s="95"/>
      <c r="D166" s="95"/>
      <c r="E166" s="95"/>
      <c r="F166" s="103"/>
      <c r="G166" s="153">
        <v>901.0</v>
      </c>
      <c r="H166" s="153">
        <v>902.0</v>
      </c>
      <c r="I166" s="153">
        <v>903.0</v>
      </c>
      <c r="J166" s="153">
        <v>904.0</v>
      </c>
      <c r="K166" s="153">
        <v>905.0</v>
      </c>
      <c r="L166" s="153">
        <v>906.0</v>
      </c>
      <c r="M166" s="153">
        <v>907.0</v>
      </c>
      <c r="N166" s="153">
        <v>908.0</v>
      </c>
      <c r="O166" s="153">
        <v>909.0</v>
      </c>
      <c r="P166" s="153">
        <v>910.0</v>
      </c>
      <c r="Q166" s="173" t="s">
        <v>10</v>
      </c>
      <c r="R166" s="219" t="s">
        <v>54</v>
      </c>
      <c r="S166" s="175" t="s">
        <v>90</v>
      </c>
      <c r="T166" s="176"/>
      <c r="U166" s="176"/>
      <c r="V166" s="177"/>
      <c r="X166" s="178"/>
      <c r="Y166" s="179" t="s">
        <v>153</v>
      </c>
      <c r="Z166" s="179"/>
      <c r="AA166" s="179"/>
      <c r="AB166" s="179"/>
      <c r="AC166" s="179"/>
      <c r="AD166" s="179"/>
      <c r="AE166" s="179"/>
      <c r="AF166" s="179"/>
      <c r="AG166" s="179"/>
      <c r="BP166" s="338"/>
    </row>
    <row r="167" ht="19.5" customHeight="1">
      <c r="A167" s="94"/>
      <c r="B167" s="95"/>
      <c r="C167" s="95"/>
      <c r="D167" s="95"/>
      <c r="E167" s="95"/>
      <c r="F167" s="103"/>
      <c r="G167" s="188">
        <f t="array" ref="G167:G170">'9º Ano - 901'!$D$143:$D$146</f>
        <v>18</v>
      </c>
      <c r="H167" s="188">
        <f t="array" ref="H167:H170">'9º Ano - 902'!$D$143:$D$146</f>
        <v>15</v>
      </c>
      <c r="I167" s="188">
        <f t="array" ref="I167:I170">'9º Ano - 903'!$D$143:$D$146</f>
        <v>13</v>
      </c>
      <c r="J167" s="188">
        <f t="array" ref="J167:J170">'9º Ano - 904'!$D$143:$D$146</f>
        <v>10</v>
      </c>
      <c r="K167" s="188"/>
      <c r="L167" s="188"/>
      <c r="M167" s="188"/>
      <c r="N167" s="188"/>
      <c r="O167" s="188"/>
      <c r="P167" s="188"/>
      <c r="Q167" s="183">
        <f t="shared" ref="Q167:Q170" si="15">SUM(G167:P167)</f>
        <v>56</v>
      </c>
      <c r="R167" s="221">
        <f t="shared" ref="R167:R170" si="16">SUM(Q167/F$17*100)</f>
        <v>50.90909091</v>
      </c>
      <c r="S167" s="222" t="s">
        <v>91</v>
      </c>
      <c r="T167" s="186"/>
      <c r="U167" s="186"/>
      <c r="V167" s="187"/>
      <c r="X167" s="178"/>
      <c r="Y167" s="179" t="s">
        <v>154</v>
      </c>
      <c r="Z167" s="179"/>
      <c r="AA167" s="179"/>
      <c r="AB167" s="179"/>
      <c r="AC167" s="179"/>
      <c r="AD167" s="179"/>
      <c r="AE167" s="179"/>
      <c r="AF167" s="179"/>
      <c r="AG167" s="179"/>
      <c r="BP167" s="338"/>
    </row>
    <row r="168" ht="19.5" customHeight="1">
      <c r="A168" s="94"/>
      <c r="B168" s="95"/>
      <c r="C168" s="95"/>
      <c r="D168" s="95"/>
      <c r="E168" s="95"/>
      <c r="F168" s="103"/>
      <c r="G168" s="188">
        <v>12.0</v>
      </c>
      <c r="H168" s="189">
        <v>15.0</v>
      </c>
      <c r="I168" s="189">
        <v>9.0</v>
      </c>
      <c r="J168" s="189">
        <v>17.0</v>
      </c>
      <c r="K168" s="189"/>
      <c r="L168" s="189"/>
      <c r="M168" s="190"/>
      <c r="N168" s="189"/>
      <c r="O168" s="189"/>
      <c r="P168" s="189"/>
      <c r="Q168" s="183">
        <f t="shared" si="15"/>
        <v>53</v>
      </c>
      <c r="R168" s="221">
        <f t="shared" si="16"/>
        <v>48.18181818</v>
      </c>
      <c r="S168" s="191" t="s">
        <v>92</v>
      </c>
      <c r="T168" s="186"/>
      <c r="U168" s="186"/>
      <c r="V168" s="187"/>
      <c r="X168" s="178"/>
      <c r="BP168" s="338"/>
    </row>
    <row r="169" ht="19.5" customHeight="1">
      <c r="A169" s="94"/>
      <c r="B169" s="95"/>
      <c r="C169" s="95"/>
      <c r="D169" s="95"/>
      <c r="E169" s="95"/>
      <c r="F169" s="103"/>
      <c r="G169" s="188">
        <v>0.0</v>
      </c>
      <c r="H169" s="189">
        <v>1.0</v>
      </c>
      <c r="I169" s="189">
        <v>0.0</v>
      </c>
      <c r="J169" s="189">
        <v>0.0</v>
      </c>
      <c r="K169" s="189"/>
      <c r="L169" s="189"/>
      <c r="M169" s="190"/>
      <c r="N169" s="189"/>
      <c r="O169" s="189"/>
      <c r="P169" s="189"/>
      <c r="Q169" s="183">
        <f t="shared" si="15"/>
        <v>1</v>
      </c>
      <c r="R169" s="221">
        <f t="shared" si="16"/>
        <v>0.9090909091</v>
      </c>
      <c r="S169" s="194" t="s">
        <v>94</v>
      </c>
      <c r="T169" s="186"/>
      <c r="U169" s="186"/>
      <c r="V169" s="187"/>
      <c r="X169" s="178"/>
      <c r="BP169" s="338"/>
    </row>
    <row r="170" ht="19.5" customHeight="1">
      <c r="A170" s="84"/>
      <c r="B170" s="85"/>
      <c r="C170" s="85"/>
      <c r="D170" s="85"/>
      <c r="E170" s="85"/>
      <c r="F170" s="146"/>
      <c r="G170" s="188">
        <v>0.0</v>
      </c>
      <c r="H170" s="189">
        <v>0.0</v>
      </c>
      <c r="I170" s="189">
        <v>0.0</v>
      </c>
      <c r="J170" s="189">
        <v>0.0</v>
      </c>
      <c r="K170" s="189"/>
      <c r="L170" s="189"/>
      <c r="M170" s="190"/>
      <c r="N170" s="189"/>
      <c r="O170" s="189"/>
      <c r="P170" s="189"/>
      <c r="Q170" s="183">
        <f t="shared" si="15"/>
        <v>0</v>
      </c>
      <c r="R170" s="221">
        <f t="shared" si="16"/>
        <v>0</v>
      </c>
      <c r="S170" s="195" t="s">
        <v>95</v>
      </c>
      <c r="T170" s="186"/>
      <c r="U170" s="186"/>
      <c r="V170" s="187"/>
      <c r="X170" s="223"/>
      <c r="Y170" s="224"/>
      <c r="Z170" s="224"/>
      <c r="AA170" s="224"/>
      <c r="AB170" s="224"/>
      <c r="AC170" s="224"/>
      <c r="AD170" s="224"/>
      <c r="AE170" s="224"/>
      <c r="AF170" s="224"/>
      <c r="AG170" s="224"/>
      <c r="AH170" s="224"/>
      <c r="AI170" s="224"/>
      <c r="AJ170" s="224"/>
      <c r="AK170" s="224"/>
      <c r="AL170" s="224"/>
      <c r="AM170" s="224"/>
      <c r="AN170" s="224"/>
      <c r="AO170" s="224"/>
      <c r="AP170" s="224"/>
      <c r="AQ170" s="224"/>
      <c r="AR170" s="224"/>
      <c r="AS170" s="224"/>
      <c r="AT170" s="224"/>
      <c r="AU170" s="224"/>
      <c r="AV170" s="224"/>
      <c r="AW170" s="224"/>
      <c r="AX170" s="224"/>
      <c r="AY170" s="224"/>
      <c r="AZ170" s="224"/>
      <c r="BA170" s="224"/>
      <c r="BB170" s="224"/>
      <c r="BC170" s="224"/>
      <c r="BD170" s="224"/>
      <c r="BE170" s="224"/>
      <c r="BF170" s="224"/>
      <c r="BG170" s="224"/>
      <c r="BH170" s="224"/>
      <c r="BI170" s="224"/>
      <c r="BJ170" s="224"/>
      <c r="BK170" s="224"/>
      <c r="BL170" s="224"/>
      <c r="BM170" s="224"/>
      <c r="BN170" s="224"/>
      <c r="BO170" s="224"/>
      <c r="BP170" s="340"/>
    </row>
    <row r="171" ht="19.5" customHeight="1"/>
    <row r="172" ht="13.5" customHeight="1">
      <c r="A172" s="196"/>
      <c r="B172" s="196"/>
      <c r="C172" s="196"/>
      <c r="G172" s="341"/>
      <c r="H172" s="341"/>
      <c r="I172" s="341"/>
      <c r="J172" s="341"/>
      <c r="K172" s="341"/>
      <c r="L172" s="341"/>
      <c r="M172" s="341"/>
      <c r="N172" s="341"/>
      <c r="O172" s="341"/>
      <c r="P172" s="341"/>
      <c r="Q172" s="341"/>
      <c r="R172" s="341"/>
      <c r="S172" s="341"/>
      <c r="T172" s="341"/>
      <c r="U172" s="224"/>
      <c r="V172" s="224"/>
      <c r="W172" s="224"/>
      <c r="X172" s="224"/>
      <c r="Y172" s="224"/>
      <c r="Z172" s="224"/>
      <c r="AA172" s="224"/>
      <c r="AB172" s="224"/>
      <c r="AC172" s="224"/>
      <c r="AD172" s="224"/>
      <c r="AE172" s="224"/>
      <c r="AF172" s="224"/>
      <c r="AG172" s="224"/>
      <c r="AH172" s="224"/>
      <c r="AI172" s="224"/>
      <c r="AJ172" s="224"/>
      <c r="AK172" s="224"/>
      <c r="AL172" s="224"/>
      <c r="AM172" s="224"/>
      <c r="AN172" s="224"/>
      <c r="AO172" s="224"/>
      <c r="AP172" s="224"/>
      <c r="AQ172" s="224"/>
      <c r="AR172" s="224"/>
      <c r="AS172" s="224"/>
      <c r="AT172" s="224"/>
      <c r="AU172" s="224"/>
      <c r="AV172" s="224"/>
      <c r="AW172" s="224"/>
      <c r="AX172" s="224"/>
      <c r="AY172" s="224"/>
      <c r="AZ172" s="224"/>
      <c r="BA172" s="224"/>
      <c r="BB172" s="224"/>
      <c r="BC172" s="224"/>
      <c r="BD172" s="224"/>
      <c r="BE172" s="224"/>
      <c r="BF172" s="224"/>
      <c r="BG172" s="224"/>
      <c r="BH172" s="224"/>
      <c r="BI172" s="224"/>
      <c r="BJ172" s="224"/>
      <c r="BK172" s="224"/>
      <c r="BL172" s="224"/>
      <c r="BM172" s="224"/>
      <c r="BN172" s="224"/>
      <c r="BO172" s="224"/>
      <c r="BP172" s="224"/>
      <c r="BQ172" s="180"/>
    </row>
    <row r="173" ht="13.5" customHeight="1">
      <c r="A173" s="196"/>
      <c r="B173" s="196"/>
      <c r="C173" s="196"/>
      <c r="BA173" s="226" t="s">
        <v>107</v>
      </c>
    </row>
    <row r="174" ht="13.5" customHeight="1">
      <c r="A174" s="196"/>
      <c r="B174" s="196"/>
      <c r="C174" s="196"/>
      <c r="BA174" s="227" t="s">
        <v>108</v>
      </c>
      <c r="BC174" s="227"/>
      <c r="BD174" s="227"/>
      <c r="BE174" s="227"/>
      <c r="BF174" s="227"/>
      <c r="BG174" s="227"/>
      <c r="BI174" s="227"/>
      <c r="BJ174" s="227"/>
      <c r="BK174" s="227"/>
      <c r="BL174" s="227"/>
    </row>
    <row r="175" ht="19.5" customHeight="1"/>
  </sheetData>
  <mergeCells count="39">
    <mergeCell ref="E26:E29"/>
    <mergeCell ref="F26:F29"/>
    <mergeCell ref="G26:AE26"/>
    <mergeCell ref="AF26:BE26"/>
    <mergeCell ref="BG26:BM26"/>
    <mergeCell ref="BG27:BG29"/>
    <mergeCell ref="BH27:BH29"/>
    <mergeCell ref="A19:B19"/>
    <mergeCell ref="A20:B20"/>
    <mergeCell ref="A22:F22"/>
    <mergeCell ref="A26:A29"/>
    <mergeCell ref="B26:B29"/>
    <mergeCell ref="C26:C29"/>
    <mergeCell ref="D26:D29"/>
    <mergeCell ref="G6:BH8"/>
    <mergeCell ref="G9:BH10"/>
    <mergeCell ref="G12:BH12"/>
    <mergeCell ref="A15:F15"/>
    <mergeCell ref="A16:F16"/>
    <mergeCell ref="A17:B17"/>
    <mergeCell ref="A18:B18"/>
    <mergeCell ref="BI27:BI29"/>
    <mergeCell ref="BJ27:BJ29"/>
    <mergeCell ref="BK27:BK29"/>
    <mergeCell ref="BL27:BL29"/>
    <mergeCell ref="BM27:BM29"/>
    <mergeCell ref="BO27:BO29"/>
    <mergeCell ref="G42:AM42"/>
    <mergeCell ref="AO42:AX43"/>
    <mergeCell ref="G43:H44"/>
    <mergeCell ref="I43:I44"/>
    <mergeCell ref="J43:J44"/>
    <mergeCell ref="K43:AM44"/>
    <mergeCell ref="G45:G69"/>
    <mergeCell ref="G70:G95"/>
    <mergeCell ref="G97:BD97"/>
    <mergeCell ref="G99:G123"/>
    <mergeCell ref="G124:G149"/>
    <mergeCell ref="Y154:AG154"/>
  </mergeCells>
  <conditionalFormatting sqref="C30:G40 H30:BE30 H40:BE40">
    <cfRule type="containsText" dxfId="0" priority="1" operator="containsText" text="NÃO">
      <formula>NOT(ISERROR(SEARCH(("NÃO"),(C30))))</formula>
    </cfRule>
  </conditionalFormatting>
  <conditionalFormatting sqref="C30:G40 H30:BE30 H40:BE40">
    <cfRule type="containsText" dxfId="1" priority="2" operator="containsText" text="SIM">
      <formula>NOT(ISERROR(SEARCH(("SIM"),(C30))))</formula>
    </cfRule>
  </conditionalFormatting>
  <conditionalFormatting sqref="BM30:BQ39">
    <cfRule type="containsText" dxfId="2" priority="3" operator="containsText" text="F">
      <formula>NOT(ISERROR(SEARCH(("F"),(BM30))))</formula>
    </cfRule>
  </conditionalFormatting>
  <conditionalFormatting sqref="BG30:BK39">
    <cfRule type="containsText" dxfId="3" priority="4" operator="containsText" text="F">
      <formula>NOT(ISERROR(SEARCH(("F"),(BG30))))</formula>
    </cfRule>
  </conditionalFormatting>
  <conditionalFormatting sqref="BG30:BG39">
    <cfRule type="containsText" dxfId="4" priority="5" operator="containsText" text="A">
      <formula>NOT(ISERROR(SEARCH(("A"),(BG30))))</formula>
    </cfRule>
  </conditionalFormatting>
  <conditionalFormatting sqref="BG30:BG39">
    <cfRule type="containsText" dxfId="5" priority="6" operator="containsText" text="B">
      <formula>NOT(ISERROR(SEARCH(("B"),(BG30))))</formula>
    </cfRule>
  </conditionalFormatting>
  <conditionalFormatting sqref="BG30:BG39">
    <cfRule type="containsText" dxfId="5" priority="7" operator="containsText" text="C">
      <formula>NOT(ISERROR(SEARCH(("C"),(BG30))))</formula>
    </cfRule>
  </conditionalFormatting>
  <conditionalFormatting sqref="BG30:BG39">
    <cfRule type="containsText" dxfId="5" priority="8" operator="containsText" text="X">
      <formula>NOT(ISERROR(SEARCH(("X"),(BG30))))</formula>
    </cfRule>
  </conditionalFormatting>
  <conditionalFormatting sqref="BL30:BL39">
    <cfRule type="containsText" dxfId="6" priority="9" operator="containsText" text="F">
      <formula>NOT(ISERROR(SEARCH(("F"),(BL30))))</formula>
    </cfRule>
  </conditionalFormatting>
  <conditionalFormatting sqref="BM30:BM39">
    <cfRule type="containsText" dxfId="5" priority="10" operator="containsText" text="X">
      <formula>NOT(ISERROR(SEARCH(("X"),(BM30))))</formula>
    </cfRule>
  </conditionalFormatting>
  <conditionalFormatting sqref="BM30:BM39">
    <cfRule type="containsText" dxfId="7" priority="11" operator="containsText" text="Abaixo do Básico">
      <formula>NOT(ISERROR(SEARCH(("Abaixo do Básico"),(BM30))))</formula>
    </cfRule>
  </conditionalFormatting>
  <conditionalFormatting sqref="BM30:BM39">
    <cfRule type="containsText" dxfId="8" priority="12" operator="containsText" text="Básico">
      <formula>NOT(ISERROR(SEARCH(("Básico"),(BM30))))</formula>
    </cfRule>
  </conditionalFormatting>
  <conditionalFormatting sqref="BM30:BM39">
    <cfRule type="containsText" dxfId="9" priority="13" operator="containsText" text="Adequado">
      <formula>NOT(ISERROR(SEARCH(("Adequado"),(BM30))))</formula>
    </cfRule>
  </conditionalFormatting>
  <conditionalFormatting sqref="BM30:BM39">
    <cfRule type="containsText" dxfId="10" priority="14" operator="containsText" text="Avança">
      <formula>NOT(ISERROR(SEARCH(("Avança"),(BM30))))</formula>
    </cfRule>
  </conditionalFormatting>
  <conditionalFormatting sqref="A30:BE40">
    <cfRule type="containsBlanks" dxfId="6" priority="15">
      <formula>LEN(TRIM(A30))=0</formula>
    </cfRule>
  </conditionalFormatting>
  <conditionalFormatting sqref="G153:P156">
    <cfRule type="containsBlanks" dxfId="6" priority="16">
      <formula>LEN(TRIM(G153))=0</formula>
    </cfRule>
  </conditionalFormatting>
  <conditionalFormatting sqref="G160:P163">
    <cfRule type="containsBlanks" dxfId="6" priority="17">
      <formula>LEN(TRIM(G160))=0</formula>
    </cfRule>
  </conditionalFormatting>
  <conditionalFormatting sqref="G167:P170">
    <cfRule type="containsBlanks" dxfId="6" priority="18">
      <formula>LEN(TRIM(G167))=0</formula>
    </cfRule>
  </conditionalFormatting>
  <hyperlinks>
    <hyperlink r:id="rId1" ref="A22"/>
  </hyperlinks>
  <printOptions gridLines="1" horizontalCentered="1"/>
  <pageMargins bottom="0.75" footer="0.0" header="0.0" left="0.7" right="0.7" top="0.75"/>
  <pageSetup fitToHeight="0"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46" width="4.75"/>
    <col customWidth="1" min="47" max="47" width="3.38"/>
    <col customWidth="1" min="48" max="49" width="4.13"/>
    <col customWidth="1" min="50" max="50" width="4.25"/>
    <col customWidth="1" min="51" max="51" width="4.63"/>
    <col customWidth="1" min="52" max="52" width="4.75"/>
    <col customWidth="1" min="53" max="53" width="4.25"/>
    <col customWidth="1" min="54" max="54" width="14.13"/>
    <col customWidth="1" min="55" max="55" width="1.88"/>
    <col customWidth="1" min="56" max="56" width="5.25"/>
    <col customWidth="1" min="57" max="57" width="5.0"/>
    <col customWidth="1" min="58" max="58" width="14.13"/>
    <col customWidth="1" min="59" max="59" width="5.13"/>
    <col customWidth="1" min="60" max="60" width="4.75"/>
    <col customWidth="1" min="61" max="61" width="15.75"/>
    <col customWidth="1" min="62" max="63"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row>
    <row r="6" ht="25.5" customHeight="1">
      <c r="A6" s="1"/>
      <c r="B6" s="1"/>
      <c r="C6" s="1"/>
      <c r="D6" s="5" t="s">
        <v>0</v>
      </c>
      <c r="AY6" s="5"/>
      <c r="AZ6" s="5"/>
      <c r="BA6" s="5"/>
      <c r="BB6" s="5"/>
      <c r="BC6" s="5"/>
      <c r="BD6" s="5"/>
      <c r="BE6" s="5"/>
      <c r="BF6" s="4"/>
      <c r="BG6" s="4"/>
      <c r="BH6" s="4"/>
      <c r="BI6" s="3"/>
      <c r="BJ6" s="3"/>
      <c r="BK6" s="3"/>
    </row>
    <row r="7" ht="25.5" customHeight="1">
      <c r="A7" s="1"/>
      <c r="B7" s="1"/>
      <c r="C7" s="1"/>
      <c r="AY7" s="5"/>
      <c r="AZ7" s="5"/>
      <c r="BA7" s="5"/>
      <c r="BB7" s="5"/>
      <c r="BC7" s="5"/>
      <c r="BD7" s="5"/>
      <c r="BE7" s="5"/>
      <c r="BF7" s="4"/>
      <c r="BG7" s="4"/>
      <c r="BH7" s="4"/>
      <c r="BI7" s="3"/>
      <c r="BJ7" s="3"/>
      <c r="BK7" s="3"/>
    </row>
    <row r="8" ht="25.5" customHeight="1">
      <c r="A8" s="1"/>
      <c r="B8" s="1"/>
      <c r="C8" s="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4"/>
      <c r="BG8" s="4"/>
      <c r="BH8" s="4"/>
      <c r="BI8" s="3"/>
      <c r="BJ8" s="3"/>
      <c r="BK8" s="3"/>
    </row>
    <row r="9" ht="25.5" customHeight="1">
      <c r="A9" s="1"/>
      <c r="B9" s="1"/>
      <c r="C9" s="1"/>
      <c r="D9" s="6" t="s">
        <v>1</v>
      </c>
      <c r="AY9" s="7"/>
      <c r="AZ9" s="7"/>
      <c r="BA9" s="7"/>
      <c r="BB9" s="7"/>
      <c r="BC9" s="7"/>
      <c r="BD9" s="7"/>
      <c r="BE9" s="7"/>
      <c r="BF9" s="4"/>
      <c r="BG9" s="4"/>
      <c r="BH9" s="4"/>
      <c r="BI9" s="3"/>
      <c r="BJ9" s="3"/>
      <c r="BK9" s="3"/>
    </row>
    <row r="10" ht="25.5" customHeight="1">
      <c r="A10" s="1"/>
      <c r="B10" s="1"/>
      <c r="C10" s="1"/>
      <c r="AY10" s="7"/>
      <c r="AZ10" s="7"/>
      <c r="BA10" s="7"/>
      <c r="BB10" s="7"/>
      <c r="BC10" s="7"/>
      <c r="BD10" s="7"/>
      <c r="BE10" s="7"/>
      <c r="BF10" s="4"/>
      <c r="BG10" s="4"/>
      <c r="BH10" s="4"/>
      <c r="BI10" s="3"/>
      <c r="BJ10" s="3"/>
      <c r="BK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row>
    <row r="12" ht="25.5" customHeight="1">
      <c r="A12" s="1"/>
      <c r="B12" s="1"/>
      <c r="C12" s="1"/>
      <c r="D12" s="8" t="s">
        <v>2</v>
      </c>
      <c r="AY12" s="9"/>
      <c r="AZ12" s="9"/>
      <c r="BA12" s="9"/>
      <c r="BB12" s="9"/>
      <c r="BC12" s="9"/>
      <c r="BD12" s="9"/>
      <c r="BE12" s="9"/>
      <c r="BF12" s="4"/>
      <c r="BG12" s="4"/>
      <c r="BH12" s="4"/>
      <c r="BI12" s="3"/>
      <c r="BJ12" s="3"/>
      <c r="BK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V13" s="3"/>
      <c r="AW13" s="3"/>
      <c r="AX13" s="3"/>
      <c r="AY13" s="3"/>
      <c r="AZ13" s="3"/>
      <c r="BA13" s="3"/>
      <c r="BB13" s="4"/>
      <c r="BC13" s="4"/>
      <c r="BD13" s="4"/>
      <c r="BE13" s="4"/>
      <c r="BF13" s="4"/>
      <c r="BG13" s="4"/>
      <c r="BH13" s="4"/>
      <c r="BI13" s="3"/>
      <c r="BJ13" s="3"/>
      <c r="BK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V14" s="3"/>
      <c r="AW14" s="3"/>
      <c r="AX14" s="3"/>
      <c r="AY14" s="3"/>
      <c r="AZ14" s="3"/>
      <c r="BA14" s="3"/>
      <c r="BB14" s="4"/>
      <c r="BC14" s="4"/>
      <c r="BD14" s="4"/>
      <c r="BE14" s="4"/>
      <c r="BF14" s="4"/>
      <c r="BG14" s="4"/>
      <c r="BH14" s="4"/>
      <c r="BI14" s="3"/>
      <c r="BJ14" s="3"/>
      <c r="BK14" s="3"/>
    </row>
    <row r="15" ht="25.5" customHeight="1">
      <c r="A15" s="13"/>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V15" s="3"/>
      <c r="AW15" s="3"/>
      <c r="AX15" s="3"/>
      <c r="AY15" s="3"/>
      <c r="AZ15" s="3"/>
      <c r="BA15" s="3"/>
      <c r="BB15" s="4"/>
      <c r="BC15" s="4"/>
      <c r="BD15" s="4"/>
      <c r="BE15" s="4"/>
      <c r="BF15" s="4"/>
      <c r="BG15" s="4"/>
      <c r="BH15" s="4"/>
      <c r="BI15" s="3"/>
      <c r="BJ15" s="3"/>
      <c r="BK15" s="3"/>
    </row>
    <row r="16" ht="25.5" customHeight="1">
      <c r="A16" s="15" t="s">
        <v>45</v>
      </c>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V16" s="3"/>
      <c r="AW16" s="3"/>
      <c r="AX16" s="3"/>
      <c r="AY16" s="3"/>
      <c r="AZ16" s="3"/>
      <c r="BA16" s="3"/>
      <c r="BB16" s="4"/>
      <c r="BC16" s="4"/>
      <c r="BD16" s="4"/>
      <c r="BE16" s="4"/>
      <c r="BF16" s="4"/>
      <c r="BG16" s="4"/>
      <c r="BH16" s="4"/>
      <c r="BI16" s="3"/>
      <c r="BJ16" s="3"/>
      <c r="BK16" s="3"/>
    </row>
    <row r="17" ht="25.5" customHeight="1">
      <c r="A17" s="13"/>
      <c r="C17" s="14"/>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V17" s="3"/>
      <c r="AW17" s="3"/>
      <c r="AX17" s="3"/>
      <c r="AY17" s="3"/>
      <c r="AZ17" s="3"/>
      <c r="BA17" s="3"/>
      <c r="BB17" s="4"/>
      <c r="BC17" s="4"/>
      <c r="BD17" s="4"/>
      <c r="BE17" s="4"/>
      <c r="BF17" s="4"/>
      <c r="BG17" s="4"/>
      <c r="BH17" s="4"/>
      <c r="BI17" s="3"/>
      <c r="BJ17" s="3"/>
      <c r="BK17" s="3"/>
    </row>
    <row r="18" ht="21.0" customHeight="1">
      <c r="A18" s="16" t="s">
        <v>4</v>
      </c>
      <c r="C18" s="18">
        <f>COUNTA(B30:B69)</f>
        <v>29</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V18" s="3"/>
      <c r="AW18" s="3"/>
      <c r="AX18" s="3"/>
      <c r="AY18" s="3"/>
      <c r="AZ18" s="3"/>
      <c r="BA18" s="3"/>
      <c r="BB18" s="4"/>
      <c r="BC18" s="4"/>
      <c r="BD18" s="4"/>
      <c r="BE18" s="4"/>
      <c r="BF18" s="4"/>
      <c r="BG18" s="4"/>
      <c r="BH18" s="4"/>
      <c r="BI18" s="3"/>
      <c r="BJ18" s="3"/>
      <c r="BK18" s="3"/>
    </row>
    <row r="19" ht="21.75" customHeight="1">
      <c r="A19" s="16" t="s">
        <v>5</v>
      </c>
      <c r="C19" s="18">
        <f>SUMPRODUCT(LEN(D30:D69) - LEN(SUBSTITUTE(SUBSTITUTE(SUBSTITUTE(SUBSTITUTE(SUBSTITUTE(D30:D69,"A",""),"B",""),"C",""),"D",""),"X","")))</f>
        <v>28</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V19" s="3"/>
      <c r="AW19" s="3"/>
      <c r="AX19" s="3"/>
      <c r="AY19" s="3"/>
      <c r="AZ19" s="3"/>
      <c r="BA19" s="3"/>
      <c r="BB19" s="4"/>
      <c r="BC19" s="4"/>
      <c r="BD19" s="4"/>
      <c r="BE19" s="4"/>
      <c r="BF19" s="4"/>
      <c r="BG19" s="4"/>
      <c r="BH19" s="4"/>
      <c r="BI19" s="3"/>
      <c r="BJ19" s="3"/>
      <c r="BK19" s="3"/>
    </row>
    <row r="20" ht="21.0" customHeight="1">
      <c r="A20" s="16" t="s">
        <v>6</v>
      </c>
      <c r="C20" s="18">
        <f>COUNTIF(D30:D69,"F")</f>
        <v>1</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V20" s="3"/>
      <c r="AW20" s="3"/>
      <c r="AX20" s="3"/>
      <c r="AY20" s="3"/>
      <c r="AZ20" s="3"/>
      <c r="BA20" s="3"/>
      <c r="BB20" s="4"/>
      <c r="BC20" s="4"/>
      <c r="BD20" s="4"/>
      <c r="BE20" s="4"/>
      <c r="BF20" s="4"/>
      <c r="BG20" s="4"/>
      <c r="BH20" s="4"/>
      <c r="BI20" s="3"/>
      <c r="BJ20" s="3"/>
      <c r="BK20" s="3"/>
    </row>
    <row r="21" ht="24.0" customHeight="1">
      <c r="A21" s="16" t="s">
        <v>7</v>
      </c>
      <c r="C21" s="18">
        <f>COUNTIF(C30:C69,"SIM")</f>
        <v>1</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V21" s="3"/>
      <c r="AW21" s="3"/>
      <c r="AX21" s="3"/>
      <c r="AY21" s="3"/>
      <c r="AZ21" s="3"/>
      <c r="BA21" s="3"/>
      <c r="BB21" s="4"/>
      <c r="BC21" s="4"/>
      <c r="BD21" s="4"/>
      <c r="BE21" s="4"/>
      <c r="BF21" s="4"/>
      <c r="BG21" s="4"/>
      <c r="BH21" s="4"/>
      <c r="BI21" s="3"/>
      <c r="BJ21" s="3"/>
      <c r="BK21" s="3"/>
    </row>
    <row r="22" ht="24.0" customHeight="1">
      <c r="A22" s="16"/>
      <c r="B22" s="19"/>
      <c r="C22" s="21"/>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V22" s="3"/>
      <c r="AW22" s="3"/>
      <c r="AX22" s="3"/>
      <c r="AY22" s="3"/>
      <c r="AZ22" s="3"/>
      <c r="BA22" s="3"/>
      <c r="BB22" s="4"/>
      <c r="BC22" s="4"/>
      <c r="BD22" s="4"/>
      <c r="BE22" s="4"/>
      <c r="BF22" s="4"/>
      <c r="BG22" s="4"/>
      <c r="BH22" s="4"/>
      <c r="BI22" s="3"/>
      <c r="BJ22" s="3"/>
      <c r="BK22" s="3"/>
    </row>
    <row r="23" ht="42.0" customHeight="1">
      <c r="A23" s="22" t="s">
        <v>8</v>
      </c>
      <c r="B23" s="23"/>
      <c r="C23" s="24"/>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V23" s="3"/>
      <c r="AW23" s="3"/>
      <c r="AX23" s="3"/>
      <c r="AY23" s="3"/>
      <c r="AZ23" s="3"/>
      <c r="BA23" s="3"/>
      <c r="BB23" s="4"/>
      <c r="BC23" s="4"/>
      <c r="BD23" s="4"/>
      <c r="BE23" s="4"/>
      <c r="BF23" s="4"/>
      <c r="BG23" s="4"/>
      <c r="BH23" s="4"/>
      <c r="BI23" s="3"/>
      <c r="BJ23" s="3"/>
      <c r="BK23" s="3"/>
    </row>
    <row r="24" ht="36.0"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V24" s="3"/>
      <c r="AW24" s="3"/>
      <c r="AX24" s="3"/>
      <c r="AY24" s="3"/>
      <c r="AZ24" s="3"/>
      <c r="BA24" s="3"/>
      <c r="BB24" s="4"/>
      <c r="BC24" s="4"/>
      <c r="BD24" s="4"/>
      <c r="BE24" s="4"/>
      <c r="BF24" s="4"/>
      <c r="BG24" s="4"/>
      <c r="BH24" s="4"/>
      <c r="BI24" s="3"/>
      <c r="BJ24" s="3"/>
      <c r="BK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41"/>
      <c r="BC25" s="236"/>
      <c r="BD25" s="342" t="s">
        <v>155</v>
      </c>
      <c r="BJ25" s="3"/>
      <c r="BK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344"/>
      <c r="Y26" s="345" t="s">
        <v>17</v>
      </c>
      <c r="Z26" s="29"/>
      <c r="AA26" s="29"/>
      <c r="AB26" s="29"/>
      <c r="AC26" s="29"/>
      <c r="AD26" s="29"/>
      <c r="AE26" s="29"/>
      <c r="AF26" s="29"/>
      <c r="AG26" s="29"/>
      <c r="AH26" s="29"/>
      <c r="AI26" s="29"/>
      <c r="AJ26" s="29"/>
      <c r="AK26" s="29"/>
      <c r="AL26" s="29"/>
      <c r="AM26" s="29"/>
      <c r="AN26" s="29"/>
      <c r="AO26" s="29"/>
      <c r="AP26" s="29"/>
      <c r="AQ26" s="29"/>
      <c r="AR26" s="29"/>
      <c r="AS26" s="29"/>
      <c r="AT26" s="41"/>
      <c r="AV26" s="346" t="s">
        <v>89</v>
      </c>
      <c r="BC26" s="347"/>
      <c r="BD26" s="348" t="s">
        <v>158</v>
      </c>
      <c r="BF26" s="349"/>
      <c r="BG26" s="350" t="s">
        <v>17</v>
      </c>
      <c r="BJ26" s="3"/>
      <c r="BK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9" t="s">
        <v>38</v>
      </c>
      <c r="Y27" s="50" t="s">
        <v>159</v>
      </c>
      <c r="Z27" s="51" t="s">
        <v>19</v>
      </c>
      <c r="AA27" s="51" t="s">
        <v>20</v>
      </c>
      <c r="AB27" s="51" t="s">
        <v>21</v>
      </c>
      <c r="AC27" s="51" t="s">
        <v>22</v>
      </c>
      <c r="AD27" s="51" t="s">
        <v>23</v>
      </c>
      <c r="AE27" s="51" t="s">
        <v>24</v>
      </c>
      <c r="AF27" s="51" t="s">
        <v>25</v>
      </c>
      <c r="AG27" s="51" t="s">
        <v>26</v>
      </c>
      <c r="AH27" s="51" t="s">
        <v>27</v>
      </c>
      <c r="AI27" s="51" t="s">
        <v>28</v>
      </c>
      <c r="AJ27" s="51" t="s">
        <v>29</v>
      </c>
      <c r="AK27" s="51" t="s">
        <v>30</v>
      </c>
      <c r="AL27" s="51" t="s">
        <v>31</v>
      </c>
      <c r="AM27" s="51" t="s">
        <v>32</v>
      </c>
      <c r="AN27" s="51" t="s">
        <v>33</v>
      </c>
      <c r="AO27" s="51" t="s">
        <v>34</v>
      </c>
      <c r="AP27" s="51" t="s">
        <v>35</v>
      </c>
      <c r="AQ27" s="51" t="s">
        <v>36</v>
      </c>
      <c r="AR27" s="51" t="s">
        <v>37</v>
      </c>
      <c r="AS27" s="51" t="s">
        <v>38</v>
      </c>
      <c r="AT27" s="51" t="s">
        <v>40</v>
      </c>
      <c r="AV27" s="351" t="s">
        <v>160</v>
      </c>
      <c r="AW27" s="351" t="s">
        <v>161</v>
      </c>
      <c r="AX27" s="351" t="s">
        <v>162</v>
      </c>
      <c r="AY27" s="351" t="s">
        <v>163</v>
      </c>
      <c r="AZ27" s="351" t="s">
        <v>164</v>
      </c>
      <c r="BA27" s="352" t="s">
        <v>165</v>
      </c>
      <c r="BB27" s="353" t="s">
        <v>90</v>
      </c>
      <c r="BC27" s="354"/>
      <c r="BD27" s="355" t="s">
        <v>166</v>
      </c>
      <c r="BE27" s="355" t="s">
        <v>167</v>
      </c>
      <c r="BF27" s="356" t="s">
        <v>168</v>
      </c>
      <c r="BG27" s="357" t="s">
        <v>166</v>
      </c>
      <c r="BH27" s="358" t="s">
        <v>167</v>
      </c>
      <c r="BI27" s="359" t="s">
        <v>168</v>
      </c>
      <c r="BJ27" s="360"/>
      <c r="BK27" s="360"/>
    </row>
    <row r="28" ht="19.5" hidden="1" customHeight="1">
      <c r="A28" s="47"/>
      <c r="B28" s="14"/>
      <c r="C28" s="14"/>
      <c r="D28" s="60">
        <v>18.0</v>
      </c>
      <c r="E28" s="60">
        <v>9.0</v>
      </c>
      <c r="F28" s="60">
        <v>0.0</v>
      </c>
      <c r="G28" s="60">
        <v>36.0</v>
      </c>
      <c r="H28" s="60">
        <v>36.0</v>
      </c>
      <c r="I28" s="60">
        <v>36.0</v>
      </c>
      <c r="J28" s="60">
        <v>18.0</v>
      </c>
      <c r="K28" s="60">
        <v>18.0</v>
      </c>
      <c r="L28" s="60">
        <v>36.0</v>
      </c>
      <c r="M28" s="60">
        <v>36.0</v>
      </c>
      <c r="N28" s="60">
        <v>36.0</v>
      </c>
      <c r="O28" s="60">
        <v>36.0</v>
      </c>
      <c r="P28" s="60">
        <v>36.0</v>
      </c>
      <c r="Q28" s="60">
        <v>9.0</v>
      </c>
      <c r="R28" s="60">
        <v>18.0</v>
      </c>
      <c r="S28" s="60">
        <v>36.0</v>
      </c>
      <c r="T28" s="60">
        <v>36.0</v>
      </c>
      <c r="U28" s="60">
        <v>9.0</v>
      </c>
      <c r="V28" s="60">
        <v>0.0</v>
      </c>
      <c r="W28" s="60">
        <v>36.0</v>
      </c>
      <c r="X28" s="61">
        <v>0.0</v>
      </c>
      <c r="Y28" s="62">
        <v>25.0</v>
      </c>
      <c r="Z28" s="62">
        <v>25.0</v>
      </c>
      <c r="AA28" s="62">
        <v>25.0</v>
      </c>
      <c r="AB28" s="62">
        <v>25.0</v>
      </c>
      <c r="AC28" s="63">
        <v>16.0</v>
      </c>
      <c r="AD28" s="63">
        <v>25.0</v>
      </c>
      <c r="AE28" s="63">
        <v>8.0</v>
      </c>
      <c r="AF28" s="63">
        <v>25.0</v>
      </c>
      <c r="AG28" s="63">
        <v>25.0</v>
      </c>
      <c r="AH28" s="63">
        <v>16.0</v>
      </c>
      <c r="AI28" s="63">
        <v>25.0</v>
      </c>
      <c r="AJ28" s="63">
        <v>25.0</v>
      </c>
      <c r="AK28" s="63">
        <v>25.0</v>
      </c>
      <c r="AL28" s="63">
        <v>25.0</v>
      </c>
      <c r="AM28" s="63">
        <v>25.0</v>
      </c>
      <c r="AN28" s="63">
        <v>25.0</v>
      </c>
      <c r="AO28" s="63">
        <v>16.0</v>
      </c>
      <c r="AP28" s="63">
        <v>25.0</v>
      </c>
      <c r="AQ28" s="63">
        <v>25.0</v>
      </c>
      <c r="AR28" s="63">
        <v>25.0</v>
      </c>
      <c r="AS28" s="63">
        <v>25.0</v>
      </c>
      <c r="AT28" s="63">
        <v>25.0</v>
      </c>
      <c r="AV28" s="47"/>
      <c r="AW28" s="47"/>
      <c r="AX28" s="47"/>
      <c r="AY28" s="47"/>
      <c r="AZ28" s="47"/>
      <c r="BA28" s="47"/>
      <c r="BB28" s="47"/>
      <c r="BC28" s="354"/>
      <c r="BD28" s="47"/>
      <c r="BE28" s="47"/>
      <c r="BF28" s="361"/>
      <c r="BG28" s="14"/>
      <c r="BH28" s="47"/>
      <c r="BI28" s="47"/>
      <c r="BJ28" s="360"/>
      <c r="BK28" s="360"/>
    </row>
    <row r="29" ht="19.5" customHeight="1">
      <c r="A29" s="65"/>
      <c r="B29" s="24"/>
      <c r="C29" s="24"/>
      <c r="D29" s="66" t="s">
        <v>41</v>
      </c>
      <c r="E29" s="66" t="s">
        <v>41</v>
      </c>
      <c r="F29" s="66" t="s">
        <v>41</v>
      </c>
      <c r="G29" s="66" t="s">
        <v>42</v>
      </c>
      <c r="H29" s="66" t="s">
        <v>42</v>
      </c>
      <c r="I29" s="66" t="s">
        <v>43</v>
      </c>
      <c r="J29" s="66" t="s">
        <v>42</v>
      </c>
      <c r="K29" s="66" t="s">
        <v>42</v>
      </c>
      <c r="L29" s="66" t="s">
        <v>44</v>
      </c>
      <c r="M29" s="66" t="s">
        <v>42</v>
      </c>
      <c r="N29" s="66" t="s">
        <v>41</v>
      </c>
      <c r="O29" s="66" t="s">
        <v>41</v>
      </c>
      <c r="P29" s="66" t="s">
        <v>44</v>
      </c>
      <c r="Q29" s="66" t="s">
        <v>42</v>
      </c>
      <c r="R29" s="66" t="s">
        <v>43</v>
      </c>
      <c r="S29" s="66" t="s">
        <v>44</v>
      </c>
      <c r="T29" s="66" t="s">
        <v>44</v>
      </c>
      <c r="U29" s="66" t="s">
        <v>44</v>
      </c>
      <c r="V29" s="66" t="s">
        <v>41</v>
      </c>
      <c r="W29" s="66" t="s">
        <v>43</v>
      </c>
      <c r="X29" s="246" t="s">
        <v>42</v>
      </c>
      <c r="Y29" s="68" t="s">
        <v>44</v>
      </c>
      <c r="Z29" s="69" t="s">
        <v>43</v>
      </c>
      <c r="AA29" s="69" t="s">
        <v>41</v>
      </c>
      <c r="AB29" s="69" t="s">
        <v>43</v>
      </c>
      <c r="AC29" s="69" t="s">
        <v>41</v>
      </c>
      <c r="AD29" s="69" t="s">
        <v>41</v>
      </c>
      <c r="AE29" s="69" t="s">
        <v>42</v>
      </c>
      <c r="AF29" s="69" t="s">
        <v>44</v>
      </c>
      <c r="AG29" s="69" t="s">
        <v>43</v>
      </c>
      <c r="AH29" s="69" t="s">
        <v>44</v>
      </c>
      <c r="AI29" s="69" t="s">
        <v>41</v>
      </c>
      <c r="AJ29" s="69" t="s">
        <v>42</v>
      </c>
      <c r="AK29" s="69" t="s">
        <v>43</v>
      </c>
      <c r="AL29" s="69" t="s">
        <v>42</v>
      </c>
      <c r="AM29" s="69" t="s">
        <v>41</v>
      </c>
      <c r="AN29" s="69" t="s">
        <v>44</v>
      </c>
      <c r="AO29" s="69" t="s">
        <v>42</v>
      </c>
      <c r="AP29" s="69" t="s">
        <v>43</v>
      </c>
      <c r="AQ29" s="69" t="s">
        <v>44</v>
      </c>
      <c r="AR29" s="69" t="s">
        <v>41</v>
      </c>
      <c r="AS29" s="69" t="s">
        <v>41</v>
      </c>
      <c r="AT29" s="69" t="s">
        <v>42</v>
      </c>
      <c r="AV29" s="65"/>
      <c r="AW29" s="65"/>
      <c r="AX29" s="65"/>
      <c r="AY29" s="65"/>
      <c r="AZ29" s="65"/>
      <c r="BA29" s="65"/>
      <c r="BB29" s="65"/>
      <c r="BC29" s="354"/>
      <c r="BD29" s="65"/>
      <c r="BE29" s="65"/>
      <c r="BF29" s="362"/>
      <c r="BG29" s="24"/>
      <c r="BH29" s="65"/>
      <c r="BI29" s="65"/>
      <c r="BJ29" s="360"/>
      <c r="BK29" s="360"/>
    </row>
    <row r="30" ht="15.75" customHeight="1">
      <c r="A30" s="82">
        <v>1.0</v>
      </c>
      <c r="B30" s="71" t="s">
        <v>169</v>
      </c>
      <c r="C30" s="363" t="s">
        <v>170</v>
      </c>
      <c r="D30" s="364" t="s">
        <v>41</v>
      </c>
      <c r="E30" s="365" t="s">
        <v>42</v>
      </c>
      <c r="F30" s="365" t="s">
        <v>41</v>
      </c>
      <c r="G30" s="365" t="s">
        <v>42</v>
      </c>
      <c r="H30" s="365" t="s">
        <v>44</v>
      </c>
      <c r="I30" s="365" t="s">
        <v>43</v>
      </c>
      <c r="J30" s="365" t="s">
        <v>44</v>
      </c>
      <c r="K30" s="365" t="s">
        <v>42</v>
      </c>
      <c r="L30" s="365" t="s">
        <v>42</v>
      </c>
      <c r="M30" s="365" t="s">
        <v>41</v>
      </c>
      <c r="N30" s="365" t="s">
        <v>41</v>
      </c>
      <c r="O30" s="365" t="s">
        <v>43</v>
      </c>
      <c r="P30" s="365" t="s">
        <v>44</v>
      </c>
      <c r="Q30" s="365" t="s">
        <v>42</v>
      </c>
      <c r="R30" s="365" t="s">
        <v>41</v>
      </c>
      <c r="S30" s="365" t="s">
        <v>44</v>
      </c>
      <c r="T30" s="365" t="s">
        <v>44</v>
      </c>
      <c r="U30" s="365" t="s">
        <v>44</v>
      </c>
      <c r="V30" s="365" t="s">
        <v>42</v>
      </c>
      <c r="W30" s="365" t="s">
        <v>41</v>
      </c>
      <c r="X30" s="366" t="s">
        <v>42</v>
      </c>
      <c r="Y30" s="367" t="s">
        <v>44</v>
      </c>
      <c r="Z30" s="365" t="s">
        <v>43</v>
      </c>
      <c r="AA30" s="365" t="s">
        <v>42</v>
      </c>
      <c r="AB30" s="365" t="s">
        <v>43</v>
      </c>
      <c r="AC30" s="365" t="s">
        <v>41</v>
      </c>
      <c r="AD30" s="365" t="s">
        <v>41</v>
      </c>
      <c r="AE30" s="365" t="s">
        <v>44</v>
      </c>
      <c r="AF30" s="365" t="s">
        <v>44</v>
      </c>
      <c r="AG30" s="365" t="s">
        <v>44</v>
      </c>
      <c r="AH30" s="365" t="s">
        <v>44</v>
      </c>
      <c r="AI30" s="365" t="s">
        <v>43</v>
      </c>
      <c r="AJ30" s="365" t="s">
        <v>42</v>
      </c>
      <c r="AK30" s="365" t="s">
        <v>43</v>
      </c>
      <c r="AL30" s="365" t="s">
        <v>42</v>
      </c>
      <c r="AM30" s="365" t="s">
        <v>41</v>
      </c>
      <c r="AN30" s="365" t="s">
        <v>44</v>
      </c>
      <c r="AO30" s="365" t="s">
        <v>42</v>
      </c>
      <c r="AP30" s="365" t="s">
        <v>41</v>
      </c>
      <c r="AQ30" s="365" t="s">
        <v>44</v>
      </c>
      <c r="AR30" s="365" t="s">
        <v>43</v>
      </c>
      <c r="AS30" s="365" t="s">
        <v>41</v>
      </c>
      <c r="AT30" s="365" t="s">
        <v>41</v>
      </c>
      <c r="AU30" s="368"/>
      <c r="AV30" s="369" t="s">
        <v>44</v>
      </c>
      <c r="AW30" s="370">
        <v>3.0</v>
      </c>
      <c r="AX30" s="370">
        <v>2.0</v>
      </c>
      <c r="AY30" s="370">
        <v>2.0</v>
      </c>
      <c r="AZ30" s="370">
        <v>2.0</v>
      </c>
      <c r="BA30" s="371">
        <f t="shared" ref="BA30:BA58" si="1">(100/16)*((SUM(AW30:AZ30)))</f>
        <v>56.25</v>
      </c>
      <c r="BB30" s="372" t="str">
        <f t="shared" ref="BB30:BB58" si="2">IF((SUM(BA30))&lt;=25, "Abaixo do Básico", IF((SUM(BA30))&lt;=50, "Básico", IF((SUM(BA30))&lt;=75, "Adequado", "Avançado")))</f>
        <v>Adequado</v>
      </c>
      <c r="BC30" s="373"/>
      <c r="BD30" s="374">
        <f t="shared" ref="BD30:BD58" si="3">SUMPRODUCT(--(D30:X30=D$29:X$29))</f>
        <v>12</v>
      </c>
      <c r="BE30" s="374">
        <f t="shared" ref="BE30:BE58" si="4">SUMPRODUCT((D30:X30=D$29:X$29)*D$28:X$28)</f>
        <v>270</v>
      </c>
      <c r="BF30" s="375" t="str">
        <f t="shared" ref="BF30:BF58" si="5">IF((SUM(BE30))&lt;=125, "Abaixo do Básico", IF((SUM(BE30))&lt;=250, "Básico", IF((SUM(BE30))&lt;=375, "Adequado", "Avançado")))</f>
        <v>Adequado</v>
      </c>
      <c r="BG30" s="376">
        <f t="shared" ref="BG30:BG58" si="6">SUMPRODUCT(--(Y30:AT30=Y$29:AT$29))</f>
        <v>15</v>
      </c>
      <c r="BH30" s="374">
        <f t="shared" ref="BH30:BH58" si="7">SUMPRODUCT((Y30:AT30=Y$29:AT$29)*Y$28:AT$28)</f>
        <v>348</v>
      </c>
      <c r="BI30" s="377" t="str">
        <f t="shared" ref="BI30:BI58" si="8">IF((SUM(BH30))&lt;=125, "Abaixo do Básico", IF((SUM(BH30))&lt;=250, "Básico", IF((SUM(BH30))&lt;=375, "Adequado", "Avançado")))</f>
        <v>Adequado</v>
      </c>
      <c r="BJ30" s="25"/>
      <c r="BK30" s="25"/>
    </row>
    <row r="31" ht="15.75" customHeight="1">
      <c r="A31" s="82">
        <v>2.0</v>
      </c>
      <c r="B31" s="378" t="s">
        <v>171</v>
      </c>
      <c r="C31" s="363" t="s">
        <v>170</v>
      </c>
      <c r="D31" s="379" t="s">
        <v>41</v>
      </c>
      <c r="E31" s="365" t="s">
        <v>41</v>
      </c>
      <c r="F31" s="365" t="s">
        <v>41</v>
      </c>
      <c r="G31" s="365" t="s">
        <v>42</v>
      </c>
      <c r="H31" s="365" t="s">
        <v>42</v>
      </c>
      <c r="I31" s="365" t="s">
        <v>43</v>
      </c>
      <c r="J31" s="365" t="s">
        <v>42</v>
      </c>
      <c r="K31" s="365" t="s">
        <v>43</v>
      </c>
      <c r="L31" s="365" t="s">
        <v>44</v>
      </c>
      <c r="M31" s="365" t="s">
        <v>41</v>
      </c>
      <c r="N31" s="365" t="s">
        <v>41</v>
      </c>
      <c r="O31" s="365" t="s">
        <v>43</v>
      </c>
      <c r="P31" s="365" t="s">
        <v>44</v>
      </c>
      <c r="Q31" s="365" t="s">
        <v>42</v>
      </c>
      <c r="R31" s="365" t="s">
        <v>44</v>
      </c>
      <c r="S31" s="365" t="s">
        <v>44</v>
      </c>
      <c r="T31" s="365" t="s">
        <v>44</v>
      </c>
      <c r="U31" s="365" t="s">
        <v>44</v>
      </c>
      <c r="V31" s="365" t="s">
        <v>41</v>
      </c>
      <c r="W31" s="365" t="s">
        <v>43</v>
      </c>
      <c r="X31" s="366" t="s">
        <v>42</v>
      </c>
      <c r="Y31" s="367" t="s">
        <v>41</v>
      </c>
      <c r="Z31" s="365" t="s">
        <v>41</v>
      </c>
      <c r="AA31" s="365" t="s">
        <v>41</v>
      </c>
      <c r="AB31" s="365" t="s">
        <v>42</v>
      </c>
      <c r="AC31" s="365" t="s">
        <v>42</v>
      </c>
      <c r="AD31" s="365" t="s">
        <v>43</v>
      </c>
      <c r="AE31" s="365" t="s">
        <v>42</v>
      </c>
      <c r="AF31" s="365" t="s">
        <v>43</v>
      </c>
      <c r="AG31" s="365" t="s">
        <v>44</v>
      </c>
      <c r="AH31" s="365" t="s">
        <v>41</v>
      </c>
      <c r="AI31" s="365" t="s">
        <v>41</v>
      </c>
      <c r="AJ31" s="365" t="s">
        <v>43</v>
      </c>
      <c r="AK31" s="365" t="s">
        <v>44</v>
      </c>
      <c r="AL31" s="365" t="s">
        <v>42</v>
      </c>
      <c r="AM31" s="365" t="s">
        <v>44</v>
      </c>
      <c r="AN31" s="365" t="s">
        <v>44</v>
      </c>
      <c r="AO31" s="365" t="s">
        <v>44</v>
      </c>
      <c r="AP31" s="365" t="s">
        <v>44</v>
      </c>
      <c r="AQ31" s="365" t="s">
        <v>41</v>
      </c>
      <c r="AR31" s="365" t="s">
        <v>43</v>
      </c>
      <c r="AS31" s="365" t="s">
        <v>42</v>
      </c>
      <c r="AT31" s="365" t="s">
        <v>172</v>
      </c>
      <c r="AU31" s="368"/>
      <c r="AV31" s="369" t="s">
        <v>41</v>
      </c>
      <c r="AW31" s="370" t="s">
        <v>173</v>
      </c>
      <c r="AX31" s="370" t="s">
        <v>173</v>
      </c>
      <c r="AY31" s="370" t="s">
        <v>173</v>
      </c>
      <c r="AZ31" s="370" t="s">
        <v>173</v>
      </c>
      <c r="BA31" s="371">
        <f t="shared" si="1"/>
        <v>0</v>
      </c>
      <c r="BB31" s="372" t="str">
        <f t="shared" si="2"/>
        <v>Abaixo do Básico</v>
      </c>
      <c r="BC31" s="373"/>
      <c r="BD31" s="374">
        <f t="shared" si="3"/>
        <v>17</v>
      </c>
      <c r="BE31" s="374">
        <f t="shared" si="4"/>
        <v>387</v>
      </c>
      <c r="BF31" s="375" t="str">
        <f t="shared" si="5"/>
        <v>Avançado</v>
      </c>
      <c r="BG31" s="376">
        <f t="shared" si="6"/>
        <v>5</v>
      </c>
      <c r="BH31" s="374">
        <f t="shared" si="7"/>
        <v>108</v>
      </c>
      <c r="BI31" s="377" t="str">
        <f t="shared" si="8"/>
        <v>Abaixo do Básico</v>
      </c>
      <c r="BJ31" s="25"/>
      <c r="BK31" s="25"/>
    </row>
    <row r="32" ht="15.75" customHeight="1">
      <c r="A32" s="82">
        <v>3.0</v>
      </c>
      <c r="B32" s="378" t="s">
        <v>174</v>
      </c>
      <c r="C32" s="363" t="s">
        <v>170</v>
      </c>
      <c r="D32" s="379" t="s">
        <v>42</v>
      </c>
      <c r="E32" s="365" t="s">
        <v>42</v>
      </c>
      <c r="F32" s="365" t="s">
        <v>41</v>
      </c>
      <c r="G32" s="365" t="s">
        <v>42</v>
      </c>
      <c r="H32" s="365" t="s">
        <v>42</v>
      </c>
      <c r="I32" s="365" t="s">
        <v>43</v>
      </c>
      <c r="J32" s="365" t="s">
        <v>42</v>
      </c>
      <c r="K32" s="365" t="s">
        <v>42</v>
      </c>
      <c r="L32" s="365" t="s">
        <v>44</v>
      </c>
      <c r="M32" s="365" t="s">
        <v>41</v>
      </c>
      <c r="N32" s="365" t="s">
        <v>41</v>
      </c>
      <c r="O32" s="365" t="s">
        <v>44</v>
      </c>
      <c r="P32" s="365" t="s">
        <v>42</v>
      </c>
      <c r="Q32" s="365" t="s">
        <v>42</v>
      </c>
      <c r="R32" s="365" t="s">
        <v>42</v>
      </c>
      <c r="S32" s="365" t="s">
        <v>44</v>
      </c>
      <c r="T32" s="365" t="s">
        <v>44</v>
      </c>
      <c r="U32" s="365" t="s">
        <v>44</v>
      </c>
      <c r="V32" s="365" t="s">
        <v>41</v>
      </c>
      <c r="W32" s="365" t="s">
        <v>43</v>
      </c>
      <c r="X32" s="366" t="s">
        <v>42</v>
      </c>
      <c r="Y32" s="367" t="s">
        <v>44</v>
      </c>
      <c r="Z32" s="365" t="s">
        <v>43</v>
      </c>
      <c r="AA32" s="365" t="s">
        <v>42</v>
      </c>
      <c r="AB32" s="365" t="s">
        <v>43</v>
      </c>
      <c r="AC32" s="365" t="s">
        <v>41</v>
      </c>
      <c r="AD32" s="365" t="s">
        <v>43</v>
      </c>
      <c r="AE32" s="365" t="s">
        <v>42</v>
      </c>
      <c r="AF32" s="365" t="s">
        <v>44</v>
      </c>
      <c r="AG32" s="365" t="s">
        <v>43</v>
      </c>
      <c r="AH32" s="365" t="s">
        <v>44</v>
      </c>
      <c r="AI32" s="365" t="s">
        <v>41</v>
      </c>
      <c r="AJ32" s="365" t="s">
        <v>42</v>
      </c>
      <c r="AK32" s="365" t="s">
        <v>43</v>
      </c>
      <c r="AL32" s="365" t="s">
        <v>42</v>
      </c>
      <c r="AM32" s="365" t="s">
        <v>41</v>
      </c>
      <c r="AN32" s="365" t="s">
        <v>43</v>
      </c>
      <c r="AO32" s="365" t="s">
        <v>42</v>
      </c>
      <c r="AP32" s="365" t="s">
        <v>41</v>
      </c>
      <c r="AQ32" s="365" t="s">
        <v>44</v>
      </c>
      <c r="AR32" s="365" t="s">
        <v>41</v>
      </c>
      <c r="AS32" s="365" t="s">
        <v>41</v>
      </c>
      <c r="AT32" s="365" t="s">
        <v>42</v>
      </c>
      <c r="AU32" s="368"/>
      <c r="AV32" s="369" t="s">
        <v>42</v>
      </c>
      <c r="AW32" s="370" t="s">
        <v>173</v>
      </c>
      <c r="AX32" s="370" t="s">
        <v>173</v>
      </c>
      <c r="AY32" s="370" t="s">
        <v>173</v>
      </c>
      <c r="AZ32" s="370" t="s">
        <v>173</v>
      </c>
      <c r="BA32" s="371">
        <f t="shared" si="1"/>
        <v>0</v>
      </c>
      <c r="BB32" s="372" t="str">
        <f t="shared" si="2"/>
        <v>Abaixo do Básico</v>
      </c>
      <c r="BC32" s="373"/>
      <c r="BD32" s="374">
        <f t="shared" si="3"/>
        <v>15</v>
      </c>
      <c r="BE32" s="374">
        <f t="shared" si="4"/>
        <v>342</v>
      </c>
      <c r="BF32" s="375" t="str">
        <f t="shared" si="5"/>
        <v>Adequado</v>
      </c>
      <c r="BG32" s="376">
        <f t="shared" si="6"/>
        <v>18</v>
      </c>
      <c r="BH32" s="374">
        <f t="shared" si="7"/>
        <v>406</v>
      </c>
      <c r="BI32" s="377" t="str">
        <f t="shared" si="8"/>
        <v>Avançado</v>
      </c>
      <c r="BJ32" s="25"/>
      <c r="BK32" s="25"/>
    </row>
    <row r="33" ht="15.75" customHeight="1">
      <c r="A33" s="82">
        <v>4.0</v>
      </c>
      <c r="B33" s="378" t="s">
        <v>175</v>
      </c>
      <c r="C33" s="363" t="s">
        <v>170</v>
      </c>
      <c r="D33" s="379" t="s">
        <v>42</v>
      </c>
      <c r="E33" s="365" t="s">
        <v>41</v>
      </c>
      <c r="F33" s="365" t="s">
        <v>41</v>
      </c>
      <c r="G33" s="365" t="s">
        <v>42</v>
      </c>
      <c r="H33" s="365" t="s">
        <v>42</v>
      </c>
      <c r="I33" s="365" t="s">
        <v>41</v>
      </c>
      <c r="J33" s="365" t="s">
        <v>41</v>
      </c>
      <c r="K33" s="365" t="s">
        <v>42</v>
      </c>
      <c r="L33" s="365" t="s">
        <v>43</v>
      </c>
      <c r="M33" s="365" t="s">
        <v>44</v>
      </c>
      <c r="N33" s="365" t="s">
        <v>41</v>
      </c>
      <c r="O33" s="365" t="s">
        <v>43</v>
      </c>
      <c r="P33" s="365" t="s">
        <v>41</v>
      </c>
      <c r="Q33" s="365" t="s">
        <v>42</v>
      </c>
      <c r="R33" s="365" t="s">
        <v>42</v>
      </c>
      <c r="S33" s="365" t="s">
        <v>44</v>
      </c>
      <c r="T33" s="365" t="s">
        <v>44</v>
      </c>
      <c r="U33" s="365" t="s">
        <v>44</v>
      </c>
      <c r="V33" s="365" t="s">
        <v>41</v>
      </c>
      <c r="W33" s="365" t="s">
        <v>41</v>
      </c>
      <c r="X33" s="366" t="s">
        <v>42</v>
      </c>
      <c r="Y33" s="367" t="s">
        <v>44</v>
      </c>
      <c r="Z33" s="365" t="s">
        <v>43</v>
      </c>
      <c r="AA33" s="365" t="s">
        <v>42</v>
      </c>
      <c r="AB33" s="365" t="s">
        <v>43</v>
      </c>
      <c r="AC33" s="365" t="s">
        <v>41</v>
      </c>
      <c r="AD33" s="365" t="s">
        <v>41</v>
      </c>
      <c r="AE33" s="365" t="s">
        <v>42</v>
      </c>
      <c r="AF33" s="365" t="s">
        <v>44</v>
      </c>
      <c r="AG33" s="365" t="s">
        <v>43</v>
      </c>
      <c r="AH33" s="365" t="s">
        <v>44</v>
      </c>
      <c r="AI33" s="365" t="s">
        <v>43</v>
      </c>
      <c r="AJ33" s="365" t="s">
        <v>42</v>
      </c>
      <c r="AK33" s="365" t="s">
        <v>43</v>
      </c>
      <c r="AL33" s="365" t="s">
        <v>42</v>
      </c>
      <c r="AM33" s="365" t="s">
        <v>44</v>
      </c>
      <c r="AN33" s="365" t="s">
        <v>44</v>
      </c>
      <c r="AO33" s="365" t="s">
        <v>42</v>
      </c>
      <c r="AP33" s="365" t="s">
        <v>41</v>
      </c>
      <c r="AQ33" s="365" t="s">
        <v>43</v>
      </c>
      <c r="AR33" s="365" t="s">
        <v>41</v>
      </c>
      <c r="AS33" s="365" t="s">
        <v>41</v>
      </c>
      <c r="AT33" s="365" t="s">
        <v>44</v>
      </c>
      <c r="AU33" s="368"/>
      <c r="AV33" s="369" t="s">
        <v>44</v>
      </c>
      <c r="AW33" s="370">
        <v>3.0</v>
      </c>
      <c r="AX33" s="370">
        <v>2.0</v>
      </c>
      <c r="AY33" s="370">
        <v>2.0</v>
      </c>
      <c r="AZ33" s="370">
        <v>2.0</v>
      </c>
      <c r="BA33" s="371">
        <f t="shared" si="1"/>
        <v>56.25</v>
      </c>
      <c r="BB33" s="372" t="str">
        <f t="shared" si="2"/>
        <v>Adequado</v>
      </c>
      <c r="BC33" s="373"/>
      <c r="BD33" s="374">
        <f t="shared" si="3"/>
        <v>12</v>
      </c>
      <c r="BE33" s="374">
        <f t="shared" si="4"/>
        <v>225</v>
      </c>
      <c r="BF33" s="375" t="str">
        <f t="shared" si="5"/>
        <v>Básico</v>
      </c>
      <c r="BG33" s="376">
        <f t="shared" si="6"/>
        <v>16</v>
      </c>
      <c r="BH33" s="374">
        <f t="shared" si="7"/>
        <v>356</v>
      </c>
      <c r="BI33" s="377" t="str">
        <f t="shared" si="8"/>
        <v>Adequado</v>
      </c>
      <c r="BJ33" s="25"/>
      <c r="BK33" s="25"/>
    </row>
    <row r="34" ht="15.75" customHeight="1">
      <c r="A34" s="82">
        <v>5.0</v>
      </c>
      <c r="B34" s="378" t="s">
        <v>176</v>
      </c>
      <c r="C34" s="363" t="s">
        <v>170</v>
      </c>
      <c r="D34" s="379" t="s">
        <v>43</v>
      </c>
      <c r="E34" s="365" t="s">
        <v>44</v>
      </c>
      <c r="F34" s="365" t="s">
        <v>44</v>
      </c>
      <c r="G34" s="365" t="s">
        <v>42</v>
      </c>
      <c r="H34" s="365" t="s">
        <v>42</v>
      </c>
      <c r="I34" s="365" t="s">
        <v>43</v>
      </c>
      <c r="J34" s="365" t="s">
        <v>43</v>
      </c>
      <c r="K34" s="365" t="s">
        <v>42</v>
      </c>
      <c r="L34" s="365" t="s">
        <v>44</v>
      </c>
      <c r="M34" s="365" t="s">
        <v>43</v>
      </c>
      <c r="N34" s="365" t="s">
        <v>41</v>
      </c>
      <c r="O34" s="365" t="s">
        <v>43</v>
      </c>
      <c r="P34" s="365" t="s">
        <v>44</v>
      </c>
      <c r="Q34" s="365" t="s">
        <v>42</v>
      </c>
      <c r="R34" s="365" t="s">
        <v>42</v>
      </c>
      <c r="S34" s="365" t="s">
        <v>41</v>
      </c>
      <c r="T34" s="365" t="s">
        <v>44</v>
      </c>
      <c r="U34" s="365" t="s">
        <v>44</v>
      </c>
      <c r="V34" s="365" t="s">
        <v>41</v>
      </c>
      <c r="W34" s="365" t="s">
        <v>43</v>
      </c>
      <c r="X34" s="366" t="s">
        <v>43</v>
      </c>
      <c r="Y34" s="367" t="s">
        <v>44</v>
      </c>
      <c r="Z34" s="365" t="s">
        <v>43</v>
      </c>
      <c r="AA34" s="365" t="s">
        <v>42</v>
      </c>
      <c r="AB34" s="365" t="s">
        <v>43</v>
      </c>
      <c r="AC34" s="365" t="s">
        <v>41</v>
      </c>
      <c r="AD34" s="365" t="s">
        <v>44</v>
      </c>
      <c r="AE34" s="365" t="s">
        <v>42</v>
      </c>
      <c r="AF34" s="365" t="s">
        <v>44</v>
      </c>
      <c r="AG34" s="365" t="s">
        <v>41</v>
      </c>
      <c r="AH34" s="365" t="s">
        <v>44</v>
      </c>
      <c r="AI34" s="365" t="s">
        <v>41</v>
      </c>
      <c r="AJ34" s="365" t="s">
        <v>42</v>
      </c>
      <c r="AK34" s="365" t="s">
        <v>43</v>
      </c>
      <c r="AL34" s="365" t="s">
        <v>42</v>
      </c>
      <c r="AM34" s="365" t="s">
        <v>41</v>
      </c>
      <c r="AN34" s="365" t="s">
        <v>41</v>
      </c>
      <c r="AO34" s="365" t="s">
        <v>42</v>
      </c>
      <c r="AP34" s="365" t="s">
        <v>41</v>
      </c>
      <c r="AQ34" s="365" t="s">
        <v>44</v>
      </c>
      <c r="AR34" s="365" t="s">
        <v>41</v>
      </c>
      <c r="AS34" s="365" t="s">
        <v>41</v>
      </c>
      <c r="AT34" s="365" t="s">
        <v>42</v>
      </c>
      <c r="AU34" s="368"/>
      <c r="AV34" s="369" t="s">
        <v>44</v>
      </c>
      <c r="AW34" s="370">
        <v>3.0</v>
      </c>
      <c r="AX34" s="370">
        <v>3.0</v>
      </c>
      <c r="AY34" s="370">
        <v>3.0</v>
      </c>
      <c r="AZ34" s="370">
        <v>3.0</v>
      </c>
      <c r="BA34" s="371">
        <f t="shared" si="1"/>
        <v>75</v>
      </c>
      <c r="BB34" s="372" t="str">
        <f t="shared" si="2"/>
        <v>Adequado</v>
      </c>
      <c r="BC34" s="373"/>
      <c r="BD34" s="374">
        <f t="shared" si="3"/>
        <v>12</v>
      </c>
      <c r="BE34" s="374">
        <f t="shared" si="4"/>
        <v>324</v>
      </c>
      <c r="BF34" s="375" t="str">
        <f t="shared" si="5"/>
        <v>Adequado</v>
      </c>
      <c r="BG34" s="376">
        <f t="shared" si="6"/>
        <v>17</v>
      </c>
      <c r="BH34" s="374">
        <f t="shared" si="7"/>
        <v>381</v>
      </c>
      <c r="BI34" s="377" t="str">
        <f t="shared" si="8"/>
        <v>Avançado</v>
      </c>
      <c r="BJ34" s="25"/>
      <c r="BK34" s="25"/>
    </row>
    <row r="35" ht="15.75" customHeight="1">
      <c r="A35" s="82">
        <v>6.0</v>
      </c>
      <c r="B35" s="378" t="s">
        <v>177</v>
      </c>
      <c r="C35" s="363" t="s">
        <v>170</v>
      </c>
      <c r="D35" s="379" t="s">
        <v>42</v>
      </c>
      <c r="E35" s="365" t="s">
        <v>41</v>
      </c>
      <c r="F35" s="365" t="s">
        <v>43</v>
      </c>
      <c r="G35" s="365" t="s">
        <v>42</v>
      </c>
      <c r="H35" s="365" t="s">
        <v>44</v>
      </c>
      <c r="I35" s="365" t="s">
        <v>43</v>
      </c>
      <c r="J35" s="365" t="s">
        <v>42</v>
      </c>
      <c r="K35" s="365" t="s">
        <v>42</v>
      </c>
      <c r="L35" s="365" t="s">
        <v>44</v>
      </c>
      <c r="M35" s="365" t="s">
        <v>43</v>
      </c>
      <c r="N35" s="365" t="s">
        <v>41</v>
      </c>
      <c r="O35" s="365" t="s">
        <v>43</v>
      </c>
      <c r="P35" s="365" t="s">
        <v>44</v>
      </c>
      <c r="Q35" s="365" t="s">
        <v>42</v>
      </c>
      <c r="R35" s="365" t="s">
        <v>41</v>
      </c>
      <c r="S35" s="365" t="s">
        <v>41</v>
      </c>
      <c r="T35" s="365" t="s">
        <v>44</v>
      </c>
      <c r="U35" s="365" t="s">
        <v>44</v>
      </c>
      <c r="V35" s="365" t="s">
        <v>173</v>
      </c>
      <c r="W35" s="365" t="s">
        <v>41</v>
      </c>
      <c r="X35" s="366" t="s">
        <v>43</v>
      </c>
      <c r="Y35" s="367" t="s">
        <v>44</v>
      </c>
      <c r="Z35" s="365" t="s">
        <v>41</v>
      </c>
      <c r="AA35" s="365" t="s">
        <v>42</v>
      </c>
      <c r="AB35" s="365" t="s">
        <v>43</v>
      </c>
      <c r="AC35" s="365" t="s">
        <v>41</v>
      </c>
      <c r="AD35" s="365" t="s">
        <v>42</v>
      </c>
      <c r="AE35" s="365" t="s">
        <v>42</v>
      </c>
      <c r="AF35" s="365" t="s">
        <v>43</v>
      </c>
      <c r="AG35" s="365" t="s">
        <v>41</v>
      </c>
      <c r="AH35" s="365" t="s">
        <v>44</v>
      </c>
      <c r="AI35" s="365" t="s">
        <v>41</v>
      </c>
      <c r="AJ35" s="365" t="s">
        <v>42</v>
      </c>
      <c r="AK35" s="365" t="s">
        <v>43</v>
      </c>
      <c r="AL35" s="365" t="s">
        <v>42</v>
      </c>
      <c r="AM35" s="365" t="s">
        <v>41</v>
      </c>
      <c r="AN35" s="365" t="s">
        <v>44</v>
      </c>
      <c r="AO35" s="365" t="s">
        <v>42</v>
      </c>
      <c r="AP35" s="365" t="s">
        <v>41</v>
      </c>
      <c r="AQ35" s="365" t="s">
        <v>44</v>
      </c>
      <c r="AR35" s="365" t="s">
        <v>41</v>
      </c>
      <c r="AS35" s="365" t="s">
        <v>44</v>
      </c>
      <c r="AT35" s="365" t="s">
        <v>41</v>
      </c>
      <c r="AU35" s="368"/>
      <c r="AV35" s="369" t="s">
        <v>44</v>
      </c>
      <c r="AW35" s="370">
        <v>3.0</v>
      </c>
      <c r="AX35" s="370">
        <v>3.0</v>
      </c>
      <c r="AY35" s="370">
        <v>3.0</v>
      </c>
      <c r="AZ35" s="370">
        <v>3.0</v>
      </c>
      <c r="BA35" s="371">
        <f t="shared" si="1"/>
        <v>75</v>
      </c>
      <c r="BB35" s="372" t="str">
        <f t="shared" si="2"/>
        <v>Adequado</v>
      </c>
      <c r="BC35" s="373"/>
      <c r="BD35" s="374">
        <f t="shared" si="3"/>
        <v>11</v>
      </c>
      <c r="BE35" s="374">
        <f t="shared" si="4"/>
        <v>279</v>
      </c>
      <c r="BF35" s="375" t="str">
        <f t="shared" si="5"/>
        <v>Adequado</v>
      </c>
      <c r="BG35" s="376">
        <f t="shared" si="6"/>
        <v>14</v>
      </c>
      <c r="BH35" s="374">
        <f t="shared" si="7"/>
        <v>306</v>
      </c>
      <c r="BI35" s="377" t="str">
        <f t="shared" si="8"/>
        <v>Adequado</v>
      </c>
      <c r="BJ35" s="25"/>
      <c r="BK35" s="25"/>
    </row>
    <row r="36" ht="15.75" customHeight="1">
      <c r="A36" s="82">
        <v>7.0</v>
      </c>
      <c r="B36" s="378" t="s">
        <v>178</v>
      </c>
      <c r="C36" s="363" t="s">
        <v>170</v>
      </c>
      <c r="D36" s="379" t="s">
        <v>43</v>
      </c>
      <c r="E36" s="365" t="s">
        <v>41</v>
      </c>
      <c r="F36" s="365" t="s">
        <v>41</v>
      </c>
      <c r="G36" s="365" t="s">
        <v>42</v>
      </c>
      <c r="H36" s="365" t="s">
        <v>43</v>
      </c>
      <c r="I36" s="365" t="s">
        <v>44</v>
      </c>
      <c r="J36" s="365" t="s">
        <v>43</v>
      </c>
      <c r="K36" s="365" t="s">
        <v>42</v>
      </c>
      <c r="L36" s="365" t="s">
        <v>41</v>
      </c>
      <c r="M36" s="365" t="s">
        <v>41</v>
      </c>
      <c r="N36" s="365" t="s">
        <v>41</v>
      </c>
      <c r="O36" s="365" t="s">
        <v>44</v>
      </c>
      <c r="P36" s="365" t="s">
        <v>42</v>
      </c>
      <c r="Q36" s="365" t="s">
        <v>42</v>
      </c>
      <c r="R36" s="365" t="s">
        <v>41</v>
      </c>
      <c r="S36" s="365" t="s">
        <v>44</v>
      </c>
      <c r="T36" s="365" t="s">
        <v>44</v>
      </c>
      <c r="U36" s="365" t="s">
        <v>42</v>
      </c>
      <c r="V36" s="365" t="s">
        <v>41</v>
      </c>
      <c r="W36" s="365" t="s">
        <v>43</v>
      </c>
      <c r="X36" s="366" t="s">
        <v>42</v>
      </c>
      <c r="Y36" s="367" t="s">
        <v>44</v>
      </c>
      <c r="Z36" s="365" t="s">
        <v>43</v>
      </c>
      <c r="AA36" s="365" t="s">
        <v>42</v>
      </c>
      <c r="AB36" s="365" t="s">
        <v>43</v>
      </c>
      <c r="AC36" s="365" t="s">
        <v>41</v>
      </c>
      <c r="AD36" s="365" t="s">
        <v>42</v>
      </c>
      <c r="AE36" s="365" t="s">
        <v>42</v>
      </c>
      <c r="AF36" s="365" t="s">
        <v>44</v>
      </c>
      <c r="AG36" s="365" t="s">
        <v>42</v>
      </c>
      <c r="AH36" s="365" t="s">
        <v>44</v>
      </c>
      <c r="AI36" s="365" t="s">
        <v>41</v>
      </c>
      <c r="AJ36" s="365" t="s">
        <v>42</v>
      </c>
      <c r="AK36" s="365" t="s">
        <v>42</v>
      </c>
      <c r="AL36" s="365" t="s">
        <v>41</v>
      </c>
      <c r="AM36" s="365" t="s">
        <v>44</v>
      </c>
      <c r="AN36" s="365" t="s">
        <v>42</v>
      </c>
      <c r="AO36" s="365" t="s">
        <v>44</v>
      </c>
      <c r="AP36" s="365" t="s">
        <v>42</v>
      </c>
      <c r="AQ36" s="365" t="s">
        <v>41</v>
      </c>
      <c r="AR36" s="365" t="s">
        <v>43</v>
      </c>
      <c r="AS36" s="365" t="s">
        <v>41</v>
      </c>
      <c r="AT36" s="365" t="s">
        <v>41</v>
      </c>
      <c r="AU36" s="368"/>
      <c r="AV36" s="369" t="s">
        <v>44</v>
      </c>
      <c r="AW36" s="370">
        <v>3.0</v>
      </c>
      <c r="AX36" s="370">
        <v>3.0</v>
      </c>
      <c r="AY36" s="370">
        <v>3.0</v>
      </c>
      <c r="AZ36" s="370">
        <v>3.0</v>
      </c>
      <c r="BA36" s="371">
        <f t="shared" si="1"/>
        <v>75</v>
      </c>
      <c r="BB36" s="372" t="str">
        <f t="shared" si="2"/>
        <v>Adequado</v>
      </c>
      <c r="BC36" s="373"/>
      <c r="BD36" s="374">
        <f t="shared" si="3"/>
        <v>11</v>
      </c>
      <c r="BE36" s="374">
        <f t="shared" si="4"/>
        <v>216</v>
      </c>
      <c r="BF36" s="375" t="str">
        <f t="shared" si="5"/>
        <v>Básico</v>
      </c>
      <c r="BG36" s="376">
        <f t="shared" si="6"/>
        <v>10</v>
      </c>
      <c r="BH36" s="374">
        <f t="shared" si="7"/>
        <v>215</v>
      </c>
      <c r="BI36" s="377" t="str">
        <f t="shared" si="8"/>
        <v>Básico</v>
      </c>
      <c r="BJ36" s="25"/>
      <c r="BK36" s="25"/>
    </row>
    <row r="37" ht="15.75" customHeight="1">
      <c r="A37" s="82">
        <v>8.0</v>
      </c>
      <c r="B37" s="378" t="s">
        <v>179</v>
      </c>
      <c r="C37" s="363" t="s">
        <v>170</v>
      </c>
      <c r="D37" s="379" t="s">
        <v>172</v>
      </c>
      <c r="E37" s="365" t="s">
        <v>172</v>
      </c>
      <c r="F37" s="365" t="s">
        <v>172</v>
      </c>
      <c r="G37" s="365" t="s">
        <v>172</v>
      </c>
      <c r="H37" s="365" t="s">
        <v>172</v>
      </c>
      <c r="I37" s="365" t="s">
        <v>172</v>
      </c>
      <c r="J37" s="365" t="s">
        <v>172</v>
      </c>
      <c r="K37" s="365" t="s">
        <v>172</v>
      </c>
      <c r="L37" s="365" t="s">
        <v>172</v>
      </c>
      <c r="M37" s="365" t="s">
        <v>172</v>
      </c>
      <c r="N37" s="365" t="s">
        <v>172</v>
      </c>
      <c r="O37" s="365" t="s">
        <v>172</v>
      </c>
      <c r="P37" s="365" t="s">
        <v>172</v>
      </c>
      <c r="Q37" s="365" t="s">
        <v>172</v>
      </c>
      <c r="R37" s="365" t="s">
        <v>172</v>
      </c>
      <c r="S37" s="365" t="s">
        <v>172</v>
      </c>
      <c r="T37" s="365" t="s">
        <v>172</v>
      </c>
      <c r="U37" s="365" t="s">
        <v>172</v>
      </c>
      <c r="V37" s="365" t="s">
        <v>172</v>
      </c>
      <c r="W37" s="365" t="s">
        <v>172</v>
      </c>
      <c r="X37" s="366" t="s">
        <v>172</v>
      </c>
      <c r="Y37" s="367" t="s">
        <v>172</v>
      </c>
      <c r="Z37" s="365" t="s">
        <v>172</v>
      </c>
      <c r="AA37" s="365" t="s">
        <v>172</v>
      </c>
      <c r="AB37" s="365" t="s">
        <v>172</v>
      </c>
      <c r="AC37" s="365" t="s">
        <v>172</v>
      </c>
      <c r="AD37" s="365" t="s">
        <v>172</v>
      </c>
      <c r="AE37" s="365" t="s">
        <v>172</v>
      </c>
      <c r="AF37" s="365" t="s">
        <v>172</v>
      </c>
      <c r="AG37" s="365" t="s">
        <v>172</v>
      </c>
      <c r="AH37" s="365" t="s">
        <v>172</v>
      </c>
      <c r="AI37" s="365" t="s">
        <v>172</v>
      </c>
      <c r="AJ37" s="365" t="s">
        <v>172</v>
      </c>
      <c r="AK37" s="365" t="s">
        <v>172</v>
      </c>
      <c r="AL37" s="365" t="s">
        <v>172</v>
      </c>
      <c r="AM37" s="365" t="s">
        <v>172</v>
      </c>
      <c r="AN37" s="365" t="s">
        <v>172</v>
      </c>
      <c r="AO37" s="365" t="s">
        <v>172</v>
      </c>
      <c r="AP37" s="365" t="s">
        <v>172</v>
      </c>
      <c r="AQ37" s="365" t="s">
        <v>172</v>
      </c>
      <c r="AR37" s="365" t="s">
        <v>172</v>
      </c>
      <c r="AS37" s="365" t="s">
        <v>172</v>
      </c>
      <c r="AT37" s="365" t="s">
        <v>172</v>
      </c>
      <c r="AU37" s="380"/>
      <c r="AV37" s="369" t="s">
        <v>172</v>
      </c>
      <c r="AW37" s="370" t="s">
        <v>173</v>
      </c>
      <c r="AX37" s="370" t="s">
        <v>173</v>
      </c>
      <c r="AY37" s="370" t="s">
        <v>173</v>
      </c>
      <c r="AZ37" s="370" t="s">
        <v>173</v>
      </c>
      <c r="BA37" s="371">
        <f t="shared" si="1"/>
        <v>0</v>
      </c>
      <c r="BB37" s="372" t="str">
        <f t="shared" si="2"/>
        <v>Abaixo do Básico</v>
      </c>
      <c r="BC37" s="373"/>
      <c r="BD37" s="374">
        <f t="shared" si="3"/>
        <v>0</v>
      </c>
      <c r="BE37" s="374">
        <f t="shared" si="4"/>
        <v>0</v>
      </c>
      <c r="BF37" s="375" t="str">
        <f t="shared" si="5"/>
        <v>Abaixo do Básico</v>
      </c>
      <c r="BG37" s="376">
        <f t="shared" si="6"/>
        <v>0</v>
      </c>
      <c r="BH37" s="374">
        <f t="shared" si="7"/>
        <v>0</v>
      </c>
      <c r="BI37" s="377" t="str">
        <f t="shared" si="8"/>
        <v>Abaixo do Básico</v>
      </c>
      <c r="BJ37" s="25"/>
      <c r="BK37" s="25"/>
    </row>
    <row r="38" ht="15.75" customHeight="1">
      <c r="A38" s="82">
        <v>9.0</v>
      </c>
      <c r="B38" s="378" t="s">
        <v>180</v>
      </c>
      <c r="C38" s="363" t="s">
        <v>170</v>
      </c>
      <c r="D38" s="379" t="s">
        <v>43</v>
      </c>
      <c r="E38" s="365" t="s">
        <v>41</v>
      </c>
      <c r="F38" s="365" t="s">
        <v>43</v>
      </c>
      <c r="G38" s="365" t="s">
        <v>43</v>
      </c>
      <c r="H38" s="365" t="s">
        <v>44</v>
      </c>
      <c r="I38" s="365" t="s">
        <v>42</v>
      </c>
      <c r="J38" s="365" t="s">
        <v>42</v>
      </c>
      <c r="K38" s="365" t="s">
        <v>41</v>
      </c>
      <c r="L38" s="365" t="s">
        <v>44</v>
      </c>
      <c r="M38" s="365" t="s">
        <v>41</v>
      </c>
      <c r="N38" s="365" t="s">
        <v>42</v>
      </c>
      <c r="O38" s="365" t="s">
        <v>44</v>
      </c>
      <c r="P38" s="365" t="s">
        <v>44</v>
      </c>
      <c r="Q38" s="365" t="s">
        <v>44</v>
      </c>
      <c r="R38" s="365" t="s">
        <v>42</v>
      </c>
      <c r="S38" s="365" t="s">
        <v>44</v>
      </c>
      <c r="T38" s="365" t="s">
        <v>41</v>
      </c>
      <c r="U38" s="365" t="s">
        <v>44</v>
      </c>
      <c r="V38" s="365" t="s">
        <v>41</v>
      </c>
      <c r="W38" s="365" t="s">
        <v>43</v>
      </c>
      <c r="X38" s="366" t="s">
        <v>41</v>
      </c>
      <c r="Y38" s="367" t="s">
        <v>44</v>
      </c>
      <c r="Z38" s="365" t="s">
        <v>43</v>
      </c>
      <c r="AA38" s="365" t="s">
        <v>42</v>
      </c>
      <c r="AB38" s="365" t="s">
        <v>43</v>
      </c>
      <c r="AC38" s="365" t="s">
        <v>41</v>
      </c>
      <c r="AD38" s="365" t="s">
        <v>41</v>
      </c>
      <c r="AE38" s="365" t="s">
        <v>42</v>
      </c>
      <c r="AF38" s="365" t="s">
        <v>44</v>
      </c>
      <c r="AG38" s="365" t="s">
        <v>43</v>
      </c>
      <c r="AH38" s="365" t="s">
        <v>44</v>
      </c>
      <c r="AI38" s="365" t="s">
        <v>41</v>
      </c>
      <c r="AJ38" s="365" t="s">
        <v>42</v>
      </c>
      <c r="AK38" s="365" t="s">
        <v>43</v>
      </c>
      <c r="AL38" s="365" t="s">
        <v>42</v>
      </c>
      <c r="AM38" s="365" t="s">
        <v>41</v>
      </c>
      <c r="AN38" s="365" t="s">
        <v>44</v>
      </c>
      <c r="AO38" s="365" t="s">
        <v>42</v>
      </c>
      <c r="AP38" s="365" t="s">
        <v>41</v>
      </c>
      <c r="AQ38" s="365" t="s">
        <v>43</v>
      </c>
      <c r="AR38" s="365" t="s">
        <v>41</v>
      </c>
      <c r="AS38" s="365" t="s">
        <v>41</v>
      </c>
      <c r="AT38" s="365" t="s">
        <v>43</v>
      </c>
      <c r="AU38" s="368"/>
      <c r="AV38" s="369" t="s">
        <v>44</v>
      </c>
      <c r="AW38" s="370">
        <v>3.0</v>
      </c>
      <c r="AX38" s="370">
        <v>3.0</v>
      </c>
      <c r="AY38" s="370">
        <v>3.0</v>
      </c>
      <c r="AZ38" s="370">
        <v>3.0</v>
      </c>
      <c r="BA38" s="371">
        <f t="shared" si="1"/>
        <v>75</v>
      </c>
      <c r="BB38" s="372" t="str">
        <f t="shared" si="2"/>
        <v>Adequado</v>
      </c>
      <c r="BC38" s="373"/>
      <c r="BD38" s="374">
        <f t="shared" si="3"/>
        <v>8</v>
      </c>
      <c r="BE38" s="374">
        <f t="shared" si="4"/>
        <v>180</v>
      </c>
      <c r="BF38" s="375" t="str">
        <f t="shared" si="5"/>
        <v>Básico</v>
      </c>
      <c r="BG38" s="376">
        <f t="shared" si="6"/>
        <v>18</v>
      </c>
      <c r="BH38" s="374">
        <f t="shared" si="7"/>
        <v>406</v>
      </c>
      <c r="BI38" s="377" t="str">
        <f t="shared" si="8"/>
        <v>Avançado</v>
      </c>
      <c r="BJ38" s="25"/>
      <c r="BK38" s="25"/>
    </row>
    <row r="39" ht="15.75" customHeight="1">
      <c r="A39" s="82">
        <v>10.0</v>
      </c>
      <c r="B39" s="378" t="s">
        <v>181</v>
      </c>
      <c r="C39" s="363" t="s">
        <v>170</v>
      </c>
      <c r="D39" s="379" t="s">
        <v>43</v>
      </c>
      <c r="E39" s="365" t="s">
        <v>42</v>
      </c>
      <c r="F39" s="365" t="s">
        <v>43</v>
      </c>
      <c r="G39" s="365" t="s">
        <v>41</v>
      </c>
      <c r="H39" s="365" t="s">
        <v>43</v>
      </c>
      <c r="I39" s="365" t="s">
        <v>43</v>
      </c>
      <c r="J39" s="365" t="s">
        <v>42</v>
      </c>
      <c r="K39" s="365" t="s">
        <v>42</v>
      </c>
      <c r="L39" s="365" t="s">
        <v>44</v>
      </c>
      <c r="M39" s="365" t="s">
        <v>42</v>
      </c>
      <c r="N39" s="365" t="s">
        <v>41</v>
      </c>
      <c r="O39" s="365" t="s">
        <v>43</v>
      </c>
      <c r="P39" s="365" t="s">
        <v>44</v>
      </c>
      <c r="Q39" s="365" t="s">
        <v>42</v>
      </c>
      <c r="R39" s="365" t="s">
        <v>41</v>
      </c>
      <c r="S39" s="365" t="s">
        <v>44</v>
      </c>
      <c r="T39" s="365" t="s">
        <v>44</v>
      </c>
      <c r="U39" s="365" t="s">
        <v>44</v>
      </c>
      <c r="V39" s="365" t="s">
        <v>42</v>
      </c>
      <c r="W39" s="365" t="s">
        <v>43</v>
      </c>
      <c r="X39" s="366" t="s">
        <v>43</v>
      </c>
      <c r="Y39" s="367" t="s">
        <v>44</v>
      </c>
      <c r="Z39" s="365" t="s">
        <v>43</v>
      </c>
      <c r="AA39" s="365" t="s">
        <v>42</v>
      </c>
      <c r="AB39" s="365" t="s">
        <v>43</v>
      </c>
      <c r="AC39" s="365" t="s">
        <v>43</v>
      </c>
      <c r="AD39" s="365" t="s">
        <v>41</v>
      </c>
      <c r="AE39" s="365" t="s">
        <v>42</v>
      </c>
      <c r="AF39" s="365" t="s">
        <v>42</v>
      </c>
      <c r="AG39" s="365" t="s">
        <v>42</v>
      </c>
      <c r="AH39" s="365" t="s">
        <v>44</v>
      </c>
      <c r="AI39" s="365" t="s">
        <v>41</v>
      </c>
      <c r="AJ39" s="365" t="s">
        <v>42</v>
      </c>
      <c r="AK39" s="365" t="s">
        <v>43</v>
      </c>
      <c r="AL39" s="365" t="s">
        <v>42</v>
      </c>
      <c r="AM39" s="365" t="s">
        <v>41</v>
      </c>
      <c r="AN39" s="365" t="s">
        <v>44</v>
      </c>
      <c r="AO39" s="365" t="s">
        <v>42</v>
      </c>
      <c r="AP39" s="365" t="s">
        <v>41</v>
      </c>
      <c r="AQ39" s="365" t="s">
        <v>43</v>
      </c>
      <c r="AR39" s="365" t="s">
        <v>41</v>
      </c>
      <c r="AS39" s="365" t="s">
        <v>41</v>
      </c>
      <c r="AT39" s="365" t="s">
        <v>42</v>
      </c>
      <c r="AU39" s="368"/>
      <c r="AV39" s="369" t="s">
        <v>44</v>
      </c>
      <c r="AW39" s="370">
        <v>4.0</v>
      </c>
      <c r="AX39" s="370">
        <v>3.0</v>
      </c>
      <c r="AY39" s="370">
        <v>3.0</v>
      </c>
      <c r="AZ39" s="370">
        <v>3.0</v>
      </c>
      <c r="BA39" s="371">
        <f t="shared" si="1"/>
        <v>81.25</v>
      </c>
      <c r="BB39" s="372" t="str">
        <f t="shared" si="2"/>
        <v>Avançado</v>
      </c>
      <c r="BC39" s="373"/>
      <c r="BD39" s="374">
        <f t="shared" si="3"/>
        <v>12</v>
      </c>
      <c r="BE39" s="374">
        <f t="shared" si="4"/>
        <v>342</v>
      </c>
      <c r="BF39" s="375" t="str">
        <f t="shared" si="5"/>
        <v>Adequado</v>
      </c>
      <c r="BG39" s="376">
        <f t="shared" si="6"/>
        <v>16</v>
      </c>
      <c r="BH39" s="374">
        <f t="shared" si="7"/>
        <v>365</v>
      </c>
      <c r="BI39" s="377" t="str">
        <f t="shared" si="8"/>
        <v>Adequado</v>
      </c>
      <c r="BJ39" s="25"/>
      <c r="BK39" s="25"/>
    </row>
    <row r="40" ht="15.75" customHeight="1">
      <c r="A40" s="82">
        <v>11.0</v>
      </c>
      <c r="B40" s="378" t="s">
        <v>182</v>
      </c>
      <c r="C40" s="363" t="s">
        <v>170</v>
      </c>
      <c r="D40" s="379" t="s">
        <v>42</v>
      </c>
      <c r="E40" s="365" t="s">
        <v>42</v>
      </c>
      <c r="F40" s="365" t="s">
        <v>43</v>
      </c>
      <c r="G40" s="365" t="s">
        <v>42</v>
      </c>
      <c r="H40" s="365" t="s">
        <v>42</v>
      </c>
      <c r="I40" s="365" t="s">
        <v>43</v>
      </c>
      <c r="J40" s="365" t="s">
        <v>41</v>
      </c>
      <c r="K40" s="365" t="s">
        <v>42</v>
      </c>
      <c r="L40" s="365" t="s">
        <v>44</v>
      </c>
      <c r="M40" s="365" t="s">
        <v>41</v>
      </c>
      <c r="N40" s="365" t="s">
        <v>41</v>
      </c>
      <c r="O40" s="365" t="s">
        <v>43</v>
      </c>
      <c r="P40" s="365" t="s">
        <v>44</v>
      </c>
      <c r="Q40" s="365" t="s">
        <v>42</v>
      </c>
      <c r="R40" s="365" t="s">
        <v>41</v>
      </c>
      <c r="S40" s="365" t="s">
        <v>44</v>
      </c>
      <c r="T40" s="365" t="s">
        <v>44</v>
      </c>
      <c r="U40" s="365" t="s">
        <v>44</v>
      </c>
      <c r="V40" s="365" t="s">
        <v>43</v>
      </c>
      <c r="W40" s="365" t="s">
        <v>41</v>
      </c>
      <c r="X40" s="366" t="s">
        <v>42</v>
      </c>
      <c r="Y40" s="367" t="s">
        <v>44</v>
      </c>
      <c r="Z40" s="365" t="s">
        <v>43</v>
      </c>
      <c r="AA40" s="365" t="s">
        <v>42</v>
      </c>
      <c r="AB40" s="365" t="s">
        <v>43</v>
      </c>
      <c r="AC40" s="365" t="s">
        <v>41</v>
      </c>
      <c r="AD40" s="365" t="s">
        <v>41</v>
      </c>
      <c r="AE40" s="365" t="s">
        <v>42</v>
      </c>
      <c r="AF40" s="365" t="s">
        <v>44</v>
      </c>
      <c r="AG40" s="365" t="s">
        <v>41</v>
      </c>
      <c r="AH40" s="365" t="s">
        <v>43</v>
      </c>
      <c r="AI40" s="365" t="s">
        <v>41</v>
      </c>
      <c r="AJ40" s="365" t="s">
        <v>42</v>
      </c>
      <c r="AK40" s="365" t="s">
        <v>43</v>
      </c>
      <c r="AL40" s="365" t="s">
        <v>42</v>
      </c>
      <c r="AM40" s="365" t="s">
        <v>44</v>
      </c>
      <c r="AN40" s="365" t="s">
        <v>44</v>
      </c>
      <c r="AO40" s="365" t="s">
        <v>44</v>
      </c>
      <c r="AP40" s="365" t="s">
        <v>43</v>
      </c>
      <c r="AQ40" s="365" t="s">
        <v>44</v>
      </c>
      <c r="AR40" s="365" t="s">
        <v>41</v>
      </c>
      <c r="AS40" s="365" t="s">
        <v>41</v>
      </c>
      <c r="AT40" s="365" t="s">
        <v>44</v>
      </c>
      <c r="AU40" s="368"/>
      <c r="AV40" s="369" t="s">
        <v>44</v>
      </c>
      <c r="AW40" s="370">
        <v>3.0</v>
      </c>
      <c r="AX40" s="370">
        <v>2.0</v>
      </c>
      <c r="AY40" s="370">
        <v>2.0</v>
      </c>
      <c r="AZ40" s="370">
        <v>2.0</v>
      </c>
      <c r="BA40" s="371">
        <f t="shared" si="1"/>
        <v>56.25</v>
      </c>
      <c r="BB40" s="372" t="str">
        <f t="shared" si="2"/>
        <v>Adequado</v>
      </c>
      <c r="BC40" s="373"/>
      <c r="BD40" s="374">
        <f t="shared" si="3"/>
        <v>12</v>
      </c>
      <c r="BE40" s="374">
        <f t="shared" si="4"/>
        <v>324</v>
      </c>
      <c r="BF40" s="375" t="str">
        <f t="shared" si="5"/>
        <v>Adequado</v>
      </c>
      <c r="BG40" s="376">
        <f t="shared" si="6"/>
        <v>16</v>
      </c>
      <c r="BH40" s="374">
        <f t="shared" si="7"/>
        <v>374</v>
      </c>
      <c r="BI40" s="377" t="str">
        <f t="shared" si="8"/>
        <v>Adequado</v>
      </c>
      <c r="BJ40" s="25"/>
      <c r="BK40" s="25"/>
    </row>
    <row r="41" ht="15.75" customHeight="1">
      <c r="A41" s="82">
        <v>12.0</v>
      </c>
      <c r="B41" s="378" t="s">
        <v>183</v>
      </c>
      <c r="C41" s="363" t="s">
        <v>170</v>
      </c>
      <c r="D41" s="379" t="s">
        <v>43</v>
      </c>
      <c r="E41" s="365" t="s">
        <v>42</v>
      </c>
      <c r="F41" s="365" t="s">
        <v>44</v>
      </c>
      <c r="G41" s="365" t="s">
        <v>42</v>
      </c>
      <c r="H41" s="365" t="s">
        <v>42</v>
      </c>
      <c r="I41" s="365" t="s">
        <v>44</v>
      </c>
      <c r="J41" s="365" t="s">
        <v>43</v>
      </c>
      <c r="K41" s="365" t="s">
        <v>43</v>
      </c>
      <c r="L41" s="365" t="s">
        <v>44</v>
      </c>
      <c r="M41" s="365" t="s">
        <v>43</v>
      </c>
      <c r="N41" s="365" t="s">
        <v>44</v>
      </c>
      <c r="O41" s="365" t="s">
        <v>43</v>
      </c>
      <c r="P41" s="365" t="s">
        <v>43</v>
      </c>
      <c r="Q41" s="365" t="s">
        <v>43</v>
      </c>
      <c r="R41" s="365" t="s">
        <v>44</v>
      </c>
      <c r="S41" s="365" t="s">
        <v>43</v>
      </c>
      <c r="T41" s="365" t="s">
        <v>43</v>
      </c>
      <c r="U41" s="365" t="s">
        <v>42</v>
      </c>
      <c r="V41" s="365" t="s">
        <v>41</v>
      </c>
      <c r="W41" s="365" t="s">
        <v>42</v>
      </c>
      <c r="X41" s="366" t="s">
        <v>43</v>
      </c>
      <c r="Y41" s="367" t="s">
        <v>44</v>
      </c>
      <c r="Z41" s="365" t="s">
        <v>44</v>
      </c>
      <c r="AA41" s="365" t="s">
        <v>42</v>
      </c>
      <c r="AB41" s="365" t="s">
        <v>43</v>
      </c>
      <c r="AC41" s="365" t="s">
        <v>41</v>
      </c>
      <c r="AD41" s="365" t="s">
        <v>41</v>
      </c>
      <c r="AE41" s="365" t="s">
        <v>43</v>
      </c>
      <c r="AF41" s="365" t="s">
        <v>44</v>
      </c>
      <c r="AG41" s="365" t="s">
        <v>41</v>
      </c>
      <c r="AH41" s="365" t="s">
        <v>43</v>
      </c>
      <c r="AI41" s="365" t="s">
        <v>42</v>
      </c>
      <c r="AJ41" s="365" t="s">
        <v>42</v>
      </c>
      <c r="AK41" s="365" t="s">
        <v>43</v>
      </c>
      <c r="AL41" s="365" t="s">
        <v>42</v>
      </c>
      <c r="AM41" s="365" t="s">
        <v>41</v>
      </c>
      <c r="AN41" s="365" t="s">
        <v>173</v>
      </c>
      <c r="AO41" s="365" t="s">
        <v>42</v>
      </c>
      <c r="AP41" s="365" t="s">
        <v>41</v>
      </c>
      <c r="AQ41" s="365" t="s">
        <v>43</v>
      </c>
      <c r="AR41" s="365" t="s">
        <v>41</v>
      </c>
      <c r="AS41" s="365" t="s">
        <v>41</v>
      </c>
      <c r="AT41" s="365" t="s">
        <v>42</v>
      </c>
      <c r="AU41" s="368"/>
      <c r="AV41" s="369" t="s">
        <v>44</v>
      </c>
      <c r="AW41" s="370">
        <v>2.0</v>
      </c>
      <c r="AX41" s="370">
        <v>2.0</v>
      </c>
      <c r="AY41" s="370">
        <v>2.0</v>
      </c>
      <c r="AZ41" s="370">
        <v>2.0</v>
      </c>
      <c r="BA41" s="371">
        <f t="shared" si="1"/>
        <v>50</v>
      </c>
      <c r="BB41" s="372" t="str">
        <f t="shared" si="2"/>
        <v>Básico</v>
      </c>
      <c r="BC41" s="373"/>
      <c r="BD41" s="374">
        <f t="shared" si="3"/>
        <v>4</v>
      </c>
      <c r="BE41" s="374">
        <f t="shared" si="4"/>
        <v>108</v>
      </c>
      <c r="BF41" s="375" t="str">
        <f t="shared" si="5"/>
        <v>Abaixo do Básico</v>
      </c>
      <c r="BG41" s="376">
        <f t="shared" si="6"/>
        <v>13</v>
      </c>
      <c r="BH41" s="374">
        <f t="shared" si="7"/>
        <v>307</v>
      </c>
      <c r="BI41" s="377" t="str">
        <f t="shared" si="8"/>
        <v>Adequado</v>
      </c>
      <c r="BJ41" s="25"/>
      <c r="BK41" s="25"/>
    </row>
    <row r="42" ht="15.75" customHeight="1">
      <c r="A42" s="82">
        <v>13.0</v>
      </c>
      <c r="B42" s="378" t="s">
        <v>184</v>
      </c>
      <c r="C42" s="363" t="s">
        <v>170</v>
      </c>
      <c r="D42" s="379" t="s">
        <v>42</v>
      </c>
      <c r="E42" s="365" t="s">
        <v>42</v>
      </c>
      <c r="F42" s="365" t="s">
        <v>41</v>
      </c>
      <c r="G42" s="365" t="s">
        <v>42</v>
      </c>
      <c r="H42" s="365" t="s">
        <v>44</v>
      </c>
      <c r="I42" s="365" t="s">
        <v>43</v>
      </c>
      <c r="J42" s="365" t="s">
        <v>42</v>
      </c>
      <c r="K42" s="365" t="s">
        <v>42</v>
      </c>
      <c r="L42" s="365" t="s">
        <v>44</v>
      </c>
      <c r="M42" s="365" t="s">
        <v>43</v>
      </c>
      <c r="N42" s="365" t="s">
        <v>41</v>
      </c>
      <c r="O42" s="365" t="s">
        <v>42</v>
      </c>
      <c r="P42" s="365" t="s">
        <v>44</v>
      </c>
      <c r="Q42" s="365" t="s">
        <v>42</v>
      </c>
      <c r="R42" s="365" t="s">
        <v>42</v>
      </c>
      <c r="S42" s="365" t="s">
        <v>44</v>
      </c>
      <c r="T42" s="365" t="s">
        <v>41</v>
      </c>
      <c r="U42" s="365" t="s">
        <v>44</v>
      </c>
      <c r="V42" s="365" t="s">
        <v>41</v>
      </c>
      <c r="W42" s="365" t="s">
        <v>43</v>
      </c>
      <c r="X42" s="366" t="s">
        <v>42</v>
      </c>
      <c r="Y42" s="367" t="s">
        <v>44</v>
      </c>
      <c r="Z42" s="365" t="s">
        <v>43</v>
      </c>
      <c r="AA42" s="365" t="s">
        <v>42</v>
      </c>
      <c r="AB42" s="365" t="s">
        <v>43</v>
      </c>
      <c r="AC42" s="365" t="s">
        <v>43</v>
      </c>
      <c r="AD42" s="365" t="s">
        <v>41</v>
      </c>
      <c r="AE42" s="365" t="s">
        <v>42</v>
      </c>
      <c r="AF42" s="365" t="s">
        <v>44</v>
      </c>
      <c r="AG42" s="365" t="s">
        <v>43</v>
      </c>
      <c r="AH42" s="365" t="s">
        <v>44</v>
      </c>
      <c r="AI42" s="365" t="s">
        <v>41</v>
      </c>
      <c r="AJ42" s="365" t="s">
        <v>42</v>
      </c>
      <c r="AK42" s="365" t="s">
        <v>43</v>
      </c>
      <c r="AL42" s="365" t="s">
        <v>42</v>
      </c>
      <c r="AM42" s="365" t="s">
        <v>41</v>
      </c>
      <c r="AN42" s="365" t="s">
        <v>43</v>
      </c>
      <c r="AO42" s="365" t="s">
        <v>42</v>
      </c>
      <c r="AP42" s="365" t="s">
        <v>41</v>
      </c>
      <c r="AQ42" s="365" t="s">
        <v>43</v>
      </c>
      <c r="AR42" s="365" t="s">
        <v>41</v>
      </c>
      <c r="AS42" s="365" t="s">
        <v>41</v>
      </c>
      <c r="AT42" s="365" t="s">
        <v>42</v>
      </c>
      <c r="AU42" s="368"/>
      <c r="AV42" s="369" t="s">
        <v>41</v>
      </c>
      <c r="AW42" s="370" t="s">
        <v>173</v>
      </c>
      <c r="AX42" s="370" t="s">
        <v>173</v>
      </c>
      <c r="AY42" s="370" t="s">
        <v>173</v>
      </c>
      <c r="AZ42" s="370" t="s">
        <v>173</v>
      </c>
      <c r="BA42" s="371">
        <f t="shared" si="1"/>
        <v>0</v>
      </c>
      <c r="BB42" s="372" t="str">
        <f t="shared" si="2"/>
        <v>Abaixo do Básico</v>
      </c>
      <c r="BC42" s="373"/>
      <c r="BD42" s="374">
        <f t="shared" si="3"/>
        <v>14</v>
      </c>
      <c r="BE42" s="374">
        <f t="shared" si="4"/>
        <v>306</v>
      </c>
      <c r="BF42" s="375" t="str">
        <f t="shared" si="5"/>
        <v>Adequado</v>
      </c>
      <c r="BG42" s="376">
        <f t="shared" si="6"/>
        <v>17</v>
      </c>
      <c r="BH42" s="374">
        <f t="shared" si="7"/>
        <v>390</v>
      </c>
      <c r="BI42" s="377" t="str">
        <f t="shared" si="8"/>
        <v>Avançado</v>
      </c>
      <c r="BJ42" s="25"/>
      <c r="BK42" s="25"/>
    </row>
    <row r="43" ht="15.75" customHeight="1">
      <c r="A43" s="82">
        <v>14.0</v>
      </c>
      <c r="B43" s="378" t="s">
        <v>185</v>
      </c>
      <c r="C43" s="363" t="s">
        <v>170</v>
      </c>
      <c r="D43" s="379" t="s">
        <v>41</v>
      </c>
      <c r="E43" s="365" t="s">
        <v>41</v>
      </c>
      <c r="F43" s="365" t="s">
        <v>43</v>
      </c>
      <c r="G43" s="365" t="s">
        <v>42</v>
      </c>
      <c r="H43" s="365" t="s">
        <v>43</v>
      </c>
      <c r="I43" s="365" t="s">
        <v>44</v>
      </c>
      <c r="J43" s="365" t="s">
        <v>42</v>
      </c>
      <c r="K43" s="365" t="s">
        <v>42</v>
      </c>
      <c r="L43" s="365" t="s">
        <v>44</v>
      </c>
      <c r="M43" s="365" t="s">
        <v>41</v>
      </c>
      <c r="N43" s="365" t="s">
        <v>41</v>
      </c>
      <c r="O43" s="365" t="s">
        <v>44</v>
      </c>
      <c r="P43" s="365" t="s">
        <v>44</v>
      </c>
      <c r="Q43" s="365" t="s">
        <v>42</v>
      </c>
      <c r="R43" s="365" t="s">
        <v>42</v>
      </c>
      <c r="S43" s="365" t="s">
        <v>42</v>
      </c>
      <c r="T43" s="365" t="s">
        <v>44</v>
      </c>
      <c r="U43" s="365" t="s">
        <v>44</v>
      </c>
      <c r="V43" s="365" t="s">
        <v>43</v>
      </c>
      <c r="W43" s="365" t="s">
        <v>43</v>
      </c>
      <c r="X43" s="366" t="s">
        <v>44</v>
      </c>
      <c r="Y43" s="367" t="s">
        <v>44</v>
      </c>
      <c r="Z43" s="365" t="s">
        <v>173</v>
      </c>
      <c r="AA43" s="365" t="s">
        <v>42</v>
      </c>
      <c r="AB43" s="365" t="s">
        <v>43</v>
      </c>
      <c r="AC43" s="365" t="s">
        <v>41</v>
      </c>
      <c r="AD43" s="365" t="s">
        <v>44</v>
      </c>
      <c r="AE43" s="365" t="s">
        <v>42</v>
      </c>
      <c r="AF43" s="365" t="s">
        <v>44</v>
      </c>
      <c r="AG43" s="365" t="s">
        <v>43</v>
      </c>
      <c r="AH43" s="365" t="s">
        <v>44</v>
      </c>
      <c r="AI43" s="365" t="s">
        <v>41</v>
      </c>
      <c r="AJ43" s="365" t="s">
        <v>173</v>
      </c>
      <c r="AK43" s="365" t="s">
        <v>173</v>
      </c>
      <c r="AL43" s="365" t="s">
        <v>173</v>
      </c>
      <c r="AM43" s="365" t="s">
        <v>41</v>
      </c>
      <c r="AN43" s="365" t="s">
        <v>44</v>
      </c>
      <c r="AO43" s="365" t="s">
        <v>42</v>
      </c>
      <c r="AP43" s="365" t="s">
        <v>41</v>
      </c>
      <c r="AQ43" s="365" t="s">
        <v>43</v>
      </c>
      <c r="AR43" s="365" t="s">
        <v>43</v>
      </c>
      <c r="AS43" s="365" t="s">
        <v>41</v>
      </c>
      <c r="AT43" s="365" t="s">
        <v>42</v>
      </c>
      <c r="AU43" s="368"/>
      <c r="AV43" s="369" t="s">
        <v>44</v>
      </c>
      <c r="AW43" s="370">
        <v>4.0</v>
      </c>
      <c r="AX43" s="370">
        <v>3.0</v>
      </c>
      <c r="AY43" s="370">
        <v>3.0</v>
      </c>
      <c r="AZ43" s="370">
        <v>3.0</v>
      </c>
      <c r="BA43" s="371">
        <f t="shared" si="1"/>
        <v>81.25</v>
      </c>
      <c r="BB43" s="372" t="str">
        <f t="shared" si="2"/>
        <v>Avançado</v>
      </c>
      <c r="BC43" s="373"/>
      <c r="BD43" s="374">
        <f t="shared" si="3"/>
        <v>12</v>
      </c>
      <c r="BE43" s="374">
        <f t="shared" si="4"/>
        <v>297</v>
      </c>
      <c r="BF43" s="375" t="str">
        <f t="shared" si="5"/>
        <v>Adequado</v>
      </c>
      <c r="BG43" s="376">
        <f t="shared" si="6"/>
        <v>13</v>
      </c>
      <c r="BH43" s="374">
        <f t="shared" si="7"/>
        <v>281</v>
      </c>
      <c r="BI43" s="377" t="str">
        <f t="shared" si="8"/>
        <v>Adequado</v>
      </c>
      <c r="BJ43" s="25"/>
      <c r="BK43" s="25"/>
    </row>
    <row r="44" ht="15.75" customHeight="1">
      <c r="A44" s="82">
        <v>15.0</v>
      </c>
      <c r="B44" s="378" t="s">
        <v>186</v>
      </c>
      <c r="C44" s="363" t="s">
        <v>170</v>
      </c>
      <c r="D44" s="379" t="s">
        <v>41</v>
      </c>
      <c r="E44" s="365" t="s">
        <v>44</v>
      </c>
      <c r="F44" s="365" t="s">
        <v>42</v>
      </c>
      <c r="G44" s="365" t="s">
        <v>42</v>
      </c>
      <c r="H44" s="365" t="s">
        <v>43</v>
      </c>
      <c r="I44" s="365" t="s">
        <v>43</v>
      </c>
      <c r="J44" s="365" t="s">
        <v>42</v>
      </c>
      <c r="K44" s="365" t="s">
        <v>41</v>
      </c>
      <c r="L44" s="365" t="s">
        <v>44</v>
      </c>
      <c r="M44" s="365" t="s">
        <v>44</v>
      </c>
      <c r="N44" s="365" t="s">
        <v>41</v>
      </c>
      <c r="O44" s="365" t="s">
        <v>43</v>
      </c>
      <c r="P44" s="365" t="s">
        <v>44</v>
      </c>
      <c r="Q44" s="365" t="s">
        <v>42</v>
      </c>
      <c r="R44" s="365" t="s">
        <v>41</v>
      </c>
      <c r="S44" s="365" t="s">
        <v>44</v>
      </c>
      <c r="T44" s="365" t="s">
        <v>44</v>
      </c>
      <c r="U44" s="365" t="s">
        <v>43</v>
      </c>
      <c r="V44" s="365" t="s">
        <v>41</v>
      </c>
      <c r="W44" s="365" t="s">
        <v>43</v>
      </c>
      <c r="X44" s="366" t="s">
        <v>42</v>
      </c>
      <c r="Y44" s="367" t="s">
        <v>44</v>
      </c>
      <c r="Z44" s="365" t="s">
        <v>43</v>
      </c>
      <c r="AA44" s="365" t="s">
        <v>42</v>
      </c>
      <c r="AB44" s="365" t="s">
        <v>43</v>
      </c>
      <c r="AC44" s="365" t="s">
        <v>41</v>
      </c>
      <c r="AD44" s="365" t="s">
        <v>41</v>
      </c>
      <c r="AE44" s="365" t="s">
        <v>42</v>
      </c>
      <c r="AF44" s="365" t="s">
        <v>44</v>
      </c>
      <c r="AG44" s="365" t="s">
        <v>42</v>
      </c>
      <c r="AH44" s="365" t="s">
        <v>44</v>
      </c>
      <c r="AI44" s="365" t="s">
        <v>41</v>
      </c>
      <c r="AJ44" s="365" t="s">
        <v>42</v>
      </c>
      <c r="AK44" s="365" t="s">
        <v>43</v>
      </c>
      <c r="AL44" s="365" t="s">
        <v>41</v>
      </c>
      <c r="AM44" s="365" t="s">
        <v>44</v>
      </c>
      <c r="AN44" s="365" t="s">
        <v>42</v>
      </c>
      <c r="AO44" s="365" t="s">
        <v>42</v>
      </c>
      <c r="AP44" s="365" t="s">
        <v>41</v>
      </c>
      <c r="AQ44" s="365" t="s">
        <v>44</v>
      </c>
      <c r="AR44" s="365" t="s">
        <v>41</v>
      </c>
      <c r="AS44" s="365" t="s">
        <v>44</v>
      </c>
      <c r="AT44" s="365" t="s">
        <v>41</v>
      </c>
      <c r="AU44" s="368"/>
      <c r="AV44" s="369" t="s">
        <v>41</v>
      </c>
      <c r="AW44" s="370" t="s">
        <v>173</v>
      </c>
      <c r="AX44" s="370" t="s">
        <v>173</v>
      </c>
      <c r="AY44" s="370" t="s">
        <v>173</v>
      </c>
      <c r="AZ44" s="370" t="s">
        <v>173</v>
      </c>
      <c r="BA44" s="371">
        <f t="shared" si="1"/>
        <v>0</v>
      </c>
      <c r="BB44" s="372" t="str">
        <f t="shared" si="2"/>
        <v>Abaixo do Básico</v>
      </c>
      <c r="BC44" s="373"/>
      <c r="BD44" s="374">
        <f t="shared" si="3"/>
        <v>13</v>
      </c>
      <c r="BE44" s="374">
        <f t="shared" si="4"/>
        <v>333</v>
      </c>
      <c r="BF44" s="375" t="str">
        <f t="shared" si="5"/>
        <v>Adequado</v>
      </c>
      <c r="BG44" s="376">
        <f t="shared" si="6"/>
        <v>14</v>
      </c>
      <c r="BH44" s="374">
        <f t="shared" si="7"/>
        <v>306</v>
      </c>
      <c r="BI44" s="377" t="str">
        <f t="shared" si="8"/>
        <v>Adequado</v>
      </c>
      <c r="BJ44" s="25"/>
      <c r="BK44" s="25"/>
    </row>
    <row r="45" ht="15.75" customHeight="1">
      <c r="A45" s="82">
        <v>16.0</v>
      </c>
      <c r="B45" s="378" t="s">
        <v>187</v>
      </c>
      <c r="C45" s="363" t="s">
        <v>170</v>
      </c>
      <c r="D45" s="379" t="s">
        <v>44</v>
      </c>
      <c r="E45" s="365" t="s">
        <v>41</v>
      </c>
      <c r="F45" s="365" t="s">
        <v>43</v>
      </c>
      <c r="G45" s="365" t="s">
        <v>43</v>
      </c>
      <c r="H45" s="365" t="s">
        <v>42</v>
      </c>
      <c r="I45" s="365" t="s">
        <v>43</v>
      </c>
      <c r="J45" s="365" t="s">
        <v>44</v>
      </c>
      <c r="K45" s="365" t="s">
        <v>41</v>
      </c>
      <c r="L45" s="365" t="s">
        <v>42</v>
      </c>
      <c r="M45" s="365" t="s">
        <v>44</v>
      </c>
      <c r="N45" s="365" t="s">
        <v>41</v>
      </c>
      <c r="O45" s="365" t="s">
        <v>43</v>
      </c>
      <c r="P45" s="365" t="s">
        <v>41</v>
      </c>
      <c r="Q45" s="365" t="s">
        <v>42</v>
      </c>
      <c r="R45" s="365" t="s">
        <v>42</v>
      </c>
      <c r="S45" s="365" t="s">
        <v>41</v>
      </c>
      <c r="T45" s="365" t="s">
        <v>41</v>
      </c>
      <c r="U45" s="365" t="s">
        <v>43</v>
      </c>
      <c r="V45" s="365" t="s">
        <v>42</v>
      </c>
      <c r="W45" s="365" t="s">
        <v>42</v>
      </c>
      <c r="X45" s="366" t="s">
        <v>41</v>
      </c>
      <c r="Y45" s="367" t="s">
        <v>44</v>
      </c>
      <c r="Z45" s="365" t="s">
        <v>43</v>
      </c>
      <c r="AA45" s="365" t="s">
        <v>42</v>
      </c>
      <c r="AB45" s="365" t="s">
        <v>43</v>
      </c>
      <c r="AC45" s="365" t="s">
        <v>41</v>
      </c>
      <c r="AD45" s="365" t="s">
        <v>41</v>
      </c>
      <c r="AE45" s="365" t="s">
        <v>44</v>
      </c>
      <c r="AF45" s="365" t="s">
        <v>44</v>
      </c>
      <c r="AG45" s="365" t="s">
        <v>43</v>
      </c>
      <c r="AH45" s="365" t="s">
        <v>44</v>
      </c>
      <c r="AI45" s="365" t="s">
        <v>41</v>
      </c>
      <c r="AJ45" s="365" t="s">
        <v>42</v>
      </c>
      <c r="AK45" s="365" t="s">
        <v>43</v>
      </c>
      <c r="AL45" s="365" t="s">
        <v>42</v>
      </c>
      <c r="AM45" s="365" t="s">
        <v>41</v>
      </c>
      <c r="AN45" s="365" t="s">
        <v>44</v>
      </c>
      <c r="AO45" s="365" t="s">
        <v>44</v>
      </c>
      <c r="AP45" s="365" t="s">
        <v>41</v>
      </c>
      <c r="AQ45" s="365" t="s">
        <v>43</v>
      </c>
      <c r="AR45" s="365" t="s">
        <v>43</v>
      </c>
      <c r="AS45" s="365" t="s">
        <v>41</v>
      </c>
      <c r="AT45" s="365" t="s">
        <v>42</v>
      </c>
      <c r="AU45" s="368"/>
      <c r="AV45" s="369" t="s">
        <v>44</v>
      </c>
      <c r="AW45" s="370">
        <v>3.0</v>
      </c>
      <c r="AX45" s="370">
        <v>2.0</v>
      </c>
      <c r="AY45" s="370">
        <v>2.0</v>
      </c>
      <c r="AZ45" s="370">
        <v>2.0</v>
      </c>
      <c r="BA45" s="371">
        <f t="shared" si="1"/>
        <v>56.25</v>
      </c>
      <c r="BB45" s="372" t="str">
        <f t="shared" si="2"/>
        <v>Adequado</v>
      </c>
      <c r="BC45" s="373"/>
      <c r="BD45" s="374">
        <f t="shared" si="3"/>
        <v>5</v>
      </c>
      <c r="BE45" s="374">
        <f t="shared" si="4"/>
        <v>126</v>
      </c>
      <c r="BF45" s="375" t="str">
        <f t="shared" si="5"/>
        <v>Básico</v>
      </c>
      <c r="BG45" s="376">
        <f t="shared" si="6"/>
        <v>16</v>
      </c>
      <c r="BH45" s="374">
        <f t="shared" si="7"/>
        <v>382</v>
      </c>
      <c r="BI45" s="377" t="str">
        <f t="shared" si="8"/>
        <v>Avançado</v>
      </c>
      <c r="BJ45" s="25"/>
      <c r="BK45" s="25"/>
    </row>
    <row r="46" ht="15.75" customHeight="1">
      <c r="A46" s="82">
        <v>17.0</v>
      </c>
      <c r="B46" s="378" t="s">
        <v>188</v>
      </c>
      <c r="C46" s="363" t="s">
        <v>170</v>
      </c>
      <c r="D46" s="379" t="s">
        <v>41</v>
      </c>
      <c r="E46" s="365" t="s">
        <v>42</v>
      </c>
      <c r="F46" s="365" t="s">
        <v>43</v>
      </c>
      <c r="G46" s="365" t="s">
        <v>44</v>
      </c>
      <c r="H46" s="365" t="s">
        <v>42</v>
      </c>
      <c r="I46" s="365" t="s">
        <v>43</v>
      </c>
      <c r="J46" s="365" t="s">
        <v>44</v>
      </c>
      <c r="K46" s="365" t="s">
        <v>43</v>
      </c>
      <c r="L46" s="365" t="s">
        <v>44</v>
      </c>
      <c r="M46" s="365" t="s">
        <v>44</v>
      </c>
      <c r="N46" s="365" t="s">
        <v>41</v>
      </c>
      <c r="O46" s="365" t="s">
        <v>43</v>
      </c>
      <c r="P46" s="365" t="s">
        <v>43</v>
      </c>
      <c r="Q46" s="365" t="s">
        <v>42</v>
      </c>
      <c r="R46" s="365" t="s">
        <v>42</v>
      </c>
      <c r="S46" s="365" t="s">
        <v>44</v>
      </c>
      <c r="T46" s="365" t="s">
        <v>43</v>
      </c>
      <c r="U46" s="365" t="s">
        <v>44</v>
      </c>
      <c r="V46" s="365" t="s">
        <v>42</v>
      </c>
      <c r="W46" s="365" t="s">
        <v>42</v>
      </c>
      <c r="X46" s="366" t="s">
        <v>42</v>
      </c>
      <c r="Y46" s="367" t="s">
        <v>43</v>
      </c>
      <c r="Z46" s="365" t="s">
        <v>43</v>
      </c>
      <c r="AA46" s="365" t="s">
        <v>43</v>
      </c>
      <c r="AB46" s="365" t="s">
        <v>43</v>
      </c>
      <c r="AC46" s="365" t="s">
        <v>41</v>
      </c>
      <c r="AD46" s="365" t="s">
        <v>41</v>
      </c>
      <c r="AE46" s="365" t="s">
        <v>42</v>
      </c>
      <c r="AF46" s="365" t="s">
        <v>44</v>
      </c>
      <c r="AG46" s="365" t="s">
        <v>43</v>
      </c>
      <c r="AH46" s="365" t="s">
        <v>44</v>
      </c>
      <c r="AI46" s="365" t="s">
        <v>41</v>
      </c>
      <c r="AJ46" s="365" t="s">
        <v>42</v>
      </c>
      <c r="AK46" s="365" t="s">
        <v>43</v>
      </c>
      <c r="AL46" s="365" t="s">
        <v>42</v>
      </c>
      <c r="AM46" s="365" t="s">
        <v>44</v>
      </c>
      <c r="AN46" s="365" t="s">
        <v>44</v>
      </c>
      <c r="AO46" s="365" t="s">
        <v>42</v>
      </c>
      <c r="AP46" s="365" t="s">
        <v>41</v>
      </c>
      <c r="AQ46" s="365" t="s">
        <v>43</v>
      </c>
      <c r="AR46" s="365" t="s">
        <v>41</v>
      </c>
      <c r="AS46" s="365" t="s">
        <v>42</v>
      </c>
      <c r="AT46" s="365" t="s">
        <v>41</v>
      </c>
      <c r="AU46" s="368"/>
      <c r="AV46" s="369" t="s">
        <v>44</v>
      </c>
      <c r="AW46" s="370">
        <v>3.0</v>
      </c>
      <c r="AX46" s="370">
        <v>3.0</v>
      </c>
      <c r="AY46" s="370">
        <v>3.0</v>
      </c>
      <c r="AZ46" s="370">
        <v>3.0</v>
      </c>
      <c r="BA46" s="371">
        <f t="shared" si="1"/>
        <v>75</v>
      </c>
      <c r="BB46" s="372" t="str">
        <f t="shared" si="2"/>
        <v>Adequado</v>
      </c>
      <c r="BC46" s="373"/>
      <c r="BD46" s="374">
        <f t="shared" si="3"/>
        <v>9</v>
      </c>
      <c r="BE46" s="374">
        <f t="shared" si="4"/>
        <v>216</v>
      </c>
      <c r="BF46" s="375" t="str">
        <f t="shared" si="5"/>
        <v>Básico</v>
      </c>
      <c r="BG46" s="376">
        <f t="shared" si="6"/>
        <v>15</v>
      </c>
      <c r="BH46" s="374">
        <f t="shared" si="7"/>
        <v>331</v>
      </c>
      <c r="BI46" s="377" t="str">
        <f t="shared" si="8"/>
        <v>Adequado</v>
      </c>
      <c r="BJ46" s="25"/>
      <c r="BK46" s="25"/>
    </row>
    <row r="47" ht="15.75" customHeight="1">
      <c r="A47" s="82">
        <v>18.0</v>
      </c>
      <c r="B47" s="378" t="s">
        <v>189</v>
      </c>
      <c r="C47" s="363" t="s">
        <v>170</v>
      </c>
      <c r="D47" s="379" t="s">
        <v>42</v>
      </c>
      <c r="E47" s="365" t="s">
        <v>42</v>
      </c>
      <c r="F47" s="365" t="s">
        <v>41</v>
      </c>
      <c r="G47" s="365" t="s">
        <v>42</v>
      </c>
      <c r="H47" s="365" t="s">
        <v>42</v>
      </c>
      <c r="I47" s="365" t="s">
        <v>42</v>
      </c>
      <c r="J47" s="365" t="s">
        <v>42</v>
      </c>
      <c r="K47" s="365" t="s">
        <v>43</v>
      </c>
      <c r="L47" s="365" t="s">
        <v>42</v>
      </c>
      <c r="M47" s="365" t="s">
        <v>41</v>
      </c>
      <c r="N47" s="365" t="s">
        <v>41</v>
      </c>
      <c r="O47" s="365" t="s">
        <v>43</v>
      </c>
      <c r="P47" s="365" t="s">
        <v>44</v>
      </c>
      <c r="Q47" s="365" t="s">
        <v>42</v>
      </c>
      <c r="R47" s="365" t="s">
        <v>42</v>
      </c>
      <c r="S47" s="365" t="s">
        <v>44</v>
      </c>
      <c r="T47" s="365" t="s">
        <v>44</v>
      </c>
      <c r="U47" s="365" t="s">
        <v>44</v>
      </c>
      <c r="V47" s="365" t="s">
        <v>41</v>
      </c>
      <c r="W47" s="365" t="s">
        <v>43</v>
      </c>
      <c r="X47" s="366" t="s">
        <v>44</v>
      </c>
      <c r="Y47" s="367" t="s">
        <v>44</v>
      </c>
      <c r="Z47" s="365" t="s">
        <v>43</v>
      </c>
      <c r="AA47" s="365" t="s">
        <v>42</v>
      </c>
      <c r="AB47" s="365" t="s">
        <v>43</v>
      </c>
      <c r="AC47" s="365" t="s">
        <v>41</v>
      </c>
      <c r="AD47" s="365" t="s">
        <v>41</v>
      </c>
      <c r="AE47" s="365" t="s">
        <v>44</v>
      </c>
      <c r="AF47" s="365" t="s">
        <v>44</v>
      </c>
      <c r="AG47" s="365" t="s">
        <v>43</v>
      </c>
      <c r="AH47" s="365" t="s">
        <v>44</v>
      </c>
      <c r="AI47" s="365" t="s">
        <v>41</v>
      </c>
      <c r="AJ47" s="365" t="s">
        <v>42</v>
      </c>
      <c r="AK47" s="365" t="s">
        <v>43</v>
      </c>
      <c r="AL47" s="365" t="s">
        <v>42</v>
      </c>
      <c r="AM47" s="365" t="s">
        <v>41</v>
      </c>
      <c r="AN47" s="365" t="s">
        <v>44</v>
      </c>
      <c r="AO47" s="365" t="s">
        <v>42</v>
      </c>
      <c r="AP47" s="365" t="s">
        <v>41</v>
      </c>
      <c r="AQ47" s="365" t="s">
        <v>43</v>
      </c>
      <c r="AR47" s="365" t="s">
        <v>41</v>
      </c>
      <c r="AS47" s="365" t="s">
        <v>41</v>
      </c>
      <c r="AT47" s="365" t="s">
        <v>42</v>
      </c>
      <c r="AU47" s="368"/>
      <c r="AV47" s="369" t="s">
        <v>44</v>
      </c>
      <c r="AW47" s="370">
        <v>3.0</v>
      </c>
      <c r="AX47" s="370">
        <v>1.0</v>
      </c>
      <c r="AY47" s="370">
        <v>1.0</v>
      </c>
      <c r="AZ47" s="370">
        <v>1.0</v>
      </c>
      <c r="BA47" s="371">
        <f t="shared" si="1"/>
        <v>37.5</v>
      </c>
      <c r="BB47" s="372" t="str">
        <f t="shared" si="2"/>
        <v>Básico</v>
      </c>
      <c r="BC47" s="373"/>
      <c r="BD47" s="374">
        <f t="shared" si="3"/>
        <v>12</v>
      </c>
      <c r="BE47" s="374">
        <f t="shared" si="4"/>
        <v>288</v>
      </c>
      <c r="BF47" s="375" t="str">
        <f t="shared" si="5"/>
        <v>Adequado</v>
      </c>
      <c r="BG47" s="376">
        <f t="shared" si="6"/>
        <v>18</v>
      </c>
      <c r="BH47" s="374">
        <f t="shared" si="7"/>
        <v>423</v>
      </c>
      <c r="BI47" s="377" t="str">
        <f t="shared" si="8"/>
        <v>Avançado</v>
      </c>
      <c r="BJ47" s="25"/>
      <c r="BK47" s="25"/>
    </row>
    <row r="48" ht="15.75" customHeight="1">
      <c r="A48" s="82">
        <v>19.0</v>
      </c>
      <c r="B48" s="378" t="s">
        <v>190</v>
      </c>
      <c r="C48" s="363" t="s">
        <v>170</v>
      </c>
      <c r="D48" s="379" t="s">
        <v>44</v>
      </c>
      <c r="E48" s="365" t="s">
        <v>41</v>
      </c>
      <c r="F48" s="365" t="s">
        <v>43</v>
      </c>
      <c r="G48" s="365" t="s">
        <v>42</v>
      </c>
      <c r="H48" s="365" t="s">
        <v>44</v>
      </c>
      <c r="I48" s="365" t="s">
        <v>43</v>
      </c>
      <c r="J48" s="365" t="s">
        <v>41</v>
      </c>
      <c r="K48" s="365" t="s">
        <v>43</v>
      </c>
      <c r="L48" s="365" t="s">
        <v>42</v>
      </c>
      <c r="M48" s="365" t="s">
        <v>43</v>
      </c>
      <c r="N48" s="365" t="s">
        <v>41</v>
      </c>
      <c r="O48" s="365" t="s">
        <v>41</v>
      </c>
      <c r="P48" s="365" t="s">
        <v>41</v>
      </c>
      <c r="Q48" s="365" t="s">
        <v>42</v>
      </c>
      <c r="R48" s="365" t="s">
        <v>41</v>
      </c>
      <c r="S48" s="365" t="s">
        <v>41</v>
      </c>
      <c r="T48" s="365" t="s">
        <v>43</v>
      </c>
      <c r="U48" s="365" t="s">
        <v>42</v>
      </c>
      <c r="V48" s="365" t="s">
        <v>42</v>
      </c>
      <c r="W48" s="365" t="s">
        <v>43</v>
      </c>
      <c r="X48" s="366" t="s">
        <v>43</v>
      </c>
      <c r="Y48" s="367" t="s">
        <v>44</v>
      </c>
      <c r="Z48" s="365" t="s">
        <v>43</v>
      </c>
      <c r="AA48" s="365" t="s">
        <v>42</v>
      </c>
      <c r="AB48" s="365" t="s">
        <v>43</v>
      </c>
      <c r="AC48" s="365" t="s">
        <v>41</v>
      </c>
      <c r="AD48" s="365" t="s">
        <v>41</v>
      </c>
      <c r="AE48" s="365" t="s">
        <v>44</v>
      </c>
      <c r="AF48" s="365" t="s">
        <v>44</v>
      </c>
      <c r="AG48" s="365" t="s">
        <v>43</v>
      </c>
      <c r="AH48" s="365" t="s">
        <v>44</v>
      </c>
      <c r="AI48" s="365" t="s">
        <v>41</v>
      </c>
      <c r="AJ48" s="365" t="s">
        <v>42</v>
      </c>
      <c r="AK48" s="365" t="s">
        <v>43</v>
      </c>
      <c r="AL48" s="365" t="s">
        <v>44</v>
      </c>
      <c r="AM48" s="365" t="s">
        <v>41</v>
      </c>
      <c r="AN48" s="365" t="s">
        <v>44</v>
      </c>
      <c r="AO48" s="365" t="s">
        <v>42</v>
      </c>
      <c r="AP48" s="365" t="s">
        <v>41</v>
      </c>
      <c r="AQ48" s="365" t="s">
        <v>43</v>
      </c>
      <c r="AR48" s="365" t="s">
        <v>41</v>
      </c>
      <c r="AS48" s="365" t="s">
        <v>41</v>
      </c>
      <c r="AT48" s="365" t="s">
        <v>42</v>
      </c>
      <c r="AU48" s="368"/>
      <c r="AV48" s="369" t="s">
        <v>44</v>
      </c>
      <c r="AW48" s="370">
        <v>3.0</v>
      </c>
      <c r="AX48" s="370">
        <v>3.0</v>
      </c>
      <c r="AY48" s="370">
        <v>3.0</v>
      </c>
      <c r="AZ48" s="370">
        <v>3.0</v>
      </c>
      <c r="BA48" s="371">
        <f t="shared" si="1"/>
        <v>75</v>
      </c>
      <c r="BB48" s="372" t="str">
        <f t="shared" si="2"/>
        <v>Adequado</v>
      </c>
      <c r="BC48" s="373"/>
      <c r="BD48" s="374">
        <f t="shared" si="3"/>
        <v>7</v>
      </c>
      <c r="BE48" s="374">
        <f t="shared" si="4"/>
        <v>198</v>
      </c>
      <c r="BF48" s="375" t="str">
        <f t="shared" si="5"/>
        <v>Básico</v>
      </c>
      <c r="BG48" s="376">
        <f t="shared" si="6"/>
        <v>17</v>
      </c>
      <c r="BH48" s="374">
        <f t="shared" si="7"/>
        <v>398</v>
      </c>
      <c r="BI48" s="377" t="str">
        <f t="shared" si="8"/>
        <v>Avançado</v>
      </c>
      <c r="BJ48" s="25"/>
      <c r="BK48" s="25"/>
    </row>
    <row r="49" ht="15.75" customHeight="1">
      <c r="A49" s="82">
        <v>20.0</v>
      </c>
      <c r="B49" s="378" t="s">
        <v>191</v>
      </c>
      <c r="C49" s="363" t="s">
        <v>170</v>
      </c>
      <c r="D49" s="379" t="s">
        <v>42</v>
      </c>
      <c r="E49" s="365" t="s">
        <v>41</v>
      </c>
      <c r="F49" s="365" t="s">
        <v>43</v>
      </c>
      <c r="G49" s="365" t="s">
        <v>44</v>
      </c>
      <c r="H49" s="365" t="s">
        <v>42</v>
      </c>
      <c r="I49" s="365" t="s">
        <v>44</v>
      </c>
      <c r="J49" s="365" t="s">
        <v>43</v>
      </c>
      <c r="K49" s="365" t="s">
        <v>42</v>
      </c>
      <c r="L49" s="365" t="s">
        <v>42</v>
      </c>
      <c r="M49" s="365" t="s">
        <v>44</v>
      </c>
      <c r="N49" s="365" t="s">
        <v>41</v>
      </c>
      <c r="O49" s="365" t="s">
        <v>44</v>
      </c>
      <c r="P49" s="365" t="s">
        <v>44</v>
      </c>
      <c r="Q49" s="365" t="s">
        <v>42</v>
      </c>
      <c r="R49" s="365" t="s">
        <v>41</v>
      </c>
      <c r="S49" s="365" t="s">
        <v>41</v>
      </c>
      <c r="T49" s="365" t="s">
        <v>44</v>
      </c>
      <c r="U49" s="365" t="s">
        <v>44</v>
      </c>
      <c r="V49" s="365" t="s">
        <v>41</v>
      </c>
      <c r="W49" s="365" t="s">
        <v>42</v>
      </c>
      <c r="X49" s="366" t="s">
        <v>42</v>
      </c>
      <c r="Y49" s="367" t="s">
        <v>44</v>
      </c>
      <c r="Z49" s="365" t="s">
        <v>43</v>
      </c>
      <c r="AA49" s="365" t="s">
        <v>42</v>
      </c>
      <c r="AB49" s="365" t="s">
        <v>43</v>
      </c>
      <c r="AC49" s="365" t="s">
        <v>42</v>
      </c>
      <c r="AD49" s="365" t="s">
        <v>41</v>
      </c>
      <c r="AE49" s="365" t="s">
        <v>42</v>
      </c>
      <c r="AF49" s="365" t="s">
        <v>44</v>
      </c>
      <c r="AG49" s="365" t="s">
        <v>41</v>
      </c>
      <c r="AH49" s="365" t="s">
        <v>44</v>
      </c>
      <c r="AI49" s="365" t="s">
        <v>41</v>
      </c>
      <c r="AJ49" s="365" t="s">
        <v>42</v>
      </c>
      <c r="AK49" s="365" t="s">
        <v>43</v>
      </c>
      <c r="AL49" s="365" t="s">
        <v>42</v>
      </c>
      <c r="AM49" s="365" t="s">
        <v>41</v>
      </c>
      <c r="AN49" s="365" t="s">
        <v>44</v>
      </c>
      <c r="AO49" s="365" t="s">
        <v>42</v>
      </c>
      <c r="AP49" s="365" t="s">
        <v>41</v>
      </c>
      <c r="AQ49" s="365" t="s">
        <v>42</v>
      </c>
      <c r="AR49" s="365" t="s">
        <v>41</v>
      </c>
      <c r="AS49" s="365" t="s">
        <v>42</v>
      </c>
      <c r="AT49" s="365" t="s">
        <v>42</v>
      </c>
      <c r="AU49" s="368"/>
      <c r="AV49" s="369" t="s">
        <v>44</v>
      </c>
      <c r="AW49" s="370">
        <v>3.0</v>
      </c>
      <c r="AX49" s="370">
        <v>3.0</v>
      </c>
      <c r="AY49" s="370">
        <v>3.0</v>
      </c>
      <c r="AZ49" s="370">
        <v>3.0</v>
      </c>
      <c r="BA49" s="371">
        <f t="shared" si="1"/>
        <v>75</v>
      </c>
      <c r="BB49" s="372" t="str">
        <f t="shared" si="2"/>
        <v>Adequado</v>
      </c>
      <c r="BC49" s="373"/>
      <c r="BD49" s="374">
        <f t="shared" si="3"/>
        <v>10</v>
      </c>
      <c r="BE49" s="374">
        <f t="shared" si="4"/>
        <v>189</v>
      </c>
      <c r="BF49" s="375" t="str">
        <f t="shared" si="5"/>
        <v>Básico</v>
      </c>
      <c r="BG49" s="376">
        <f t="shared" si="6"/>
        <v>16</v>
      </c>
      <c r="BH49" s="374">
        <f t="shared" si="7"/>
        <v>365</v>
      </c>
      <c r="BI49" s="377" t="str">
        <f t="shared" si="8"/>
        <v>Adequado</v>
      </c>
      <c r="BJ49" s="25"/>
      <c r="BK49" s="25"/>
    </row>
    <row r="50" ht="15.75" customHeight="1">
      <c r="A50" s="82">
        <v>21.0</v>
      </c>
      <c r="B50" s="378" t="s">
        <v>192</v>
      </c>
      <c r="C50" s="363" t="s">
        <v>170</v>
      </c>
      <c r="D50" s="379" t="s">
        <v>43</v>
      </c>
      <c r="E50" s="365" t="s">
        <v>41</v>
      </c>
      <c r="F50" s="365" t="s">
        <v>41</v>
      </c>
      <c r="G50" s="365" t="s">
        <v>42</v>
      </c>
      <c r="H50" s="365" t="s">
        <v>44</v>
      </c>
      <c r="I50" s="365" t="s">
        <v>43</v>
      </c>
      <c r="J50" s="365" t="s">
        <v>42</v>
      </c>
      <c r="K50" s="365" t="s">
        <v>42</v>
      </c>
      <c r="L50" s="365" t="s">
        <v>42</v>
      </c>
      <c r="M50" s="365" t="s">
        <v>41</v>
      </c>
      <c r="N50" s="365" t="s">
        <v>41</v>
      </c>
      <c r="O50" s="365" t="s">
        <v>43</v>
      </c>
      <c r="P50" s="365" t="s">
        <v>41</v>
      </c>
      <c r="Q50" s="365" t="s">
        <v>42</v>
      </c>
      <c r="R50" s="365" t="s">
        <v>43</v>
      </c>
      <c r="S50" s="365" t="s">
        <v>42</v>
      </c>
      <c r="T50" s="365" t="s">
        <v>44</v>
      </c>
      <c r="U50" s="365" t="s">
        <v>44</v>
      </c>
      <c r="V50" s="365" t="s">
        <v>41</v>
      </c>
      <c r="W50" s="365" t="s">
        <v>43</v>
      </c>
      <c r="X50" s="366" t="s">
        <v>42</v>
      </c>
      <c r="Y50" s="367" t="s">
        <v>44</v>
      </c>
      <c r="Z50" s="365" t="s">
        <v>43</v>
      </c>
      <c r="AA50" s="365" t="s">
        <v>42</v>
      </c>
      <c r="AB50" s="365" t="s">
        <v>43</v>
      </c>
      <c r="AC50" s="365" t="s">
        <v>41</v>
      </c>
      <c r="AD50" s="365" t="s">
        <v>41</v>
      </c>
      <c r="AE50" s="365" t="s">
        <v>42</v>
      </c>
      <c r="AF50" s="365" t="s">
        <v>44</v>
      </c>
      <c r="AG50" s="365" t="s">
        <v>43</v>
      </c>
      <c r="AH50" s="365" t="s">
        <v>44</v>
      </c>
      <c r="AI50" s="365" t="s">
        <v>41</v>
      </c>
      <c r="AJ50" s="365" t="s">
        <v>42</v>
      </c>
      <c r="AK50" s="365" t="s">
        <v>43</v>
      </c>
      <c r="AL50" s="365" t="s">
        <v>42</v>
      </c>
      <c r="AM50" s="365" t="s">
        <v>41</v>
      </c>
      <c r="AN50" s="365" t="s">
        <v>44</v>
      </c>
      <c r="AO50" s="365" t="s">
        <v>42</v>
      </c>
      <c r="AP50" s="365" t="s">
        <v>41</v>
      </c>
      <c r="AQ50" s="365" t="s">
        <v>44</v>
      </c>
      <c r="AR50" s="365" t="s">
        <v>42</v>
      </c>
      <c r="AS50" s="365" t="s">
        <v>44</v>
      </c>
      <c r="AT50" s="365" t="s">
        <v>42</v>
      </c>
      <c r="AU50" s="368"/>
      <c r="AV50" s="369" t="s">
        <v>44</v>
      </c>
      <c r="AW50" s="370">
        <v>2.0</v>
      </c>
      <c r="AX50" s="370">
        <v>2.0</v>
      </c>
      <c r="AY50" s="370">
        <v>2.0</v>
      </c>
      <c r="AZ50" s="370">
        <v>2.0</v>
      </c>
      <c r="BA50" s="371">
        <f t="shared" si="1"/>
        <v>50</v>
      </c>
      <c r="BB50" s="372" t="str">
        <f t="shared" si="2"/>
        <v>Básico</v>
      </c>
      <c r="BC50" s="373"/>
      <c r="BD50" s="374">
        <f t="shared" si="3"/>
        <v>14</v>
      </c>
      <c r="BE50" s="374">
        <f t="shared" si="4"/>
        <v>261</v>
      </c>
      <c r="BF50" s="375" t="str">
        <f t="shared" si="5"/>
        <v>Adequado</v>
      </c>
      <c r="BG50" s="376">
        <f t="shared" si="6"/>
        <v>18</v>
      </c>
      <c r="BH50" s="374">
        <f t="shared" si="7"/>
        <v>406</v>
      </c>
      <c r="BI50" s="377" t="str">
        <f t="shared" si="8"/>
        <v>Avançado</v>
      </c>
      <c r="BJ50" s="25"/>
      <c r="BK50" s="25"/>
    </row>
    <row r="51" ht="15.75" customHeight="1">
      <c r="A51" s="82">
        <v>22.0</v>
      </c>
      <c r="B51" s="378" t="s">
        <v>193</v>
      </c>
      <c r="C51" s="363" t="s">
        <v>170</v>
      </c>
      <c r="D51" s="379" t="s">
        <v>42</v>
      </c>
      <c r="E51" s="365" t="s">
        <v>42</v>
      </c>
      <c r="F51" s="365" t="s">
        <v>41</v>
      </c>
      <c r="G51" s="365" t="s">
        <v>44</v>
      </c>
      <c r="H51" s="365" t="s">
        <v>44</v>
      </c>
      <c r="I51" s="365" t="s">
        <v>43</v>
      </c>
      <c r="J51" s="365" t="s">
        <v>41</v>
      </c>
      <c r="K51" s="365" t="s">
        <v>41</v>
      </c>
      <c r="L51" s="365" t="s">
        <v>42</v>
      </c>
      <c r="M51" s="365" t="s">
        <v>41</v>
      </c>
      <c r="N51" s="365" t="s">
        <v>41</v>
      </c>
      <c r="O51" s="365" t="s">
        <v>44</v>
      </c>
      <c r="P51" s="365" t="s">
        <v>43</v>
      </c>
      <c r="Q51" s="365" t="s">
        <v>42</v>
      </c>
      <c r="R51" s="365" t="s">
        <v>42</v>
      </c>
      <c r="S51" s="365" t="s">
        <v>44</v>
      </c>
      <c r="T51" s="365" t="s">
        <v>44</v>
      </c>
      <c r="U51" s="365" t="s">
        <v>42</v>
      </c>
      <c r="V51" s="365" t="s">
        <v>41</v>
      </c>
      <c r="W51" s="365" t="s">
        <v>43</v>
      </c>
      <c r="X51" s="366" t="s">
        <v>42</v>
      </c>
      <c r="Y51" s="367" t="s">
        <v>44</v>
      </c>
      <c r="Z51" s="365" t="s">
        <v>43</v>
      </c>
      <c r="AA51" s="365" t="s">
        <v>42</v>
      </c>
      <c r="AB51" s="365" t="s">
        <v>43</v>
      </c>
      <c r="AC51" s="365" t="s">
        <v>41</v>
      </c>
      <c r="AD51" s="365" t="s">
        <v>41</v>
      </c>
      <c r="AE51" s="365" t="s">
        <v>42</v>
      </c>
      <c r="AF51" s="365" t="s">
        <v>44</v>
      </c>
      <c r="AG51" s="365" t="s">
        <v>42</v>
      </c>
      <c r="AH51" s="365" t="s">
        <v>44</v>
      </c>
      <c r="AI51" s="365" t="s">
        <v>41</v>
      </c>
      <c r="AJ51" s="365" t="s">
        <v>42</v>
      </c>
      <c r="AK51" s="365" t="s">
        <v>43</v>
      </c>
      <c r="AL51" s="365" t="s">
        <v>42</v>
      </c>
      <c r="AM51" s="365" t="s">
        <v>41</v>
      </c>
      <c r="AN51" s="365" t="s">
        <v>42</v>
      </c>
      <c r="AO51" s="365" t="s">
        <v>42</v>
      </c>
      <c r="AP51" s="365" t="s">
        <v>41</v>
      </c>
      <c r="AQ51" s="365" t="s">
        <v>41</v>
      </c>
      <c r="AR51" s="365" t="s">
        <v>41</v>
      </c>
      <c r="AS51" s="365" t="s">
        <v>42</v>
      </c>
      <c r="AT51" s="365" t="s">
        <v>44</v>
      </c>
      <c r="AU51" s="368"/>
      <c r="AV51" s="369" t="s">
        <v>44</v>
      </c>
      <c r="AW51" s="370">
        <v>3.0</v>
      </c>
      <c r="AX51" s="370">
        <v>3.0</v>
      </c>
      <c r="AY51" s="370">
        <v>3.0</v>
      </c>
      <c r="AZ51" s="370">
        <v>3.0</v>
      </c>
      <c r="BA51" s="371">
        <f t="shared" si="1"/>
        <v>75</v>
      </c>
      <c r="BB51" s="372" t="str">
        <f t="shared" si="2"/>
        <v>Adequado</v>
      </c>
      <c r="BC51" s="373"/>
      <c r="BD51" s="374">
        <f t="shared" si="3"/>
        <v>9</v>
      </c>
      <c r="BE51" s="374">
        <f t="shared" si="4"/>
        <v>189</v>
      </c>
      <c r="BF51" s="375" t="str">
        <f t="shared" si="5"/>
        <v>Básico</v>
      </c>
      <c r="BG51" s="376">
        <f t="shared" si="6"/>
        <v>15</v>
      </c>
      <c r="BH51" s="374">
        <f t="shared" si="7"/>
        <v>331</v>
      </c>
      <c r="BI51" s="377" t="str">
        <f t="shared" si="8"/>
        <v>Adequado</v>
      </c>
      <c r="BJ51" s="25"/>
      <c r="BK51" s="25"/>
    </row>
    <row r="52" ht="15.75" customHeight="1">
      <c r="A52" s="82">
        <v>23.0</v>
      </c>
      <c r="B52" s="378" t="s">
        <v>194</v>
      </c>
      <c r="C52" s="363" t="s">
        <v>170</v>
      </c>
      <c r="D52" s="379" t="s">
        <v>43</v>
      </c>
      <c r="E52" s="365" t="s">
        <v>42</v>
      </c>
      <c r="F52" s="365" t="s">
        <v>41</v>
      </c>
      <c r="G52" s="365" t="s">
        <v>42</v>
      </c>
      <c r="H52" s="365" t="s">
        <v>42</v>
      </c>
      <c r="I52" s="365" t="s">
        <v>43</v>
      </c>
      <c r="J52" s="365" t="s">
        <v>42</v>
      </c>
      <c r="K52" s="365" t="s">
        <v>42</v>
      </c>
      <c r="L52" s="365" t="s">
        <v>44</v>
      </c>
      <c r="M52" s="365" t="s">
        <v>41</v>
      </c>
      <c r="N52" s="365" t="s">
        <v>41</v>
      </c>
      <c r="O52" s="365" t="s">
        <v>44</v>
      </c>
      <c r="P52" s="365" t="s">
        <v>44</v>
      </c>
      <c r="Q52" s="365" t="s">
        <v>42</v>
      </c>
      <c r="R52" s="365" t="s">
        <v>41</v>
      </c>
      <c r="S52" s="365" t="s">
        <v>44</v>
      </c>
      <c r="T52" s="365" t="s">
        <v>44</v>
      </c>
      <c r="U52" s="365" t="s">
        <v>44</v>
      </c>
      <c r="V52" s="365" t="s">
        <v>41</v>
      </c>
      <c r="W52" s="365" t="s">
        <v>43</v>
      </c>
      <c r="X52" s="366" t="s">
        <v>42</v>
      </c>
      <c r="Y52" s="367" t="s">
        <v>44</v>
      </c>
      <c r="Z52" s="365" t="s">
        <v>43</v>
      </c>
      <c r="AA52" s="365" t="s">
        <v>42</v>
      </c>
      <c r="AB52" s="365" t="s">
        <v>43</v>
      </c>
      <c r="AC52" s="365" t="s">
        <v>41</v>
      </c>
      <c r="AD52" s="365" t="s">
        <v>41</v>
      </c>
      <c r="AE52" s="365" t="s">
        <v>42</v>
      </c>
      <c r="AF52" s="365" t="s">
        <v>44</v>
      </c>
      <c r="AG52" s="365" t="s">
        <v>43</v>
      </c>
      <c r="AH52" s="365" t="s">
        <v>44</v>
      </c>
      <c r="AI52" s="365" t="s">
        <v>41</v>
      </c>
      <c r="AJ52" s="365" t="s">
        <v>42</v>
      </c>
      <c r="AK52" s="365" t="s">
        <v>41</v>
      </c>
      <c r="AL52" s="365" t="s">
        <v>42</v>
      </c>
      <c r="AM52" s="365" t="s">
        <v>41</v>
      </c>
      <c r="AN52" s="365" t="s">
        <v>43</v>
      </c>
      <c r="AO52" s="365" t="s">
        <v>42</v>
      </c>
      <c r="AP52" s="365" t="s">
        <v>41</v>
      </c>
      <c r="AQ52" s="365" t="s">
        <v>41</v>
      </c>
      <c r="AR52" s="365" t="s">
        <v>41</v>
      </c>
      <c r="AS52" s="365" t="s">
        <v>41</v>
      </c>
      <c r="AT52" s="365" t="s">
        <v>42</v>
      </c>
      <c r="AU52" s="368"/>
      <c r="AV52" s="369" t="s">
        <v>44</v>
      </c>
      <c r="AW52" s="370">
        <v>4.0</v>
      </c>
      <c r="AX52" s="370">
        <v>3.0</v>
      </c>
      <c r="AY52" s="370">
        <v>3.0</v>
      </c>
      <c r="AZ52" s="370">
        <v>3.0</v>
      </c>
      <c r="BA52" s="371">
        <f t="shared" si="1"/>
        <v>81.25</v>
      </c>
      <c r="BB52" s="372" t="str">
        <f t="shared" si="2"/>
        <v>Avançado</v>
      </c>
      <c r="BC52" s="373"/>
      <c r="BD52" s="374">
        <f t="shared" si="3"/>
        <v>16</v>
      </c>
      <c r="BE52" s="374">
        <f t="shared" si="4"/>
        <v>378</v>
      </c>
      <c r="BF52" s="375" t="str">
        <f t="shared" si="5"/>
        <v>Avançado</v>
      </c>
      <c r="BG52" s="376">
        <f t="shared" si="6"/>
        <v>17</v>
      </c>
      <c r="BH52" s="374">
        <f t="shared" si="7"/>
        <v>381</v>
      </c>
      <c r="BI52" s="377" t="str">
        <f t="shared" si="8"/>
        <v>Avançado</v>
      </c>
      <c r="BJ52" s="25"/>
      <c r="BK52" s="25"/>
    </row>
    <row r="53" ht="15.75" customHeight="1">
      <c r="A53" s="82">
        <v>24.0</v>
      </c>
      <c r="B53" s="378" t="s">
        <v>195</v>
      </c>
      <c r="C53" s="363" t="s">
        <v>170</v>
      </c>
      <c r="D53" s="379" t="s">
        <v>43</v>
      </c>
      <c r="E53" s="365" t="s">
        <v>42</v>
      </c>
      <c r="F53" s="365" t="s">
        <v>41</v>
      </c>
      <c r="G53" s="365" t="s">
        <v>42</v>
      </c>
      <c r="H53" s="365" t="s">
        <v>42</v>
      </c>
      <c r="I53" s="365" t="s">
        <v>41</v>
      </c>
      <c r="J53" s="365" t="s">
        <v>42</v>
      </c>
      <c r="K53" s="365" t="s">
        <v>42</v>
      </c>
      <c r="L53" s="365" t="s">
        <v>44</v>
      </c>
      <c r="M53" s="365" t="s">
        <v>41</v>
      </c>
      <c r="N53" s="365" t="s">
        <v>41</v>
      </c>
      <c r="O53" s="365" t="s">
        <v>43</v>
      </c>
      <c r="P53" s="365" t="s">
        <v>41</v>
      </c>
      <c r="Q53" s="365" t="s">
        <v>42</v>
      </c>
      <c r="R53" s="365" t="s">
        <v>42</v>
      </c>
      <c r="S53" s="365" t="s">
        <v>44</v>
      </c>
      <c r="T53" s="365" t="s">
        <v>44</v>
      </c>
      <c r="U53" s="365" t="s">
        <v>44</v>
      </c>
      <c r="V53" s="365" t="s">
        <v>41</v>
      </c>
      <c r="W53" s="365" t="s">
        <v>43</v>
      </c>
      <c r="X53" s="366" t="s">
        <v>41</v>
      </c>
      <c r="Y53" s="367" t="s">
        <v>44</v>
      </c>
      <c r="Z53" s="365" t="s">
        <v>43</v>
      </c>
      <c r="AA53" s="365" t="s">
        <v>41</v>
      </c>
      <c r="AB53" s="365" t="s">
        <v>43</v>
      </c>
      <c r="AC53" s="365" t="s">
        <v>44</v>
      </c>
      <c r="AD53" s="365" t="s">
        <v>44</v>
      </c>
      <c r="AE53" s="365" t="s">
        <v>43</v>
      </c>
      <c r="AF53" s="365" t="s">
        <v>42</v>
      </c>
      <c r="AG53" s="365" t="s">
        <v>42</v>
      </c>
      <c r="AH53" s="365" t="s">
        <v>42</v>
      </c>
      <c r="AI53" s="365" t="s">
        <v>41</v>
      </c>
      <c r="AJ53" s="365" t="s">
        <v>42</v>
      </c>
      <c r="AK53" s="365" t="s">
        <v>43</v>
      </c>
      <c r="AL53" s="365" t="s">
        <v>42</v>
      </c>
      <c r="AM53" s="365" t="s">
        <v>41</v>
      </c>
      <c r="AN53" s="365" t="s">
        <v>41</v>
      </c>
      <c r="AO53" s="365" t="s">
        <v>42</v>
      </c>
      <c r="AP53" s="365" t="s">
        <v>41</v>
      </c>
      <c r="AQ53" s="365" t="s">
        <v>41</v>
      </c>
      <c r="AR53" s="365" t="s">
        <v>42</v>
      </c>
      <c r="AS53" s="365" t="s">
        <v>41</v>
      </c>
      <c r="AT53" s="365" t="s">
        <v>44</v>
      </c>
      <c r="AU53" s="368"/>
      <c r="AV53" s="369" t="s">
        <v>44</v>
      </c>
      <c r="AW53" s="370">
        <v>2.0</v>
      </c>
      <c r="AX53" s="370">
        <v>2.0</v>
      </c>
      <c r="AY53" s="370">
        <v>2.0</v>
      </c>
      <c r="AZ53" s="370">
        <v>2.0</v>
      </c>
      <c r="BA53" s="371">
        <f t="shared" si="1"/>
        <v>50</v>
      </c>
      <c r="BB53" s="372" t="str">
        <f t="shared" si="2"/>
        <v>Básico</v>
      </c>
      <c r="BC53" s="373"/>
      <c r="BD53" s="374">
        <f t="shared" si="3"/>
        <v>13</v>
      </c>
      <c r="BE53" s="374">
        <f t="shared" si="4"/>
        <v>306</v>
      </c>
      <c r="BF53" s="375" t="str">
        <f t="shared" si="5"/>
        <v>Adequado</v>
      </c>
      <c r="BG53" s="376">
        <f t="shared" si="6"/>
        <v>11</v>
      </c>
      <c r="BH53" s="374">
        <f t="shared" si="7"/>
        <v>266</v>
      </c>
      <c r="BI53" s="377" t="str">
        <f t="shared" si="8"/>
        <v>Adequado</v>
      </c>
      <c r="BJ53" s="25"/>
      <c r="BK53" s="25"/>
    </row>
    <row r="54" ht="15.75" customHeight="1">
      <c r="A54" s="82">
        <v>25.0</v>
      </c>
      <c r="B54" s="378" t="s">
        <v>196</v>
      </c>
      <c r="C54" s="363" t="s">
        <v>170</v>
      </c>
      <c r="D54" s="379" t="s">
        <v>41</v>
      </c>
      <c r="E54" s="365" t="s">
        <v>42</v>
      </c>
      <c r="F54" s="365" t="s">
        <v>41</v>
      </c>
      <c r="G54" s="365" t="s">
        <v>42</v>
      </c>
      <c r="H54" s="365" t="s">
        <v>43</v>
      </c>
      <c r="I54" s="365" t="s">
        <v>42</v>
      </c>
      <c r="J54" s="365" t="s">
        <v>44</v>
      </c>
      <c r="K54" s="365" t="s">
        <v>42</v>
      </c>
      <c r="L54" s="365" t="s">
        <v>44</v>
      </c>
      <c r="M54" s="365" t="s">
        <v>42</v>
      </c>
      <c r="N54" s="365" t="s">
        <v>41</v>
      </c>
      <c r="O54" s="365" t="s">
        <v>43</v>
      </c>
      <c r="P54" s="365" t="s">
        <v>44</v>
      </c>
      <c r="Q54" s="365" t="s">
        <v>42</v>
      </c>
      <c r="R54" s="365" t="s">
        <v>41</v>
      </c>
      <c r="S54" s="365" t="s">
        <v>41</v>
      </c>
      <c r="T54" s="365" t="s">
        <v>43</v>
      </c>
      <c r="U54" s="365" t="s">
        <v>41</v>
      </c>
      <c r="V54" s="365" t="s">
        <v>41</v>
      </c>
      <c r="W54" s="365" t="s">
        <v>43</v>
      </c>
      <c r="X54" s="366" t="s">
        <v>41</v>
      </c>
      <c r="Y54" s="367" t="s">
        <v>44</v>
      </c>
      <c r="Z54" s="365" t="s">
        <v>43</v>
      </c>
      <c r="AA54" s="365" t="s">
        <v>41</v>
      </c>
      <c r="AB54" s="365" t="s">
        <v>43</v>
      </c>
      <c r="AC54" s="365" t="s">
        <v>41</v>
      </c>
      <c r="AD54" s="365" t="s">
        <v>41</v>
      </c>
      <c r="AE54" s="365" t="s">
        <v>43</v>
      </c>
      <c r="AF54" s="365" t="s">
        <v>44</v>
      </c>
      <c r="AG54" s="365" t="s">
        <v>43</v>
      </c>
      <c r="AH54" s="365" t="s">
        <v>44</v>
      </c>
      <c r="AI54" s="365" t="s">
        <v>41</v>
      </c>
      <c r="AJ54" s="365" t="s">
        <v>42</v>
      </c>
      <c r="AK54" s="365" t="s">
        <v>43</v>
      </c>
      <c r="AL54" s="365" t="s">
        <v>42</v>
      </c>
      <c r="AM54" s="365" t="s">
        <v>41</v>
      </c>
      <c r="AN54" s="365" t="s">
        <v>44</v>
      </c>
      <c r="AO54" s="365" t="s">
        <v>44</v>
      </c>
      <c r="AP54" s="365" t="s">
        <v>41</v>
      </c>
      <c r="AQ54" s="365" t="s">
        <v>44</v>
      </c>
      <c r="AR54" s="365" t="s">
        <v>42</v>
      </c>
      <c r="AS54" s="365" t="s">
        <v>41</v>
      </c>
      <c r="AT54" s="365" t="s">
        <v>42</v>
      </c>
      <c r="AU54" s="368"/>
      <c r="AV54" s="369" t="s">
        <v>41</v>
      </c>
      <c r="AW54" s="370" t="s">
        <v>173</v>
      </c>
      <c r="AX54" s="370" t="s">
        <v>173</v>
      </c>
      <c r="AY54" s="370" t="s">
        <v>173</v>
      </c>
      <c r="AZ54" s="370" t="s">
        <v>173</v>
      </c>
      <c r="BA54" s="371">
        <f t="shared" si="1"/>
        <v>0</v>
      </c>
      <c r="BB54" s="372" t="str">
        <f t="shared" si="2"/>
        <v>Abaixo do Básico</v>
      </c>
      <c r="BC54" s="373"/>
      <c r="BD54" s="374">
        <f t="shared" si="3"/>
        <v>11</v>
      </c>
      <c r="BE54" s="374">
        <f t="shared" si="4"/>
        <v>261</v>
      </c>
      <c r="BF54" s="375" t="str">
        <f t="shared" si="5"/>
        <v>Adequado</v>
      </c>
      <c r="BG54" s="376">
        <f t="shared" si="6"/>
        <v>18</v>
      </c>
      <c r="BH54" s="374">
        <f t="shared" si="7"/>
        <v>432</v>
      </c>
      <c r="BI54" s="377" t="str">
        <f t="shared" si="8"/>
        <v>Avançado</v>
      </c>
      <c r="BJ54" s="25"/>
      <c r="BK54" s="25"/>
    </row>
    <row r="55" ht="15.75" customHeight="1">
      <c r="A55" s="82">
        <v>26.0</v>
      </c>
      <c r="B55" s="378" t="s">
        <v>197</v>
      </c>
      <c r="C55" s="363" t="s">
        <v>170</v>
      </c>
      <c r="D55" s="379" t="s">
        <v>42</v>
      </c>
      <c r="E55" s="365" t="s">
        <v>44</v>
      </c>
      <c r="F55" s="365" t="s">
        <v>41</v>
      </c>
      <c r="G55" s="365" t="s">
        <v>42</v>
      </c>
      <c r="H55" s="365" t="s">
        <v>42</v>
      </c>
      <c r="I55" s="365" t="s">
        <v>43</v>
      </c>
      <c r="J55" s="365" t="s">
        <v>42</v>
      </c>
      <c r="K55" s="365" t="s">
        <v>41</v>
      </c>
      <c r="L55" s="365" t="s">
        <v>44</v>
      </c>
      <c r="M55" s="365" t="s">
        <v>41</v>
      </c>
      <c r="N55" s="365" t="s">
        <v>41</v>
      </c>
      <c r="O55" s="365" t="s">
        <v>43</v>
      </c>
      <c r="P55" s="365" t="s">
        <v>44</v>
      </c>
      <c r="Q55" s="365" t="s">
        <v>42</v>
      </c>
      <c r="R55" s="365" t="s">
        <v>41</v>
      </c>
      <c r="S55" s="365" t="s">
        <v>41</v>
      </c>
      <c r="T55" s="365" t="s">
        <v>44</v>
      </c>
      <c r="U55" s="365" t="s">
        <v>42</v>
      </c>
      <c r="V55" s="365" t="s">
        <v>42</v>
      </c>
      <c r="W55" s="365" t="s">
        <v>43</v>
      </c>
      <c r="X55" s="366" t="s">
        <v>42</v>
      </c>
      <c r="Y55" s="367" t="s">
        <v>44</v>
      </c>
      <c r="Z55" s="365" t="s">
        <v>43</v>
      </c>
      <c r="AA55" s="365" t="s">
        <v>42</v>
      </c>
      <c r="AB55" s="365" t="s">
        <v>43</v>
      </c>
      <c r="AC55" s="365" t="s">
        <v>44</v>
      </c>
      <c r="AD55" s="365" t="s">
        <v>42</v>
      </c>
      <c r="AE55" s="365" t="s">
        <v>42</v>
      </c>
      <c r="AF55" s="365" t="s">
        <v>43</v>
      </c>
      <c r="AG55" s="365" t="s">
        <v>43</v>
      </c>
      <c r="AH55" s="365" t="s">
        <v>44</v>
      </c>
      <c r="AI55" s="365" t="s">
        <v>41</v>
      </c>
      <c r="AJ55" s="365" t="s">
        <v>42</v>
      </c>
      <c r="AK55" s="365" t="s">
        <v>41</v>
      </c>
      <c r="AL55" s="365" t="s">
        <v>43</v>
      </c>
      <c r="AM55" s="365" t="s">
        <v>173</v>
      </c>
      <c r="AN55" s="365" t="s">
        <v>173</v>
      </c>
      <c r="AO55" s="365" t="s">
        <v>173</v>
      </c>
      <c r="AP55" s="365" t="s">
        <v>173</v>
      </c>
      <c r="AQ55" s="365" t="s">
        <v>173</v>
      </c>
      <c r="AR55" s="365" t="s">
        <v>173</v>
      </c>
      <c r="AS55" s="365" t="s">
        <v>173</v>
      </c>
      <c r="AT55" s="365" t="s">
        <v>173</v>
      </c>
      <c r="AU55" s="380"/>
      <c r="AV55" s="369" t="s">
        <v>41</v>
      </c>
      <c r="AW55" s="370" t="s">
        <v>173</v>
      </c>
      <c r="AX55" s="370" t="s">
        <v>173</v>
      </c>
      <c r="AY55" s="370" t="s">
        <v>173</v>
      </c>
      <c r="AZ55" s="370" t="s">
        <v>173</v>
      </c>
      <c r="BA55" s="371">
        <f t="shared" si="1"/>
        <v>0</v>
      </c>
      <c r="BB55" s="372" t="str">
        <f t="shared" si="2"/>
        <v>Abaixo do Básico</v>
      </c>
      <c r="BC55" s="373"/>
      <c r="BD55" s="374">
        <f t="shared" si="3"/>
        <v>12</v>
      </c>
      <c r="BE55" s="374">
        <f t="shared" si="4"/>
        <v>315</v>
      </c>
      <c r="BF55" s="375" t="str">
        <f t="shared" si="5"/>
        <v>Adequado</v>
      </c>
      <c r="BG55" s="376">
        <f t="shared" si="6"/>
        <v>8</v>
      </c>
      <c r="BH55" s="374">
        <f t="shared" si="7"/>
        <v>174</v>
      </c>
      <c r="BI55" s="377" t="str">
        <f t="shared" si="8"/>
        <v>Básico</v>
      </c>
      <c r="BJ55" s="25"/>
      <c r="BK55" s="25"/>
    </row>
    <row r="56" ht="15.75" customHeight="1">
      <c r="A56" s="82">
        <v>27.0</v>
      </c>
      <c r="B56" s="378" t="s">
        <v>198</v>
      </c>
      <c r="C56" s="363" t="s">
        <v>199</v>
      </c>
      <c r="D56" s="379" t="s">
        <v>43</v>
      </c>
      <c r="E56" s="365" t="s">
        <v>43</v>
      </c>
      <c r="F56" s="365" t="s">
        <v>41</v>
      </c>
      <c r="G56" s="365" t="s">
        <v>42</v>
      </c>
      <c r="H56" s="365" t="s">
        <v>44</v>
      </c>
      <c r="I56" s="365" t="s">
        <v>43</v>
      </c>
      <c r="J56" s="365" t="s">
        <v>44</v>
      </c>
      <c r="K56" s="365" t="s">
        <v>41</v>
      </c>
      <c r="L56" s="365" t="s">
        <v>42</v>
      </c>
      <c r="M56" s="365" t="s">
        <v>42</v>
      </c>
      <c r="N56" s="365" t="s">
        <v>41</v>
      </c>
      <c r="O56" s="365" t="s">
        <v>41</v>
      </c>
      <c r="P56" s="365" t="s">
        <v>42</v>
      </c>
      <c r="Q56" s="365" t="s">
        <v>41</v>
      </c>
      <c r="R56" s="365" t="s">
        <v>44</v>
      </c>
      <c r="S56" s="365" t="s">
        <v>41</v>
      </c>
      <c r="T56" s="365" t="s">
        <v>42</v>
      </c>
      <c r="U56" s="365" t="s">
        <v>44</v>
      </c>
      <c r="V56" s="365" t="s">
        <v>42</v>
      </c>
      <c r="W56" s="365" t="s">
        <v>41</v>
      </c>
      <c r="X56" s="366" t="s">
        <v>41</v>
      </c>
      <c r="Y56" s="367" t="s">
        <v>44</v>
      </c>
      <c r="Z56" s="365" t="s">
        <v>43</v>
      </c>
      <c r="AA56" s="365" t="s">
        <v>42</v>
      </c>
      <c r="AB56" s="365" t="s">
        <v>43</v>
      </c>
      <c r="AC56" s="365" t="s">
        <v>43</v>
      </c>
      <c r="AD56" s="365" t="s">
        <v>41</v>
      </c>
      <c r="AE56" s="365" t="s">
        <v>42</v>
      </c>
      <c r="AF56" s="365" t="s">
        <v>42</v>
      </c>
      <c r="AG56" s="365" t="s">
        <v>43</v>
      </c>
      <c r="AH56" s="365" t="s">
        <v>43</v>
      </c>
      <c r="AI56" s="365" t="s">
        <v>41</v>
      </c>
      <c r="AJ56" s="365" t="s">
        <v>42</v>
      </c>
      <c r="AK56" s="365" t="s">
        <v>42</v>
      </c>
      <c r="AL56" s="365" t="s">
        <v>42</v>
      </c>
      <c r="AM56" s="365" t="s">
        <v>41</v>
      </c>
      <c r="AN56" s="365" t="s">
        <v>44</v>
      </c>
      <c r="AO56" s="365" t="s">
        <v>41</v>
      </c>
      <c r="AP56" s="365" t="s">
        <v>41</v>
      </c>
      <c r="AQ56" s="365" t="s">
        <v>43</v>
      </c>
      <c r="AR56" s="365" t="s">
        <v>41</v>
      </c>
      <c r="AS56" s="365" t="s">
        <v>41</v>
      </c>
      <c r="AT56" s="365" t="s">
        <v>42</v>
      </c>
      <c r="AU56" s="368"/>
      <c r="AV56" s="369" t="s">
        <v>44</v>
      </c>
      <c r="AW56" s="370">
        <v>2.0</v>
      </c>
      <c r="AX56" s="370">
        <v>2.0</v>
      </c>
      <c r="AY56" s="370">
        <v>2.0</v>
      </c>
      <c r="AZ56" s="370">
        <v>2.0</v>
      </c>
      <c r="BA56" s="371">
        <f t="shared" si="1"/>
        <v>50</v>
      </c>
      <c r="BB56" s="372" t="str">
        <f t="shared" si="2"/>
        <v>Básico</v>
      </c>
      <c r="BC56" s="373"/>
      <c r="BD56" s="374">
        <f t="shared" si="3"/>
        <v>7</v>
      </c>
      <c r="BE56" s="374">
        <f t="shared" si="4"/>
        <v>189</v>
      </c>
      <c r="BF56" s="375" t="str">
        <f t="shared" si="5"/>
        <v>Básico</v>
      </c>
      <c r="BG56" s="376">
        <f t="shared" si="6"/>
        <v>14</v>
      </c>
      <c r="BH56" s="374">
        <f t="shared" si="7"/>
        <v>333</v>
      </c>
      <c r="BI56" s="377" t="str">
        <f t="shared" si="8"/>
        <v>Adequado</v>
      </c>
      <c r="BJ56" s="25"/>
      <c r="BK56" s="25"/>
    </row>
    <row r="57" ht="15.75" customHeight="1">
      <c r="A57" s="82">
        <v>28.0</v>
      </c>
      <c r="B57" s="378" t="s">
        <v>200</v>
      </c>
      <c r="C57" s="363" t="s">
        <v>170</v>
      </c>
      <c r="D57" s="379" t="s">
        <v>44</v>
      </c>
      <c r="E57" s="365" t="s">
        <v>42</v>
      </c>
      <c r="F57" s="365" t="s">
        <v>43</v>
      </c>
      <c r="G57" s="365" t="s">
        <v>42</v>
      </c>
      <c r="H57" s="365" t="s">
        <v>42</v>
      </c>
      <c r="I57" s="365" t="s">
        <v>44</v>
      </c>
      <c r="J57" s="365" t="s">
        <v>42</v>
      </c>
      <c r="K57" s="365" t="s">
        <v>43</v>
      </c>
      <c r="L57" s="365" t="s">
        <v>41</v>
      </c>
      <c r="M57" s="365" t="s">
        <v>44</v>
      </c>
      <c r="N57" s="365" t="s">
        <v>41</v>
      </c>
      <c r="O57" s="365" t="s">
        <v>43</v>
      </c>
      <c r="P57" s="365" t="s">
        <v>44</v>
      </c>
      <c r="Q57" s="365" t="s">
        <v>42</v>
      </c>
      <c r="R57" s="365" t="s">
        <v>42</v>
      </c>
      <c r="S57" s="365" t="s">
        <v>44</v>
      </c>
      <c r="T57" s="365" t="s">
        <v>44</v>
      </c>
      <c r="U57" s="365" t="s">
        <v>42</v>
      </c>
      <c r="V57" s="365" t="s">
        <v>41</v>
      </c>
      <c r="W57" s="365" t="s">
        <v>43</v>
      </c>
      <c r="X57" s="366" t="s">
        <v>43</v>
      </c>
      <c r="Y57" s="367" t="s">
        <v>44</v>
      </c>
      <c r="Z57" s="365" t="s">
        <v>43</v>
      </c>
      <c r="AA57" s="365" t="s">
        <v>42</v>
      </c>
      <c r="AB57" s="365" t="s">
        <v>42</v>
      </c>
      <c r="AC57" s="365" t="s">
        <v>41</v>
      </c>
      <c r="AD57" s="365" t="s">
        <v>41</v>
      </c>
      <c r="AE57" s="365" t="s">
        <v>42</v>
      </c>
      <c r="AF57" s="365" t="s">
        <v>41</v>
      </c>
      <c r="AG57" s="365" t="s">
        <v>43</v>
      </c>
      <c r="AH57" s="365" t="s">
        <v>41</v>
      </c>
      <c r="AI57" s="365" t="s">
        <v>41</v>
      </c>
      <c r="AJ57" s="365" t="s">
        <v>42</v>
      </c>
      <c r="AK57" s="365" t="s">
        <v>44</v>
      </c>
      <c r="AL57" s="365" t="s">
        <v>42</v>
      </c>
      <c r="AM57" s="365" t="s">
        <v>173</v>
      </c>
      <c r="AN57" s="365" t="s">
        <v>41</v>
      </c>
      <c r="AO57" s="365" t="s">
        <v>44</v>
      </c>
      <c r="AP57" s="365" t="s">
        <v>42</v>
      </c>
      <c r="AQ57" s="365" t="s">
        <v>41</v>
      </c>
      <c r="AR57" s="365" t="s">
        <v>43</v>
      </c>
      <c r="AS57" s="365" t="s">
        <v>43</v>
      </c>
      <c r="AT57" s="365" t="s">
        <v>42</v>
      </c>
      <c r="AU57" s="380"/>
      <c r="AV57" s="369" t="s">
        <v>44</v>
      </c>
      <c r="AW57" s="370">
        <v>3.0</v>
      </c>
      <c r="AX57" s="370">
        <v>3.0</v>
      </c>
      <c r="AY57" s="370">
        <v>3.0</v>
      </c>
      <c r="AZ57" s="370">
        <v>3.0</v>
      </c>
      <c r="BA57" s="371">
        <f t="shared" si="1"/>
        <v>75</v>
      </c>
      <c r="BB57" s="372" t="str">
        <f t="shared" si="2"/>
        <v>Adequado</v>
      </c>
      <c r="BC57" s="373"/>
      <c r="BD57" s="374">
        <f t="shared" si="3"/>
        <v>10</v>
      </c>
      <c r="BE57" s="374">
        <f t="shared" si="4"/>
        <v>279</v>
      </c>
      <c r="BF57" s="375" t="str">
        <f t="shared" si="5"/>
        <v>Adequado</v>
      </c>
      <c r="BG57" s="376">
        <f t="shared" si="6"/>
        <v>10</v>
      </c>
      <c r="BH57" s="374">
        <f t="shared" si="7"/>
        <v>224</v>
      </c>
      <c r="BI57" s="377" t="str">
        <f t="shared" si="8"/>
        <v>Básico</v>
      </c>
      <c r="BJ57" s="25"/>
      <c r="BK57" s="25"/>
    </row>
    <row r="58" ht="15.75" customHeight="1">
      <c r="A58" s="82">
        <v>29.0</v>
      </c>
      <c r="B58" s="378" t="s">
        <v>201</v>
      </c>
      <c r="C58" s="363" t="s">
        <v>170</v>
      </c>
      <c r="D58" s="379" t="s">
        <v>42</v>
      </c>
      <c r="E58" s="365" t="s">
        <v>41</v>
      </c>
      <c r="F58" s="365" t="s">
        <v>41</v>
      </c>
      <c r="G58" s="365" t="s">
        <v>42</v>
      </c>
      <c r="H58" s="365" t="s">
        <v>44</v>
      </c>
      <c r="I58" s="365" t="s">
        <v>42</v>
      </c>
      <c r="J58" s="365" t="s">
        <v>42</v>
      </c>
      <c r="K58" s="365" t="s">
        <v>42</v>
      </c>
      <c r="L58" s="365" t="s">
        <v>44</v>
      </c>
      <c r="M58" s="365" t="s">
        <v>44</v>
      </c>
      <c r="N58" s="365" t="s">
        <v>41</v>
      </c>
      <c r="O58" s="365" t="s">
        <v>43</v>
      </c>
      <c r="P58" s="365" t="s">
        <v>44</v>
      </c>
      <c r="Q58" s="365" t="s">
        <v>42</v>
      </c>
      <c r="R58" s="365" t="s">
        <v>42</v>
      </c>
      <c r="S58" s="365" t="s">
        <v>41</v>
      </c>
      <c r="T58" s="365" t="s">
        <v>44</v>
      </c>
      <c r="U58" s="365" t="s">
        <v>44</v>
      </c>
      <c r="V58" s="365" t="s">
        <v>43</v>
      </c>
      <c r="W58" s="365" t="s">
        <v>43</v>
      </c>
      <c r="X58" s="366" t="s">
        <v>42</v>
      </c>
      <c r="Y58" s="367" t="s">
        <v>44</v>
      </c>
      <c r="Z58" s="365" t="s">
        <v>43</v>
      </c>
      <c r="AA58" s="365" t="s">
        <v>42</v>
      </c>
      <c r="AB58" s="365" t="s">
        <v>43</v>
      </c>
      <c r="AC58" s="365" t="s">
        <v>42</v>
      </c>
      <c r="AD58" s="365" t="s">
        <v>44</v>
      </c>
      <c r="AE58" s="365" t="s">
        <v>43</v>
      </c>
      <c r="AF58" s="365" t="s">
        <v>44</v>
      </c>
      <c r="AG58" s="365" t="s">
        <v>43</v>
      </c>
      <c r="AH58" s="365" t="s">
        <v>44</v>
      </c>
      <c r="AI58" s="365" t="s">
        <v>41</v>
      </c>
      <c r="AJ58" s="365" t="s">
        <v>42</v>
      </c>
      <c r="AK58" s="365" t="s">
        <v>43</v>
      </c>
      <c r="AL58" s="365" t="s">
        <v>42</v>
      </c>
      <c r="AM58" s="365" t="s">
        <v>41</v>
      </c>
      <c r="AN58" s="365" t="s">
        <v>42</v>
      </c>
      <c r="AO58" s="365" t="s">
        <v>42</v>
      </c>
      <c r="AP58" s="365" t="s">
        <v>41</v>
      </c>
      <c r="AQ58" s="365" t="s">
        <v>43</v>
      </c>
      <c r="AR58" s="365" t="s">
        <v>42</v>
      </c>
      <c r="AS58" s="365" t="s">
        <v>44</v>
      </c>
      <c r="AT58" s="365" t="s">
        <v>42</v>
      </c>
      <c r="AU58" s="368"/>
      <c r="AV58" s="369" t="s">
        <v>41</v>
      </c>
      <c r="AW58" s="370" t="s">
        <v>173</v>
      </c>
      <c r="AX58" s="370" t="s">
        <v>173</v>
      </c>
      <c r="AY58" s="370" t="s">
        <v>173</v>
      </c>
      <c r="AZ58" s="370" t="s">
        <v>173</v>
      </c>
      <c r="BA58" s="371">
        <f t="shared" si="1"/>
        <v>0</v>
      </c>
      <c r="BB58" s="372" t="str">
        <f t="shared" si="2"/>
        <v>Abaixo do Básico</v>
      </c>
      <c r="BC58" s="373"/>
      <c r="BD58" s="374">
        <f t="shared" si="3"/>
        <v>13</v>
      </c>
      <c r="BE58" s="374">
        <f t="shared" si="4"/>
        <v>279</v>
      </c>
      <c r="BF58" s="375" t="str">
        <f t="shared" si="5"/>
        <v>Adequado</v>
      </c>
      <c r="BG58" s="376">
        <f t="shared" si="6"/>
        <v>13</v>
      </c>
      <c r="BH58" s="374">
        <f t="shared" si="7"/>
        <v>307</v>
      </c>
      <c r="BI58" s="377" t="str">
        <f t="shared" si="8"/>
        <v>Adequado</v>
      </c>
      <c r="BJ58" s="25"/>
      <c r="BK58" s="25"/>
    </row>
    <row r="59" ht="15.75" customHeight="1">
      <c r="A59" s="381">
        <v>30.0</v>
      </c>
      <c r="B59" s="382"/>
      <c r="C59" s="383"/>
      <c r="D59" s="384"/>
      <c r="E59" s="365" t="str">
        <f t="shared" ref="E59:AT59" si="9">IF(D59="F","F","")</f>
        <v/>
      </c>
      <c r="F59" s="365" t="str">
        <f t="shared" si="9"/>
        <v/>
      </c>
      <c r="G59" s="365" t="str">
        <f t="shared" si="9"/>
        <v/>
      </c>
      <c r="H59" s="365" t="str">
        <f t="shared" si="9"/>
        <v/>
      </c>
      <c r="I59" s="365" t="str">
        <f t="shared" si="9"/>
        <v/>
      </c>
      <c r="J59" s="365" t="str">
        <f t="shared" si="9"/>
        <v/>
      </c>
      <c r="K59" s="365" t="str">
        <f t="shared" si="9"/>
        <v/>
      </c>
      <c r="L59" s="365" t="str">
        <f t="shared" si="9"/>
        <v/>
      </c>
      <c r="M59" s="365" t="str">
        <f t="shared" si="9"/>
        <v/>
      </c>
      <c r="N59" s="365" t="str">
        <f t="shared" si="9"/>
        <v/>
      </c>
      <c r="O59" s="365" t="str">
        <f t="shared" si="9"/>
        <v/>
      </c>
      <c r="P59" s="365" t="str">
        <f t="shared" si="9"/>
        <v/>
      </c>
      <c r="Q59" s="365" t="str">
        <f t="shared" si="9"/>
        <v/>
      </c>
      <c r="R59" s="365" t="str">
        <f t="shared" si="9"/>
        <v/>
      </c>
      <c r="S59" s="365" t="str">
        <f t="shared" si="9"/>
        <v/>
      </c>
      <c r="T59" s="365" t="str">
        <f t="shared" si="9"/>
        <v/>
      </c>
      <c r="U59" s="365" t="str">
        <f t="shared" si="9"/>
        <v/>
      </c>
      <c r="V59" s="365" t="str">
        <f t="shared" si="9"/>
        <v/>
      </c>
      <c r="W59" s="365" t="str">
        <f t="shared" si="9"/>
        <v/>
      </c>
      <c r="X59" s="366" t="str">
        <f t="shared" si="9"/>
        <v/>
      </c>
      <c r="Y59" s="367" t="str">
        <f t="shared" si="9"/>
        <v/>
      </c>
      <c r="Z59" s="365" t="str">
        <f t="shared" si="9"/>
        <v/>
      </c>
      <c r="AA59" s="365" t="str">
        <f t="shared" si="9"/>
        <v/>
      </c>
      <c r="AB59" s="365" t="str">
        <f t="shared" si="9"/>
        <v/>
      </c>
      <c r="AC59" s="365" t="str">
        <f t="shared" si="9"/>
        <v/>
      </c>
      <c r="AD59" s="365" t="str">
        <f t="shared" si="9"/>
        <v/>
      </c>
      <c r="AE59" s="365" t="str">
        <f t="shared" si="9"/>
        <v/>
      </c>
      <c r="AF59" s="365" t="str">
        <f t="shared" si="9"/>
        <v/>
      </c>
      <c r="AG59" s="365" t="str">
        <f t="shared" si="9"/>
        <v/>
      </c>
      <c r="AH59" s="365" t="str">
        <f t="shared" si="9"/>
        <v/>
      </c>
      <c r="AI59" s="365" t="str">
        <f t="shared" si="9"/>
        <v/>
      </c>
      <c r="AJ59" s="365" t="str">
        <f t="shared" si="9"/>
        <v/>
      </c>
      <c r="AK59" s="365" t="str">
        <f t="shared" si="9"/>
        <v/>
      </c>
      <c r="AL59" s="365" t="str">
        <f t="shared" si="9"/>
        <v/>
      </c>
      <c r="AM59" s="365" t="str">
        <f t="shared" si="9"/>
        <v/>
      </c>
      <c r="AN59" s="365" t="str">
        <f t="shared" si="9"/>
        <v/>
      </c>
      <c r="AO59" s="365" t="str">
        <f t="shared" si="9"/>
        <v/>
      </c>
      <c r="AP59" s="365" t="str">
        <f t="shared" si="9"/>
        <v/>
      </c>
      <c r="AQ59" s="365" t="str">
        <f t="shared" si="9"/>
        <v/>
      </c>
      <c r="AR59" s="365" t="str">
        <f t="shared" si="9"/>
        <v/>
      </c>
      <c r="AS59" s="365" t="str">
        <f t="shared" si="9"/>
        <v/>
      </c>
      <c r="AT59" s="365" t="str">
        <f t="shared" si="9"/>
        <v/>
      </c>
      <c r="AU59" s="368"/>
      <c r="AV59" s="369"/>
      <c r="AW59" s="385"/>
      <c r="AX59" s="385"/>
      <c r="AY59" s="385"/>
      <c r="AZ59" s="385"/>
      <c r="BA59" s="371"/>
      <c r="BB59" s="372"/>
      <c r="BC59" s="373"/>
      <c r="BD59" s="374"/>
      <c r="BE59" s="374"/>
      <c r="BF59" s="375"/>
      <c r="BG59" s="376"/>
      <c r="BH59" s="374"/>
      <c r="BI59" s="377"/>
      <c r="BJ59" s="25"/>
      <c r="BK59" s="25"/>
    </row>
    <row r="60" ht="15.75" customHeight="1">
      <c r="A60" s="381">
        <v>31.0</v>
      </c>
      <c r="B60" s="382"/>
      <c r="C60" s="383"/>
      <c r="D60" s="384"/>
      <c r="E60" s="365" t="str">
        <f t="shared" ref="E60:AT60" si="10">IF(D60="F","F","")</f>
        <v/>
      </c>
      <c r="F60" s="365" t="str">
        <f t="shared" si="10"/>
        <v/>
      </c>
      <c r="G60" s="365" t="str">
        <f t="shared" si="10"/>
        <v/>
      </c>
      <c r="H60" s="365" t="str">
        <f t="shared" si="10"/>
        <v/>
      </c>
      <c r="I60" s="365" t="str">
        <f t="shared" si="10"/>
        <v/>
      </c>
      <c r="J60" s="365" t="str">
        <f t="shared" si="10"/>
        <v/>
      </c>
      <c r="K60" s="365" t="str">
        <f t="shared" si="10"/>
        <v/>
      </c>
      <c r="L60" s="365" t="str">
        <f t="shared" si="10"/>
        <v/>
      </c>
      <c r="M60" s="365" t="str">
        <f t="shared" si="10"/>
        <v/>
      </c>
      <c r="N60" s="365" t="str">
        <f t="shared" si="10"/>
        <v/>
      </c>
      <c r="O60" s="365" t="str">
        <f t="shared" si="10"/>
        <v/>
      </c>
      <c r="P60" s="365" t="str">
        <f t="shared" si="10"/>
        <v/>
      </c>
      <c r="Q60" s="365" t="str">
        <f t="shared" si="10"/>
        <v/>
      </c>
      <c r="R60" s="365" t="str">
        <f t="shared" si="10"/>
        <v/>
      </c>
      <c r="S60" s="365" t="str">
        <f t="shared" si="10"/>
        <v/>
      </c>
      <c r="T60" s="365" t="str">
        <f t="shared" si="10"/>
        <v/>
      </c>
      <c r="U60" s="365" t="str">
        <f t="shared" si="10"/>
        <v/>
      </c>
      <c r="V60" s="365" t="str">
        <f t="shared" si="10"/>
        <v/>
      </c>
      <c r="W60" s="365" t="str">
        <f t="shared" si="10"/>
        <v/>
      </c>
      <c r="X60" s="366" t="str">
        <f t="shared" si="10"/>
        <v/>
      </c>
      <c r="Y60" s="367" t="str">
        <f t="shared" si="10"/>
        <v/>
      </c>
      <c r="Z60" s="365" t="str">
        <f t="shared" si="10"/>
        <v/>
      </c>
      <c r="AA60" s="365" t="str">
        <f t="shared" si="10"/>
        <v/>
      </c>
      <c r="AB60" s="365" t="str">
        <f t="shared" si="10"/>
        <v/>
      </c>
      <c r="AC60" s="365" t="str">
        <f t="shared" si="10"/>
        <v/>
      </c>
      <c r="AD60" s="365" t="str">
        <f t="shared" si="10"/>
        <v/>
      </c>
      <c r="AE60" s="365" t="str">
        <f t="shared" si="10"/>
        <v/>
      </c>
      <c r="AF60" s="365" t="str">
        <f t="shared" si="10"/>
        <v/>
      </c>
      <c r="AG60" s="365" t="str">
        <f t="shared" si="10"/>
        <v/>
      </c>
      <c r="AH60" s="365" t="str">
        <f t="shared" si="10"/>
        <v/>
      </c>
      <c r="AI60" s="365" t="str">
        <f t="shared" si="10"/>
        <v/>
      </c>
      <c r="AJ60" s="365" t="str">
        <f t="shared" si="10"/>
        <v/>
      </c>
      <c r="AK60" s="365" t="str">
        <f t="shared" si="10"/>
        <v/>
      </c>
      <c r="AL60" s="365" t="str">
        <f t="shared" si="10"/>
        <v/>
      </c>
      <c r="AM60" s="365" t="str">
        <f t="shared" si="10"/>
        <v/>
      </c>
      <c r="AN60" s="365" t="str">
        <f t="shared" si="10"/>
        <v/>
      </c>
      <c r="AO60" s="365" t="str">
        <f t="shared" si="10"/>
        <v/>
      </c>
      <c r="AP60" s="365" t="str">
        <f t="shared" si="10"/>
        <v/>
      </c>
      <c r="AQ60" s="365" t="str">
        <f t="shared" si="10"/>
        <v/>
      </c>
      <c r="AR60" s="365" t="str">
        <f t="shared" si="10"/>
        <v/>
      </c>
      <c r="AS60" s="365" t="str">
        <f t="shared" si="10"/>
        <v/>
      </c>
      <c r="AT60" s="365" t="str">
        <f t="shared" si="10"/>
        <v/>
      </c>
      <c r="AU60" s="368"/>
      <c r="AV60" s="369"/>
      <c r="AW60" s="385"/>
      <c r="AX60" s="385"/>
      <c r="AY60" s="385"/>
      <c r="AZ60" s="385"/>
      <c r="BA60" s="371"/>
      <c r="BB60" s="372"/>
      <c r="BC60" s="373"/>
      <c r="BD60" s="374"/>
      <c r="BE60" s="374"/>
      <c r="BF60" s="375"/>
      <c r="BG60" s="376"/>
      <c r="BH60" s="374"/>
      <c r="BI60" s="377"/>
      <c r="BJ60" s="25"/>
      <c r="BK60" s="25"/>
    </row>
    <row r="61" ht="15.75" customHeight="1">
      <c r="A61" s="381">
        <v>32.0</v>
      </c>
      <c r="B61" s="382"/>
      <c r="C61" s="383"/>
      <c r="D61" s="384"/>
      <c r="E61" s="365" t="str">
        <f t="shared" ref="E61:AT61" si="11">IF(D61="F","F","")</f>
        <v/>
      </c>
      <c r="F61" s="365" t="str">
        <f t="shared" si="11"/>
        <v/>
      </c>
      <c r="G61" s="365" t="str">
        <f t="shared" si="11"/>
        <v/>
      </c>
      <c r="H61" s="365" t="str">
        <f t="shared" si="11"/>
        <v/>
      </c>
      <c r="I61" s="365" t="str">
        <f t="shared" si="11"/>
        <v/>
      </c>
      <c r="J61" s="365" t="str">
        <f t="shared" si="11"/>
        <v/>
      </c>
      <c r="K61" s="365" t="str">
        <f t="shared" si="11"/>
        <v/>
      </c>
      <c r="L61" s="365" t="str">
        <f t="shared" si="11"/>
        <v/>
      </c>
      <c r="M61" s="365" t="str">
        <f t="shared" si="11"/>
        <v/>
      </c>
      <c r="N61" s="365" t="str">
        <f t="shared" si="11"/>
        <v/>
      </c>
      <c r="O61" s="365" t="str">
        <f t="shared" si="11"/>
        <v/>
      </c>
      <c r="P61" s="365" t="str">
        <f t="shared" si="11"/>
        <v/>
      </c>
      <c r="Q61" s="365" t="str">
        <f t="shared" si="11"/>
        <v/>
      </c>
      <c r="R61" s="365" t="str">
        <f t="shared" si="11"/>
        <v/>
      </c>
      <c r="S61" s="365" t="str">
        <f t="shared" si="11"/>
        <v/>
      </c>
      <c r="T61" s="365" t="str">
        <f t="shared" si="11"/>
        <v/>
      </c>
      <c r="U61" s="365" t="str">
        <f t="shared" si="11"/>
        <v/>
      </c>
      <c r="V61" s="365" t="str">
        <f t="shared" si="11"/>
        <v/>
      </c>
      <c r="W61" s="365" t="str">
        <f t="shared" si="11"/>
        <v/>
      </c>
      <c r="X61" s="366" t="str">
        <f t="shared" si="11"/>
        <v/>
      </c>
      <c r="Y61" s="367" t="str">
        <f t="shared" si="11"/>
        <v/>
      </c>
      <c r="Z61" s="365" t="str">
        <f t="shared" si="11"/>
        <v/>
      </c>
      <c r="AA61" s="365" t="str">
        <f t="shared" si="11"/>
        <v/>
      </c>
      <c r="AB61" s="365" t="str">
        <f t="shared" si="11"/>
        <v/>
      </c>
      <c r="AC61" s="365" t="str">
        <f t="shared" si="11"/>
        <v/>
      </c>
      <c r="AD61" s="365" t="str">
        <f t="shared" si="11"/>
        <v/>
      </c>
      <c r="AE61" s="365" t="str">
        <f t="shared" si="11"/>
        <v/>
      </c>
      <c r="AF61" s="365" t="str">
        <f t="shared" si="11"/>
        <v/>
      </c>
      <c r="AG61" s="365" t="str">
        <f t="shared" si="11"/>
        <v/>
      </c>
      <c r="AH61" s="365" t="str">
        <f t="shared" si="11"/>
        <v/>
      </c>
      <c r="AI61" s="365" t="str">
        <f t="shared" si="11"/>
        <v/>
      </c>
      <c r="AJ61" s="365" t="str">
        <f t="shared" si="11"/>
        <v/>
      </c>
      <c r="AK61" s="365" t="str">
        <f t="shared" si="11"/>
        <v/>
      </c>
      <c r="AL61" s="365" t="str">
        <f t="shared" si="11"/>
        <v/>
      </c>
      <c r="AM61" s="365" t="str">
        <f t="shared" si="11"/>
        <v/>
      </c>
      <c r="AN61" s="365" t="str">
        <f t="shared" si="11"/>
        <v/>
      </c>
      <c r="AO61" s="365" t="str">
        <f t="shared" si="11"/>
        <v/>
      </c>
      <c r="AP61" s="365" t="str">
        <f t="shared" si="11"/>
        <v/>
      </c>
      <c r="AQ61" s="365" t="str">
        <f t="shared" si="11"/>
        <v/>
      </c>
      <c r="AR61" s="365" t="str">
        <f t="shared" si="11"/>
        <v/>
      </c>
      <c r="AS61" s="365" t="str">
        <f t="shared" si="11"/>
        <v/>
      </c>
      <c r="AT61" s="365" t="str">
        <f t="shared" si="11"/>
        <v/>
      </c>
      <c r="AU61" s="368"/>
      <c r="AV61" s="369"/>
      <c r="AW61" s="385"/>
      <c r="AX61" s="385"/>
      <c r="AY61" s="385"/>
      <c r="AZ61" s="385"/>
      <c r="BA61" s="371"/>
      <c r="BB61" s="372"/>
      <c r="BC61" s="373"/>
      <c r="BD61" s="374"/>
      <c r="BE61" s="374"/>
      <c r="BF61" s="375"/>
      <c r="BG61" s="376"/>
      <c r="BH61" s="374"/>
      <c r="BI61" s="377"/>
      <c r="BJ61" s="25"/>
      <c r="BK61" s="25"/>
    </row>
    <row r="62" ht="15.75" customHeight="1">
      <c r="A62" s="381">
        <v>33.0</v>
      </c>
      <c r="B62" s="382"/>
      <c r="C62" s="383"/>
      <c r="D62" s="384"/>
      <c r="E62" s="365" t="str">
        <f t="shared" ref="E62:AT62" si="12">IF(D62="F","F","")</f>
        <v/>
      </c>
      <c r="F62" s="365" t="str">
        <f t="shared" si="12"/>
        <v/>
      </c>
      <c r="G62" s="365" t="str">
        <f t="shared" si="12"/>
        <v/>
      </c>
      <c r="H62" s="365" t="str">
        <f t="shared" si="12"/>
        <v/>
      </c>
      <c r="I62" s="365" t="str">
        <f t="shared" si="12"/>
        <v/>
      </c>
      <c r="J62" s="365" t="str">
        <f t="shared" si="12"/>
        <v/>
      </c>
      <c r="K62" s="365" t="str">
        <f t="shared" si="12"/>
        <v/>
      </c>
      <c r="L62" s="365" t="str">
        <f t="shared" si="12"/>
        <v/>
      </c>
      <c r="M62" s="365" t="str">
        <f t="shared" si="12"/>
        <v/>
      </c>
      <c r="N62" s="365" t="str">
        <f t="shared" si="12"/>
        <v/>
      </c>
      <c r="O62" s="365" t="str">
        <f t="shared" si="12"/>
        <v/>
      </c>
      <c r="P62" s="365" t="str">
        <f t="shared" si="12"/>
        <v/>
      </c>
      <c r="Q62" s="365" t="str">
        <f t="shared" si="12"/>
        <v/>
      </c>
      <c r="R62" s="365" t="str">
        <f t="shared" si="12"/>
        <v/>
      </c>
      <c r="S62" s="365" t="str">
        <f t="shared" si="12"/>
        <v/>
      </c>
      <c r="T62" s="365" t="str">
        <f t="shared" si="12"/>
        <v/>
      </c>
      <c r="U62" s="365" t="str">
        <f t="shared" si="12"/>
        <v/>
      </c>
      <c r="V62" s="365" t="str">
        <f t="shared" si="12"/>
        <v/>
      </c>
      <c r="W62" s="365" t="str">
        <f t="shared" si="12"/>
        <v/>
      </c>
      <c r="X62" s="366" t="str">
        <f t="shared" si="12"/>
        <v/>
      </c>
      <c r="Y62" s="367" t="str">
        <f t="shared" si="12"/>
        <v/>
      </c>
      <c r="Z62" s="365" t="str">
        <f t="shared" si="12"/>
        <v/>
      </c>
      <c r="AA62" s="365" t="str">
        <f t="shared" si="12"/>
        <v/>
      </c>
      <c r="AB62" s="365" t="str">
        <f t="shared" si="12"/>
        <v/>
      </c>
      <c r="AC62" s="365" t="str">
        <f t="shared" si="12"/>
        <v/>
      </c>
      <c r="AD62" s="365" t="str">
        <f t="shared" si="12"/>
        <v/>
      </c>
      <c r="AE62" s="365" t="str">
        <f t="shared" si="12"/>
        <v/>
      </c>
      <c r="AF62" s="365" t="str">
        <f t="shared" si="12"/>
        <v/>
      </c>
      <c r="AG62" s="365" t="str">
        <f t="shared" si="12"/>
        <v/>
      </c>
      <c r="AH62" s="365" t="str">
        <f t="shared" si="12"/>
        <v/>
      </c>
      <c r="AI62" s="365" t="str">
        <f t="shared" si="12"/>
        <v/>
      </c>
      <c r="AJ62" s="365" t="str">
        <f t="shared" si="12"/>
        <v/>
      </c>
      <c r="AK62" s="365" t="str">
        <f t="shared" si="12"/>
        <v/>
      </c>
      <c r="AL62" s="365" t="str">
        <f t="shared" si="12"/>
        <v/>
      </c>
      <c r="AM62" s="365" t="str">
        <f t="shared" si="12"/>
        <v/>
      </c>
      <c r="AN62" s="365" t="str">
        <f t="shared" si="12"/>
        <v/>
      </c>
      <c r="AO62" s="365" t="str">
        <f t="shared" si="12"/>
        <v/>
      </c>
      <c r="AP62" s="365" t="str">
        <f t="shared" si="12"/>
        <v/>
      </c>
      <c r="AQ62" s="365" t="str">
        <f t="shared" si="12"/>
        <v/>
      </c>
      <c r="AR62" s="365" t="str">
        <f t="shared" si="12"/>
        <v/>
      </c>
      <c r="AS62" s="365" t="str">
        <f t="shared" si="12"/>
        <v/>
      </c>
      <c r="AT62" s="365" t="str">
        <f t="shared" si="12"/>
        <v/>
      </c>
      <c r="AU62" s="368"/>
      <c r="AV62" s="369"/>
      <c r="AW62" s="385"/>
      <c r="AX62" s="385"/>
      <c r="AY62" s="385"/>
      <c r="AZ62" s="385"/>
      <c r="BA62" s="371"/>
      <c r="BB62" s="372"/>
      <c r="BC62" s="373"/>
      <c r="BD62" s="374"/>
      <c r="BE62" s="374"/>
      <c r="BF62" s="375"/>
      <c r="BG62" s="376"/>
      <c r="BH62" s="374"/>
      <c r="BI62" s="377"/>
      <c r="BJ62" s="25"/>
      <c r="BK62" s="25"/>
    </row>
    <row r="63" ht="15.75" customHeight="1">
      <c r="A63" s="381">
        <v>34.0</v>
      </c>
      <c r="B63" s="382"/>
      <c r="C63" s="383"/>
      <c r="D63" s="384"/>
      <c r="E63" s="365" t="str">
        <f t="shared" ref="E63:AT63" si="13">IF(D63="F","F","")</f>
        <v/>
      </c>
      <c r="F63" s="365" t="str">
        <f t="shared" si="13"/>
        <v/>
      </c>
      <c r="G63" s="365" t="str">
        <f t="shared" si="13"/>
        <v/>
      </c>
      <c r="H63" s="365" t="str">
        <f t="shared" si="13"/>
        <v/>
      </c>
      <c r="I63" s="365" t="str">
        <f t="shared" si="13"/>
        <v/>
      </c>
      <c r="J63" s="365" t="str">
        <f t="shared" si="13"/>
        <v/>
      </c>
      <c r="K63" s="365" t="str">
        <f t="shared" si="13"/>
        <v/>
      </c>
      <c r="L63" s="365" t="str">
        <f t="shared" si="13"/>
        <v/>
      </c>
      <c r="M63" s="365" t="str">
        <f t="shared" si="13"/>
        <v/>
      </c>
      <c r="N63" s="365" t="str">
        <f t="shared" si="13"/>
        <v/>
      </c>
      <c r="O63" s="365" t="str">
        <f t="shared" si="13"/>
        <v/>
      </c>
      <c r="P63" s="365" t="str">
        <f t="shared" si="13"/>
        <v/>
      </c>
      <c r="Q63" s="365" t="str">
        <f t="shared" si="13"/>
        <v/>
      </c>
      <c r="R63" s="365" t="str">
        <f t="shared" si="13"/>
        <v/>
      </c>
      <c r="S63" s="365" t="str">
        <f t="shared" si="13"/>
        <v/>
      </c>
      <c r="T63" s="365" t="str">
        <f t="shared" si="13"/>
        <v/>
      </c>
      <c r="U63" s="365" t="str">
        <f t="shared" si="13"/>
        <v/>
      </c>
      <c r="V63" s="365" t="str">
        <f t="shared" si="13"/>
        <v/>
      </c>
      <c r="W63" s="365" t="str">
        <f t="shared" si="13"/>
        <v/>
      </c>
      <c r="X63" s="366" t="str">
        <f t="shared" si="13"/>
        <v/>
      </c>
      <c r="Y63" s="367" t="str">
        <f t="shared" si="13"/>
        <v/>
      </c>
      <c r="Z63" s="365" t="str">
        <f t="shared" si="13"/>
        <v/>
      </c>
      <c r="AA63" s="365" t="str">
        <f t="shared" si="13"/>
        <v/>
      </c>
      <c r="AB63" s="365" t="str">
        <f t="shared" si="13"/>
        <v/>
      </c>
      <c r="AC63" s="365" t="str">
        <f t="shared" si="13"/>
        <v/>
      </c>
      <c r="AD63" s="365" t="str">
        <f t="shared" si="13"/>
        <v/>
      </c>
      <c r="AE63" s="365" t="str">
        <f t="shared" si="13"/>
        <v/>
      </c>
      <c r="AF63" s="365" t="str">
        <f t="shared" si="13"/>
        <v/>
      </c>
      <c r="AG63" s="365" t="str">
        <f t="shared" si="13"/>
        <v/>
      </c>
      <c r="AH63" s="365" t="str">
        <f t="shared" si="13"/>
        <v/>
      </c>
      <c r="AI63" s="365" t="str">
        <f t="shared" si="13"/>
        <v/>
      </c>
      <c r="AJ63" s="365" t="str">
        <f t="shared" si="13"/>
        <v/>
      </c>
      <c r="AK63" s="365" t="str">
        <f t="shared" si="13"/>
        <v/>
      </c>
      <c r="AL63" s="365" t="str">
        <f t="shared" si="13"/>
        <v/>
      </c>
      <c r="AM63" s="365" t="str">
        <f t="shared" si="13"/>
        <v/>
      </c>
      <c r="AN63" s="365" t="str">
        <f t="shared" si="13"/>
        <v/>
      </c>
      <c r="AO63" s="365" t="str">
        <f t="shared" si="13"/>
        <v/>
      </c>
      <c r="AP63" s="365" t="str">
        <f t="shared" si="13"/>
        <v/>
      </c>
      <c r="AQ63" s="365" t="str">
        <f t="shared" si="13"/>
        <v/>
      </c>
      <c r="AR63" s="365" t="str">
        <f t="shared" si="13"/>
        <v/>
      </c>
      <c r="AS63" s="365" t="str">
        <f t="shared" si="13"/>
        <v/>
      </c>
      <c r="AT63" s="365" t="str">
        <f t="shared" si="13"/>
        <v/>
      </c>
      <c r="AU63" s="368"/>
      <c r="AV63" s="369"/>
      <c r="AW63" s="385"/>
      <c r="AX63" s="385"/>
      <c r="AY63" s="385"/>
      <c r="AZ63" s="385"/>
      <c r="BA63" s="371"/>
      <c r="BB63" s="372"/>
      <c r="BC63" s="373"/>
      <c r="BD63" s="374"/>
      <c r="BE63" s="374"/>
      <c r="BF63" s="375"/>
      <c r="BG63" s="376"/>
      <c r="BH63" s="374"/>
      <c r="BI63" s="377"/>
      <c r="BJ63" s="25"/>
      <c r="BK63" s="25"/>
    </row>
    <row r="64" ht="15.75" customHeight="1">
      <c r="A64" s="381">
        <v>35.0</v>
      </c>
      <c r="B64" s="382"/>
      <c r="C64" s="383"/>
      <c r="D64" s="384"/>
      <c r="E64" s="365" t="str">
        <f t="shared" ref="E64:AT64" si="14">IF(D64="F","F","")</f>
        <v/>
      </c>
      <c r="F64" s="365" t="str">
        <f t="shared" si="14"/>
        <v/>
      </c>
      <c r="G64" s="365" t="str">
        <f t="shared" si="14"/>
        <v/>
      </c>
      <c r="H64" s="365" t="str">
        <f t="shared" si="14"/>
        <v/>
      </c>
      <c r="I64" s="365" t="str">
        <f t="shared" si="14"/>
        <v/>
      </c>
      <c r="J64" s="365" t="str">
        <f t="shared" si="14"/>
        <v/>
      </c>
      <c r="K64" s="365" t="str">
        <f t="shared" si="14"/>
        <v/>
      </c>
      <c r="L64" s="365" t="str">
        <f t="shared" si="14"/>
        <v/>
      </c>
      <c r="M64" s="365" t="str">
        <f t="shared" si="14"/>
        <v/>
      </c>
      <c r="N64" s="365" t="str">
        <f t="shared" si="14"/>
        <v/>
      </c>
      <c r="O64" s="365" t="str">
        <f t="shared" si="14"/>
        <v/>
      </c>
      <c r="P64" s="365" t="str">
        <f t="shared" si="14"/>
        <v/>
      </c>
      <c r="Q64" s="365" t="str">
        <f t="shared" si="14"/>
        <v/>
      </c>
      <c r="R64" s="365" t="str">
        <f t="shared" si="14"/>
        <v/>
      </c>
      <c r="S64" s="365" t="str">
        <f t="shared" si="14"/>
        <v/>
      </c>
      <c r="T64" s="365" t="str">
        <f t="shared" si="14"/>
        <v/>
      </c>
      <c r="U64" s="365" t="str">
        <f t="shared" si="14"/>
        <v/>
      </c>
      <c r="V64" s="365" t="str">
        <f t="shared" si="14"/>
        <v/>
      </c>
      <c r="W64" s="365" t="str">
        <f t="shared" si="14"/>
        <v/>
      </c>
      <c r="X64" s="366" t="str">
        <f t="shared" si="14"/>
        <v/>
      </c>
      <c r="Y64" s="367" t="str">
        <f t="shared" si="14"/>
        <v/>
      </c>
      <c r="Z64" s="365" t="str">
        <f t="shared" si="14"/>
        <v/>
      </c>
      <c r="AA64" s="365" t="str">
        <f t="shared" si="14"/>
        <v/>
      </c>
      <c r="AB64" s="365" t="str">
        <f t="shared" si="14"/>
        <v/>
      </c>
      <c r="AC64" s="365" t="str">
        <f t="shared" si="14"/>
        <v/>
      </c>
      <c r="AD64" s="365" t="str">
        <f t="shared" si="14"/>
        <v/>
      </c>
      <c r="AE64" s="365" t="str">
        <f t="shared" si="14"/>
        <v/>
      </c>
      <c r="AF64" s="365" t="str">
        <f t="shared" si="14"/>
        <v/>
      </c>
      <c r="AG64" s="365" t="str">
        <f t="shared" si="14"/>
        <v/>
      </c>
      <c r="AH64" s="365" t="str">
        <f t="shared" si="14"/>
        <v/>
      </c>
      <c r="AI64" s="365" t="str">
        <f t="shared" si="14"/>
        <v/>
      </c>
      <c r="AJ64" s="365" t="str">
        <f t="shared" si="14"/>
        <v/>
      </c>
      <c r="AK64" s="365" t="str">
        <f t="shared" si="14"/>
        <v/>
      </c>
      <c r="AL64" s="365" t="str">
        <f t="shared" si="14"/>
        <v/>
      </c>
      <c r="AM64" s="365" t="str">
        <f t="shared" si="14"/>
        <v/>
      </c>
      <c r="AN64" s="365" t="str">
        <f t="shared" si="14"/>
        <v/>
      </c>
      <c r="AO64" s="365" t="str">
        <f t="shared" si="14"/>
        <v/>
      </c>
      <c r="AP64" s="365" t="str">
        <f t="shared" si="14"/>
        <v/>
      </c>
      <c r="AQ64" s="365" t="str">
        <f t="shared" si="14"/>
        <v/>
      </c>
      <c r="AR64" s="365" t="str">
        <f t="shared" si="14"/>
        <v/>
      </c>
      <c r="AS64" s="365" t="str">
        <f t="shared" si="14"/>
        <v/>
      </c>
      <c r="AT64" s="365" t="str">
        <f t="shared" si="14"/>
        <v/>
      </c>
      <c r="AU64" s="368"/>
      <c r="AV64" s="369"/>
      <c r="AW64" s="385"/>
      <c r="AX64" s="385"/>
      <c r="AY64" s="385"/>
      <c r="AZ64" s="385"/>
      <c r="BA64" s="371"/>
      <c r="BB64" s="372"/>
      <c r="BC64" s="373"/>
      <c r="BD64" s="374"/>
      <c r="BE64" s="374"/>
      <c r="BF64" s="375"/>
      <c r="BG64" s="376"/>
      <c r="BH64" s="374"/>
      <c r="BI64" s="377"/>
      <c r="BJ64" s="25"/>
      <c r="BK64" s="25"/>
    </row>
    <row r="65" ht="15.75" customHeight="1">
      <c r="A65" s="381">
        <v>36.0</v>
      </c>
      <c r="B65" s="382"/>
      <c r="C65" s="383"/>
      <c r="D65" s="384"/>
      <c r="E65" s="365" t="str">
        <f t="shared" ref="E65:AT65" si="15">IF(D65="F","F","")</f>
        <v/>
      </c>
      <c r="F65" s="365" t="str">
        <f t="shared" si="15"/>
        <v/>
      </c>
      <c r="G65" s="365" t="str">
        <f t="shared" si="15"/>
        <v/>
      </c>
      <c r="H65" s="365" t="str">
        <f t="shared" si="15"/>
        <v/>
      </c>
      <c r="I65" s="365" t="str">
        <f t="shared" si="15"/>
        <v/>
      </c>
      <c r="J65" s="365" t="str">
        <f t="shared" si="15"/>
        <v/>
      </c>
      <c r="K65" s="365" t="str">
        <f t="shared" si="15"/>
        <v/>
      </c>
      <c r="L65" s="365" t="str">
        <f t="shared" si="15"/>
        <v/>
      </c>
      <c r="M65" s="365" t="str">
        <f t="shared" si="15"/>
        <v/>
      </c>
      <c r="N65" s="365" t="str">
        <f t="shared" si="15"/>
        <v/>
      </c>
      <c r="O65" s="365" t="str">
        <f t="shared" si="15"/>
        <v/>
      </c>
      <c r="P65" s="365" t="str">
        <f t="shared" si="15"/>
        <v/>
      </c>
      <c r="Q65" s="365" t="str">
        <f t="shared" si="15"/>
        <v/>
      </c>
      <c r="R65" s="365" t="str">
        <f t="shared" si="15"/>
        <v/>
      </c>
      <c r="S65" s="365" t="str">
        <f t="shared" si="15"/>
        <v/>
      </c>
      <c r="T65" s="365" t="str">
        <f t="shared" si="15"/>
        <v/>
      </c>
      <c r="U65" s="365" t="str">
        <f t="shared" si="15"/>
        <v/>
      </c>
      <c r="V65" s="365" t="str">
        <f t="shared" si="15"/>
        <v/>
      </c>
      <c r="W65" s="365" t="str">
        <f t="shared" si="15"/>
        <v/>
      </c>
      <c r="X65" s="366" t="str">
        <f t="shared" si="15"/>
        <v/>
      </c>
      <c r="Y65" s="367" t="str">
        <f t="shared" si="15"/>
        <v/>
      </c>
      <c r="Z65" s="365" t="str">
        <f t="shared" si="15"/>
        <v/>
      </c>
      <c r="AA65" s="365" t="str">
        <f t="shared" si="15"/>
        <v/>
      </c>
      <c r="AB65" s="365" t="str">
        <f t="shared" si="15"/>
        <v/>
      </c>
      <c r="AC65" s="365" t="str">
        <f t="shared" si="15"/>
        <v/>
      </c>
      <c r="AD65" s="365" t="str">
        <f t="shared" si="15"/>
        <v/>
      </c>
      <c r="AE65" s="365" t="str">
        <f t="shared" si="15"/>
        <v/>
      </c>
      <c r="AF65" s="365" t="str">
        <f t="shared" si="15"/>
        <v/>
      </c>
      <c r="AG65" s="365" t="str">
        <f t="shared" si="15"/>
        <v/>
      </c>
      <c r="AH65" s="365" t="str">
        <f t="shared" si="15"/>
        <v/>
      </c>
      <c r="AI65" s="365" t="str">
        <f t="shared" si="15"/>
        <v/>
      </c>
      <c r="AJ65" s="365" t="str">
        <f t="shared" si="15"/>
        <v/>
      </c>
      <c r="AK65" s="365" t="str">
        <f t="shared" si="15"/>
        <v/>
      </c>
      <c r="AL65" s="365" t="str">
        <f t="shared" si="15"/>
        <v/>
      </c>
      <c r="AM65" s="365" t="str">
        <f t="shared" si="15"/>
        <v/>
      </c>
      <c r="AN65" s="365" t="str">
        <f t="shared" si="15"/>
        <v/>
      </c>
      <c r="AO65" s="365" t="str">
        <f t="shared" si="15"/>
        <v/>
      </c>
      <c r="AP65" s="365" t="str">
        <f t="shared" si="15"/>
        <v/>
      </c>
      <c r="AQ65" s="365" t="str">
        <f t="shared" si="15"/>
        <v/>
      </c>
      <c r="AR65" s="365" t="str">
        <f t="shared" si="15"/>
        <v/>
      </c>
      <c r="AS65" s="365" t="str">
        <f t="shared" si="15"/>
        <v/>
      </c>
      <c r="AT65" s="365" t="str">
        <f t="shared" si="15"/>
        <v/>
      </c>
      <c r="AU65" s="368"/>
      <c r="AV65" s="369"/>
      <c r="AW65" s="385"/>
      <c r="AX65" s="385"/>
      <c r="AY65" s="385"/>
      <c r="AZ65" s="385"/>
      <c r="BA65" s="371"/>
      <c r="BB65" s="372"/>
      <c r="BC65" s="373"/>
      <c r="BD65" s="374"/>
      <c r="BE65" s="374"/>
      <c r="BF65" s="375"/>
      <c r="BG65" s="376"/>
      <c r="BH65" s="374"/>
      <c r="BI65" s="377"/>
      <c r="BJ65" s="25"/>
      <c r="BK65" s="25"/>
    </row>
    <row r="66" ht="15.75" customHeight="1">
      <c r="A66" s="381">
        <v>37.0</v>
      </c>
      <c r="B66" s="382"/>
      <c r="C66" s="383"/>
      <c r="D66" s="384"/>
      <c r="E66" s="365" t="str">
        <f t="shared" ref="E66:AT66" si="16">IF(D66="F","F","")</f>
        <v/>
      </c>
      <c r="F66" s="365" t="str">
        <f t="shared" si="16"/>
        <v/>
      </c>
      <c r="G66" s="365" t="str">
        <f t="shared" si="16"/>
        <v/>
      </c>
      <c r="H66" s="365" t="str">
        <f t="shared" si="16"/>
        <v/>
      </c>
      <c r="I66" s="365" t="str">
        <f t="shared" si="16"/>
        <v/>
      </c>
      <c r="J66" s="365" t="str">
        <f t="shared" si="16"/>
        <v/>
      </c>
      <c r="K66" s="365" t="str">
        <f t="shared" si="16"/>
        <v/>
      </c>
      <c r="L66" s="365" t="str">
        <f t="shared" si="16"/>
        <v/>
      </c>
      <c r="M66" s="365" t="str">
        <f t="shared" si="16"/>
        <v/>
      </c>
      <c r="N66" s="365" t="str">
        <f t="shared" si="16"/>
        <v/>
      </c>
      <c r="O66" s="365" t="str">
        <f t="shared" si="16"/>
        <v/>
      </c>
      <c r="P66" s="365" t="str">
        <f t="shared" si="16"/>
        <v/>
      </c>
      <c r="Q66" s="365" t="str">
        <f t="shared" si="16"/>
        <v/>
      </c>
      <c r="R66" s="365" t="str">
        <f t="shared" si="16"/>
        <v/>
      </c>
      <c r="S66" s="365" t="str">
        <f t="shared" si="16"/>
        <v/>
      </c>
      <c r="T66" s="365" t="str">
        <f t="shared" si="16"/>
        <v/>
      </c>
      <c r="U66" s="365" t="str">
        <f t="shared" si="16"/>
        <v/>
      </c>
      <c r="V66" s="365" t="str">
        <f t="shared" si="16"/>
        <v/>
      </c>
      <c r="W66" s="365" t="str">
        <f t="shared" si="16"/>
        <v/>
      </c>
      <c r="X66" s="366" t="str">
        <f t="shared" si="16"/>
        <v/>
      </c>
      <c r="Y66" s="367" t="str">
        <f t="shared" si="16"/>
        <v/>
      </c>
      <c r="Z66" s="365" t="str">
        <f t="shared" si="16"/>
        <v/>
      </c>
      <c r="AA66" s="365" t="str">
        <f t="shared" si="16"/>
        <v/>
      </c>
      <c r="AB66" s="365" t="str">
        <f t="shared" si="16"/>
        <v/>
      </c>
      <c r="AC66" s="365" t="str">
        <f t="shared" si="16"/>
        <v/>
      </c>
      <c r="AD66" s="365" t="str">
        <f t="shared" si="16"/>
        <v/>
      </c>
      <c r="AE66" s="365" t="str">
        <f t="shared" si="16"/>
        <v/>
      </c>
      <c r="AF66" s="365" t="str">
        <f t="shared" si="16"/>
        <v/>
      </c>
      <c r="AG66" s="365" t="str">
        <f t="shared" si="16"/>
        <v/>
      </c>
      <c r="AH66" s="365" t="str">
        <f t="shared" si="16"/>
        <v/>
      </c>
      <c r="AI66" s="365" t="str">
        <f t="shared" si="16"/>
        <v/>
      </c>
      <c r="AJ66" s="365" t="str">
        <f t="shared" si="16"/>
        <v/>
      </c>
      <c r="AK66" s="365" t="str">
        <f t="shared" si="16"/>
        <v/>
      </c>
      <c r="AL66" s="365" t="str">
        <f t="shared" si="16"/>
        <v/>
      </c>
      <c r="AM66" s="365" t="str">
        <f t="shared" si="16"/>
        <v/>
      </c>
      <c r="AN66" s="365" t="str">
        <f t="shared" si="16"/>
        <v/>
      </c>
      <c r="AO66" s="365" t="str">
        <f t="shared" si="16"/>
        <v/>
      </c>
      <c r="AP66" s="365" t="str">
        <f t="shared" si="16"/>
        <v/>
      </c>
      <c r="AQ66" s="365" t="str">
        <f t="shared" si="16"/>
        <v/>
      </c>
      <c r="AR66" s="365" t="str">
        <f t="shared" si="16"/>
        <v/>
      </c>
      <c r="AS66" s="365" t="str">
        <f t="shared" si="16"/>
        <v/>
      </c>
      <c r="AT66" s="365" t="str">
        <f t="shared" si="16"/>
        <v/>
      </c>
      <c r="AU66" s="368"/>
      <c r="AV66" s="369"/>
      <c r="AW66" s="385"/>
      <c r="AX66" s="385"/>
      <c r="AY66" s="385"/>
      <c r="AZ66" s="385"/>
      <c r="BA66" s="371"/>
      <c r="BB66" s="372"/>
      <c r="BC66" s="373"/>
      <c r="BD66" s="374"/>
      <c r="BE66" s="374"/>
      <c r="BF66" s="375"/>
      <c r="BG66" s="376"/>
      <c r="BH66" s="374"/>
      <c r="BI66" s="377"/>
      <c r="BJ66" s="25"/>
      <c r="BK66" s="25"/>
    </row>
    <row r="67" ht="15.75" customHeight="1">
      <c r="A67" s="381">
        <v>38.0</v>
      </c>
      <c r="B67" s="382"/>
      <c r="C67" s="383"/>
      <c r="D67" s="384"/>
      <c r="E67" s="365" t="str">
        <f t="shared" ref="E67:AT67" si="17">IF(D67="F","F","")</f>
        <v/>
      </c>
      <c r="F67" s="365" t="str">
        <f t="shared" si="17"/>
        <v/>
      </c>
      <c r="G67" s="365" t="str">
        <f t="shared" si="17"/>
        <v/>
      </c>
      <c r="H67" s="365" t="str">
        <f t="shared" si="17"/>
        <v/>
      </c>
      <c r="I67" s="365" t="str">
        <f t="shared" si="17"/>
        <v/>
      </c>
      <c r="J67" s="365" t="str">
        <f t="shared" si="17"/>
        <v/>
      </c>
      <c r="K67" s="365" t="str">
        <f t="shared" si="17"/>
        <v/>
      </c>
      <c r="L67" s="365" t="str">
        <f t="shared" si="17"/>
        <v/>
      </c>
      <c r="M67" s="365" t="str">
        <f t="shared" si="17"/>
        <v/>
      </c>
      <c r="N67" s="365" t="str">
        <f t="shared" si="17"/>
        <v/>
      </c>
      <c r="O67" s="365" t="str">
        <f t="shared" si="17"/>
        <v/>
      </c>
      <c r="P67" s="365" t="str">
        <f t="shared" si="17"/>
        <v/>
      </c>
      <c r="Q67" s="365" t="str">
        <f t="shared" si="17"/>
        <v/>
      </c>
      <c r="R67" s="365" t="str">
        <f t="shared" si="17"/>
        <v/>
      </c>
      <c r="S67" s="365" t="str">
        <f t="shared" si="17"/>
        <v/>
      </c>
      <c r="T67" s="365" t="str">
        <f t="shared" si="17"/>
        <v/>
      </c>
      <c r="U67" s="365" t="str">
        <f t="shared" si="17"/>
        <v/>
      </c>
      <c r="V67" s="365" t="str">
        <f t="shared" si="17"/>
        <v/>
      </c>
      <c r="W67" s="365" t="str">
        <f t="shared" si="17"/>
        <v/>
      </c>
      <c r="X67" s="366" t="str">
        <f t="shared" si="17"/>
        <v/>
      </c>
      <c r="Y67" s="367" t="str">
        <f t="shared" si="17"/>
        <v/>
      </c>
      <c r="Z67" s="365" t="str">
        <f t="shared" si="17"/>
        <v/>
      </c>
      <c r="AA67" s="365" t="str">
        <f t="shared" si="17"/>
        <v/>
      </c>
      <c r="AB67" s="365" t="str">
        <f t="shared" si="17"/>
        <v/>
      </c>
      <c r="AC67" s="365" t="str">
        <f t="shared" si="17"/>
        <v/>
      </c>
      <c r="AD67" s="365" t="str">
        <f t="shared" si="17"/>
        <v/>
      </c>
      <c r="AE67" s="365" t="str">
        <f t="shared" si="17"/>
        <v/>
      </c>
      <c r="AF67" s="365" t="str">
        <f t="shared" si="17"/>
        <v/>
      </c>
      <c r="AG67" s="365" t="str">
        <f t="shared" si="17"/>
        <v/>
      </c>
      <c r="AH67" s="365" t="str">
        <f t="shared" si="17"/>
        <v/>
      </c>
      <c r="AI67" s="365" t="str">
        <f t="shared" si="17"/>
        <v/>
      </c>
      <c r="AJ67" s="365" t="str">
        <f t="shared" si="17"/>
        <v/>
      </c>
      <c r="AK67" s="365" t="str">
        <f t="shared" si="17"/>
        <v/>
      </c>
      <c r="AL67" s="365" t="str">
        <f t="shared" si="17"/>
        <v/>
      </c>
      <c r="AM67" s="365" t="str">
        <f t="shared" si="17"/>
        <v/>
      </c>
      <c r="AN67" s="365" t="str">
        <f t="shared" si="17"/>
        <v/>
      </c>
      <c r="AO67" s="365" t="str">
        <f t="shared" si="17"/>
        <v/>
      </c>
      <c r="AP67" s="365" t="str">
        <f t="shared" si="17"/>
        <v/>
      </c>
      <c r="AQ67" s="365" t="str">
        <f t="shared" si="17"/>
        <v/>
      </c>
      <c r="AR67" s="365" t="str">
        <f t="shared" si="17"/>
        <v/>
      </c>
      <c r="AS67" s="365" t="str">
        <f t="shared" si="17"/>
        <v/>
      </c>
      <c r="AT67" s="365" t="str">
        <f t="shared" si="17"/>
        <v/>
      </c>
      <c r="AU67" s="368"/>
      <c r="AV67" s="369"/>
      <c r="AW67" s="385"/>
      <c r="AX67" s="385"/>
      <c r="AY67" s="385"/>
      <c r="AZ67" s="385"/>
      <c r="BA67" s="371"/>
      <c r="BB67" s="372"/>
      <c r="BC67" s="373"/>
      <c r="BD67" s="374"/>
      <c r="BE67" s="374"/>
      <c r="BF67" s="375"/>
      <c r="BG67" s="376"/>
      <c r="BH67" s="374"/>
      <c r="BI67" s="377"/>
      <c r="BJ67" s="25"/>
      <c r="BK67" s="25"/>
    </row>
    <row r="68" ht="15.75" customHeight="1">
      <c r="A68" s="381">
        <v>39.0</v>
      </c>
      <c r="B68" s="382"/>
      <c r="C68" s="383"/>
      <c r="D68" s="384"/>
      <c r="E68" s="365" t="str">
        <f t="shared" ref="E68:AT68" si="18">IF(D68="F","F","")</f>
        <v/>
      </c>
      <c r="F68" s="365" t="str">
        <f t="shared" si="18"/>
        <v/>
      </c>
      <c r="G68" s="365" t="str">
        <f t="shared" si="18"/>
        <v/>
      </c>
      <c r="H68" s="365" t="str">
        <f t="shared" si="18"/>
        <v/>
      </c>
      <c r="I68" s="365" t="str">
        <f t="shared" si="18"/>
        <v/>
      </c>
      <c r="J68" s="365" t="str">
        <f t="shared" si="18"/>
        <v/>
      </c>
      <c r="K68" s="365" t="str">
        <f t="shared" si="18"/>
        <v/>
      </c>
      <c r="L68" s="365" t="str">
        <f t="shared" si="18"/>
        <v/>
      </c>
      <c r="M68" s="365" t="str">
        <f t="shared" si="18"/>
        <v/>
      </c>
      <c r="N68" s="365" t="str">
        <f t="shared" si="18"/>
        <v/>
      </c>
      <c r="O68" s="365" t="str">
        <f t="shared" si="18"/>
        <v/>
      </c>
      <c r="P68" s="365" t="str">
        <f t="shared" si="18"/>
        <v/>
      </c>
      <c r="Q68" s="365" t="str">
        <f t="shared" si="18"/>
        <v/>
      </c>
      <c r="R68" s="365" t="str">
        <f t="shared" si="18"/>
        <v/>
      </c>
      <c r="S68" s="365" t="str">
        <f t="shared" si="18"/>
        <v/>
      </c>
      <c r="T68" s="365" t="str">
        <f t="shared" si="18"/>
        <v/>
      </c>
      <c r="U68" s="365" t="str">
        <f t="shared" si="18"/>
        <v/>
      </c>
      <c r="V68" s="365" t="str">
        <f t="shared" si="18"/>
        <v/>
      </c>
      <c r="W68" s="365" t="str">
        <f t="shared" si="18"/>
        <v/>
      </c>
      <c r="X68" s="366" t="str">
        <f t="shared" si="18"/>
        <v/>
      </c>
      <c r="Y68" s="367" t="str">
        <f t="shared" si="18"/>
        <v/>
      </c>
      <c r="Z68" s="365" t="str">
        <f t="shared" si="18"/>
        <v/>
      </c>
      <c r="AA68" s="365" t="str">
        <f t="shared" si="18"/>
        <v/>
      </c>
      <c r="AB68" s="365" t="str">
        <f t="shared" si="18"/>
        <v/>
      </c>
      <c r="AC68" s="365" t="str">
        <f t="shared" si="18"/>
        <v/>
      </c>
      <c r="AD68" s="365" t="str">
        <f t="shared" si="18"/>
        <v/>
      </c>
      <c r="AE68" s="365" t="str">
        <f t="shared" si="18"/>
        <v/>
      </c>
      <c r="AF68" s="365" t="str">
        <f t="shared" si="18"/>
        <v/>
      </c>
      <c r="AG68" s="365" t="str">
        <f t="shared" si="18"/>
        <v/>
      </c>
      <c r="AH68" s="365" t="str">
        <f t="shared" si="18"/>
        <v/>
      </c>
      <c r="AI68" s="365" t="str">
        <f t="shared" si="18"/>
        <v/>
      </c>
      <c r="AJ68" s="365" t="str">
        <f t="shared" si="18"/>
        <v/>
      </c>
      <c r="AK68" s="365" t="str">
        <f t="shared" si="18"/>
        <v/>
      </c>
      <c r="AL68" s="365" t="str">
        <f t="shared" si="18"/>
        <v/>
      </c>
      <c r="AM68" s="365" t="str">
        <f t="shared" si="18"/>
        <v/>
      </c>
      <c r="AN68" s="365" t="str">
        <f t="shared" si="18"/>
        <v/>
      </c>
      <c r="AO68" s="365" t="str">
        <f t="shared" si="18"/>
        <v/>
      </c>
      <c r="AP68" s="365" t="str">
        <f t="shared" si="18"/>
        <v/>
      </c>
      <c r="AQ68" s="365" t="str">
        <f t="shared" si="18"/>
        <v/>
      </c>
      <c r="AR68" s="365" t="str">
        <f t="shared" si="18"/>
        <v/>
      </c>
      <c r="AS68" s="365" t="str">
        <f t="shared" si="18"/>
        <v/>
      </c>
      <c r="AT68" s="365" t="str">
        <f t="shared" si="18"/>
        <v/>
      </c>
      <c r="AU68" s="368"/>
      <c r="AV68" s="369"/>
      <c r="AW68" s="385"/>
      <c r="AX68" s="385"/>
      <c r="AY68" s="385"/>
      <c r="AZ68" s="385"/>
      <c r="BA68" s="371"/>
      <c r="BB68" s="372"/>
      <c r="BC68" s="373"/>
      <c r="BD68" s="374"/>
      <c r="BE68" s="374"/>
      <c r="BF68" s="375"/>
      <c r="BG68" s="376"/>
      <c r="BH68" s="374"/>
      <c r="BI68" s="377"/>
      <c r="BJ68" s="25"/>
      <c r="BK68" s="25"/>
    </row>
    <row r="69" ht="15.75" customHeight="1">
      <c r="A69" s="381">
        <v>40.0</v>
      </c>
      <c r="B69" s="382"/>
      <c r="C69" s="383"/>
      <c r="D69" s="384"/>
      <c r="E69" s="365" t="str">
        <f t="shared" ref="E69:AT69" si="19">IF(D69="F","F","")</f>
        <v/>
      </c>
      <c r="F69" s="365" t="str">
        <f t="shared" si="19"/>
        <v/>
      </c>
      <c r="G69" s="365" t="str">
        <f t="shared" si="19"/>
        <v/>
      </c>
      <c r="H69" s="365" t="str">
        <f t="shared" si="19"/>
        <v/>
      </c>
      <c r="I69" s="365" t="str">
        <f t="shared" si="19"/>
        <v/>
      </c>
      <c r="J69" s="365" t="str">
        <f t="shared" si="19"/>
        <v/>
      </c>
      <c r="K69" s="365" t="str">
        <f t="shared" si="19"/>
        <v/>
      </c>
      <c r="L69" s="365" t="str">
        <f t="shared" si="19"/>
        <v/>
      </c>
      <c r="M69" s="365" t="str">
        <f t="shared" si="19"/>
        <v/>
      </c>
      <c r="N69" s="365" t="str">
        <f t="shared" si="19"/>
        <v/>
      </c>
      <c r="O69" s="365" t="str">
        <f t="shared" si="19"/>
        <v/>
      </c>
      <c r="P69" s="365" t="str">
        <f t="shared" si="19"/>
        <v/>
      </c>
      <c r="Q69" s="365" t="str">
        <f t="shared" si="19"/>
        <v/>
      </c>
      <c r="R69" s="365" t="str">
        <f t="shared" si="19"/>
        <v/>
      </c>
      <c r="S69" s="365" t="str">
        <f t="shared" si="19"/>
        <v/>
      </c>
      <c r="T69" s="365" t="str">
        <f t="shared" si="19"/>
        <v/>
      </c>
      <c r="U69" s="365" t="str">
        <f t="shared" si="19"/>
        <v/>
      </c>
      <c r="V69" s="365" t="str">
        <f t="shared" si="19"/>
        <v/>
      </c>
      <c r="W69" s="365" t="str">
        <f t="shared" si="19"/>
        <v/>
      </c>
      <c r="X69" s="366" t="str">
        <f t="shared" si="19"/>
        <v/>
      </c>
      <c r="Y69" s="367" t="str">
        <f t="shared" si="19"/>
        <v/>
      </c>
      <c r="Z69" s="365" t="str">
        <f t="shared" si="19"/>
        <v/>
      </c>
      <c r="AA69" s="365" t="str">
        <f t="shared" si="19"/>
        <v/>
      </c>
      <c r="AB69" s="365" t="str">
        <f t="shared" si="19"/>
        <v/>
      </c>
      <c r="AC69" s="365" t="str">
        <f t="shared" si="19"/>
        <v/>
      </c>
      <c r="AD69" s="365" t="str">
        <f t="shared" si="19"/>
        <v/>
      </c>
      <c r="AE69" s="365" t="str">
        <f t="shared" si="19"/>
        <v/>
      </c>
      <c r="AF69" s="365" t="str">
        <f t="shared" si="19"/>
        <v/>
      </c>
      <c r="AG69" s="365" t="str">
        <f t="shared" si="19"/>
        <v/>
      </c>
      <c r="AH69" s="365" t="str">
        <f t="shared" si="19"/>
        <v/>
      </c>
      <c r="AI69" s="365" t="str">
        <f t="shared" si="19"/>
        <v/>
      </c>
      <c r="AJ69" s="365" t="str">
        <f t="shared" si="19"/>
        <v/>
      </c>
      <c r="AK69" s="365" t="str">
        <f t="shared" si="19"/>
        <v/>
      </c>
      <c r="AL69" s="365" t="str">
        <f t="shared" si="19"/>
        <v/>
      </c>
      <c r="AM69" s="365" t="str">
        <f t="shared" si="19"/>
        <v/>
      </c>
      <c r="AN69" s="365" t="str">
        <f t="shared" si="19"/>
        <v/>
      </c>
      <c r="AO69" s="365" t="str">
        <f t="shared" si="19"/>
        <v/>
      </c>
      <c r="AP69" s="365" t="str">
        <f t="shared" si="19"/>
        <v/>
      </c>
      <c r="AQ69" s="365" t="str">
        <f t="shared" si="19"/>
        <v/>
      </c>
      <c r="AR69" s="365" t="str">
        <f t="shared" si="19"/>
        <v/>
      </c>
      <c r="AS69" s="365" t="str">
        <f t="shared" si="19"/>
        <v/>
      </c>
      <c r="AT69" s="365" t="str">
        <f t="shared" si="19"/>
        <v/>
      </c>
      <c r="AU69" s="368"/>
      <c r="AV69" s="369"/>
      <c r="AW69" s="385"/>
      <c r="AX69" s="385"/>
      <c r="AY69" s="385"/>
      <c r="AZ69" s="385"/>
      <c r="BA69" s="371"/>
      <c r="BB69" s="372"/>
      <c r="BC69" s="373"/>
      <c r="BD69" s="374"/>
      <c r="BE69" s="374"/>
      <c r="BF69" s="375"/>
      <c r="BG69" s="376"/>
      <c r="BH69" s="374"/>
      <c r="BI69" s="377"/>
      <c r="BJ69" s="25"/>
      <c r="BK69" s="25"/>
    </row>
    <row r="70" ht="15.75" customHeight="1">
      <c r="A70" s="386" t="s">
        <v>202</v>
      </c>
      <c r="B70" s="29"/>
      <c r="C70" s="41"/>
      <c r="D70" s="387">
        <f>COUNTIF(D30:D69,"D")</f>
        <v>9</v>
      </c>
      <c r="E70" s="387">
        <f>COUNTIF(E30:E69,"C")</f>
        <v>11</v>
      </c>
      <c r="F70" s="387">
        <f>COUNTIF(F30:F69,"D")</f>
        <v>10</v>
      </c>
      <c r="G70" s="387">
        <f>COUNTIF(G30:G69,"A")</f>
        <v>3</v>
      </c>
      <c r="H70" s="387">
        <f>COUNTIF(H30:H69,"B")</f>
        <v>14</v>
      </c>
      <c r="I70" s="387">
        <f>COUNTIF(I30:I69,"A")</f>
        <v>5</v>
      </c>
      <c r="J70" s="387">
        <f>COUNTIF(J30:J69,"C")</f>
        <v>4</v>
      </c>
      <c r="K70" s="387">
        <f t="shared" ref="K70:L70" si="20">COUNTIF(K30:K69,"D")</f>
        <v>6</v>
      </c>
      <c r="L70" s="387">
        <f t="shared" si="20"/>
        <v>1</v>
      </c>
      <c r="M70" s="387">
        <f>COUNTIF(M30:M69,"C")</f>
        <v>13</v>
      </c>
      <c r="N70" s="387">
        <f>COUNTIF(N30:N69,"B")</f>
        <v>1</v>
      </c>
      <c r="O70" s="387">
        <f>COUNTIF(O30:O69,"C")</f>
        <v>2</v>
      </c>
      <c r="P70" s="387">
        <f>COUNTIF(P30:P69,"B")</f>
        <v>3</v>
      </c>
      <c r="Q70" s="387">
        <f>COUNTIF(Q30:Q69,"C")</f>
        <v>1</v>
      </c>
      <c r="R70" s="387">
        <f>COUNTIF(R30:R69,"B")</f>
        <v>13</v>
      </c>
      <c r="S70" s="387">
        <f>COUNTIF(S30:S69,"D")</f>
        <v>1</v>
      </c>
      <c r="T70" s="387">
        <f t="shared" ref="T70:U70" si="21">COUNTIF(T30:T69,"C")</f>
        <v>3</v>
      </c>
      <c r="U70" s="387">
        <f t="shared" si="21"/>
        <v>1</v>
      </c>
      <c r="V70" s="387">
        <f t="shared" ref="V70:W70" si="22">COUNTIF(V30:V69,"A")</f>
        <v>0</v>
      </c>
      <c r="W70" s="387">
        <f t="shared" si="22"/>
        <v>0</v>
      </c>
      <c r="X70" s="388">
        <f>COUNTIF(X30:X69,"B")</f>
        <v>15</v>
      </c>
      <c r="Y70" s="389">
        <f>COUNTIF(Y30:Y69,"C")</f>
        <v>1</v>
      </c>
      <c r="Z70" s="390">
        <f>COUNTIF(Z30:Z69,"A")</f>
        <v>1</v>
      </c>
      <c r="AA70" s="390">
        <f>COUNTIF(AA30:AA69,"B")</f>
        <v>24</v>
      </c>
      <c r="AB70" s="390">
        <f>COUNTIF(AB30:AB69,"D")</f>
        <v>26</v>
      </c>
      <c r="AC70" s="390">
        <f>COUNTIF(AC30:AC69,"A")</f>
        <v>2</v>
      </c>
      <c r="AD70" s="390">
        <f>COUNTIF(AD30:AD69,"D")</f>
        <v>2</v>
      </c>
      <c r="AE70" s="390">
        <f>COUNTIF(AE30:AE69,"B")</f>
        <v>20</v>
      </c>
      <c r="AF70" s="390">
        <f>COUNTIF(AF30:AF69,"C")</f>
        <v>1</v>
      </c>
      <c r="AG70" s="390">
        <f>COUNTIF(AG30:AG69,"A")</f>
        <v>2</v>
      </c>
      <c r="AH70" s="390">
        <f>COUNTIF(AH30:AH69,"C")</f>
        <v>2</v>
      </c>
      <c r="AI70" s="390">
        <f>COUNTIF(AI30:AI69,"B")</f>
        <v>1</v>
      </c>
      <c r="AJ70" s="390">
        <f>COUNTIF(AJ30:AJ69,"C")</f>
        <v>0</v>
      </c>
      <c r="AK70" s="390">
        <f>COUNTIF(AK30:AK69,"A")</f>
        <v>2</v>
      </c>
      <c r="AL70" s="390">
        <f t="shared" ref="AL70:AM70" si="23">COUNTIF(AL30:AL69,"D")</f>
        <v>1</v>
      </c>
      <c r="AM70" s="390">
        <f t="shared" si="23"/>
        <v>0</v>
      </c>
      <c r="AN70" s="390">
        <f t="shared" ref="AN70:AO70" si="24">COUNTIF(AN30:AN69,"C")</f>
        <v>3</v>
      </c>
      <c r="AO70" s="390">
        <f t="shared" si="24"/>
        <v>1</v>
      </c>
      <c r="AP70" s="390">
        <f>COUNTIF(AP30:AP69,"A")</f>
        <v>1</v>
      </c>
      <c r="AQ70" s="390">
        <f>COUNTIF(AQ30:AQ69,"D")</f>
        <v>12</v>
      </c>
      <c r="AR70" s="390">
        <f>COUNTIF(AR30:AR69,"B")</f>
        <v>4</v>
      </c>
      <c r="AS70" s="390">
        <f>COUNTIF(AS30:AS69,"D")</f>
        <v>1</v>
      </c>
      <c r="AT70" s="390">
        <f>COUNTIF(AT30:AT69,"A")</f>
        <v>4</v>
      </c>
      <c r="AU70" s="368"/>
      <c r="AV70" s="368"/>
      <c r="AW70" s="368"/>
      <c r="AX70" s="368"/>
      <c r="AY70" s="368"/>
      <c r="AZ70" s="368"/>
      <c r="BA70" s="368"/>
      <c r="BB70" s="368"/>
      <c r="BC70" s="368"/>
      <c r="BD70" s="368"/>
      <c r="BE70" s="368"/>
      <c r="BF70" s="368"/>
      <c r="BG70" s="368"/>
      <c r="BH70" s="368"/>
      <c r="BI70" s="368"/>
    </row>
    <row r="71" ht="64.5" customHeight="1">
      <c r="AU71" s="88"/>
    </row>
    <row r="72" ht="12.0" customHeight="1">
      <c r="A72" s="89"/>
      <c r="B72" s="90"/>
      <c r="C72" s="90"/>
      <c r="D72" s="391" t="s">
        <v>51</v>
      </c>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c r="AE72" s="392"/>
      <c r="AF72" s="392"/>
      <c r="AG72" s="392"/>
      <c r="AH72" s="392"/>
      <c r="AI72" s="393"/>
      <c r="AJ72" s="93"/>
      <c r="AK72" s="394" t="s">
        <v>87</v>
      </c>
      <c r="AL72" s="395"/>
      <c r="AM72" s="395"/>
      <c r="AN72" s="395"/>
      <c r="AO72" s="395"/>
      <c r="AP72" s="395"/>
      <c r="AQ72" s="395"/>
      <c r="AR72" s="395"/>
      <c r="AS72" s="395"/>
      <c r="AT72" s="396"/>
    </row>
    <row r="73" ht="12.0" customHeight="1">
      <c r="A73" s="94"/>
      <c r="B73" s="95"/>
      <c r="C73" s="95"/>
      <c r="D73" s="397" t="s">
        <v>52</v>
      </c>
      <c r="E73" s="14"/>
      <c r="F73" s="398" t="s">
        <v>53</v>
      </c>
      <c r="G73" s="399" t="s">
        <v>54</v>
      </c>
      <c r="H73" s="400" t="s">
        <v>55</v>
      </c>
      <c r="AI73" s="14"/>
      <c r="AJ73" s="101"/>
      <c r="AK73" s="401"/>
      <c r="AL73" s="402"/>
      <c r="AM73" s="402"/>
      <c r="AN73" s="402"/>
      <c r="AO73" s="402"/>
      <c r="AP73" s="402"/>
      <c r="AQ73" s="402"/>
      <c r="AR73" s="402"/>
      <c r="AS73" s="402"/>
      <c r="AT73" s="403"/>
    </row>
    <row r="74">
      <c r="A74" s="94"/>
      <c r="B74" s="95"/>
      <c r="C74" s="95"/>
      <c r="D74" s="102"/>
      <c r="E74" s="24"/>
      <c r="F74" s="65"/>
      <c r="G74" s="65"/>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4"/>
      <c r="AJ74" s="101"/>
      <c r="AK74" s="404"/>
      <c r="AL74" s="405"/>
      <c r="AM74" s="406" t="s">
        <v>10</v>
      </c>
      <c r="AN74" s="407" t="s">
        <v>44</v>
      </c>
      <c r="AO74" s="408" t="s">
        <v>10</v>
      </c>
      <c r="AP74" s="409" t="s">
        <v>42</v>
      </c>
      <c r="AQ74" s="408" t="s">
        <v>10</v>
      </c>
      <c r="AR74" s="409" t="s">
        <v>41</v>
      </c>
      <c r="AS74" s="408" t="s">
        <v>10</v>
      </c>
      <c r="AT74" s="409" t="s">
        <v>43</v>
      </c>
    </row>
    <row r="75">
      <c r="A75" s="94"/>
      <c r="B75" s="95"/>
      <c r="C75" s="103"/>
      <c r="D75" s="104" t="s">
        <v>16</v>
      </c>
      <c r="E75" s="105">
        <v>1.0</v>
      </c>
      <c r="F75" s="106">
        <f>D70</f>
        <v>9</v>
      </c>
      <c r="G75" s="107">
        <f t="shared" ref="G75:G117" si="25">SUM(F75/C$18*100)</f>
        <v>31.03448276</v>
      </c>
      <c r="H75" s="108" t="s">
        <v>56</v>
      </c>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10"/>
      <c r="AJ75" s="111"/>
      <c r="AK75" s="156" t="s">
        <v>16</v>
      </c>
      <c r="AL75" s="112">
        <v>1.0</v>
      </c>
      <c r="AM75" s="113">
        <f>COUNTIF(D30:D69,"A")</f>
        <v>3</v>
      </c>
      <c r="AN75" s="410">
        <f>SUM(AM75/C18*100)</f>
        <v>10.34482759</v>
      </c>
      <c r="AO75" s="208">
        <f>COUNTIF(D30:D69,"B")</f>
        <v>10</v>
      </c>
      <c r="AP75" s="410">
        <f>SUM(AO75/C18*100)</f>
        <v>34.48275862</v>
      </c>
      <c r="AQ75" s="208">
        <f>COUNTIF(D30:D69,"C")</f>
        <v>6</v>
      </c>
      <c r="AR75" s="410">
        <f>SUM(AQ75/C18*100)</f>
        <v>20.68965517</v>
      </c>
      <c r="AS75" s="208">
        <f>COUNTIF(D30:D69,"D")</f>
        <v>9</v>
      </c>
      <c r="AT75" s="411">
        <f>SUM(AS75/C18*100)</f>
        <v>31.03448276</v>
      </c>
    </row>
    <row r="76">
      <c r="A76" s="94"/>
      <c r="B76" s="95"/>
      <c r="C76" s="103"/>
      <c r="D76" s="47"/>
      <c r="E76" s="112">
        <v>2.0</v>
      </c>
      <c r="F76" s="113">
        <f>E70</f>
        <v>11</v>
      </c>
      <c r="G76" s="107">
        <f t="shared" si="25"/>
        <v>37.93103448</v>
      </c>
      <c r="H76" s="108" t="s">
        <v>57</v>
      </c>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10"/>
      <c r="AJ76" s="111"/>
      <c r="AL76" s="112">
        <v>2.0</v>
      </c>
      <c r="AM76" s="113">
        <f>COUNTIF(E30:E69,"A")</f>
        <v>3</v>
      </c>
      <c r="AN76" s="410">
        <f>SUM(AM76/C18*100)</f>
        <v>10.34482759</v>
      </c>
      <c r="AO76" s="208">
        <f>COUNTIF(E30:E69,"B")</f>
        <v>13</v>
      </c>
      <c r="AP76" s="410">
        <f>SUM(AO76/C18*100)</f>
        <v>44.82758621</v>
      </c>
      <c r="AQ76" s="208">
        <f>COUNTIF(E30:E69,"C")</f>
        <v>11</v>
      </c>
      <c r="AR76" s="410">
        <f>SUM(AQ76/C18*100)</f>
        <v>37.93103448</v>
      </c>
      <c r="AS76" s="208">
        <f>COUNTIF(E30:E69,"D")</f>
        <v>1</v>
      </c>
      <c r="AT76" s="411">
        <f>SUM(AS76/C18*100)</f>
        <v>3.448275862</v>
      </c>
    </row>
    <row r="77">
      <c r="A77" s="94"/>
      <c r="B77" s="95"/>
      <c r="C77" s="103"/>
      <c r="D77" s="47"/>
      <c r="E77" s="112">
        <v>3.0</v>
      </c>
      <c r="F77" s="114">
        <f>F70</f>
        <v>10</v>
      </c>
      <c r="G77" s="107">
        <f t="shared" si="25"/>
        <v>34.48275862</v>
      </c>
      <c r="H77" s="108" t="s">
        <v>58</v>
      </c>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10"/>
      <c r="AJ77" s="111"/>
      <c r="AL77" s="112">
        <v>3.0</v>
      </c>
      <c r="AM77" s="113">
        <f>COUNTIF(F30:F69,"A")</f>
        <v>2</v>
      </c>
      <c r="AN77" s="410">
        <f>SUM(AM77/C18*100)</f>
        <v>6.896551724</v>
      </c>
      <c r="AO77" s="208">
        <f>COUNTIF(F30:F69,"B")</f>
        <v>1</v>
      </c>
      <c r="AP77" s="410">
        <f>SUM(AO77/C18*100)</f>
        <v>3.448275862</v>
      </c>
      <c r="AQ77" s="208">
        <f>COUNTIF(F30:F69,"C")</f>
        <v>15</v>
      </c>
      <c r="AR77" s="410">
        <f>SUM(AQ77/C18*100)</f>
        <v>51.72413793</v>
      </c>
      <c r="AS77" s="208">
        <f>COUNTIF(F30:F69,"D")</f>
        <v>10</v>
      </c>
      <c r="AT77" s="411">
        <f>SUM(AS77/C18*100)</f>
        <v>34.48275862</v>
      </c>
    </row>
    <row r="78">
      <c r="A78" s="94"/>
      <c r="B78" s="95"/>
      <c r="C78" s="103"/>
      <c r="D78" s="47"/>
      <c r="E78" s="112">
        <v>4.0</v>
      </c>
      <c r="F78" s="113">
        <f>G70</f>
        <v>3</v>
      </c>
      <c r="G78" s="107">
        <f t="shared" si="25"/>
        <v>10.34482759</v>
      </c>
      <c r="H78" s="412" t="s">
        <v>57</v>
      </c>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10"/>
      <c r="AJ78" s="111"/>
      <c r="AL78" s="112">
        <v>4.0</v>
      </c>
      <c r="AM78" s="113">
        <f>COUNTIF(G30:G69,"A")</f>
        <v>3</v>
      </c>
      <c r="AN78" s="410">
        <f>SUM(AM78/C18*100)</f>
        <v>10.34482759</v>
      </c>
      <c r="AO78" s="208">
        <f>COUNTIF(G30:G69,"B")</f>
        <v>22</v>
      </c>
      <c r="AP78" s="410">
        <f>SUM(AO78/C18*100)</f>
        <v>75.86206897</v>
      </c>
      <c r="AQ78" s="208">
        <f>COUNTIF(G30:G69,"C")</f>
        <v>1</v>
      </c>
      <c r="AR78" s="410">
        <f>SUM(AQ78/C18*100)</f>
        <v>3.448275862</v>
      </c>
      <c r="AS78" s="208">
        <f>COUNTIF(G30:G69,"D")</f>
        <v>2</v>
      </c>
      <c r="AT78" s="411">
        <f>SUM(AS78/C18*100)</f>
        <v>6.896551724</v>
      </c>
    </row>
    <row r="79">
      <c r="A79" s="94"/>
      <c r="B79" s="95"/>
      <c r="C79" s="103"/>
      <c r="D79" s="47"/>
      <c r="E79" s="112">
        <v>5.0</v>
      </c>
      <c r="F79" s="113">
        <f>H70</f>
        <v>14</v>
      </c>
      <c r="G79" s="107">
        <f t="shared" si="25"/>
        <v>48.27586207</v>
      </c>
      <c r="H79" s="412" t="s">
        <v>59</v>
      </c>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10"/>
      <c r="AJ79" s="111"/>
      <c r="AL79" s="112">
        <v>5.0</v>
      </c>
      <c r="AM79" s="113">
        <f>COUNTIF(H30:H69,"A")</f>
        <v>9</v>
      </c>
      <c r="AN79" s="410">
        <f>SUM(AM79/C18*100)</f>
        <v>31.03448276</v>
      </c>
      <c r="AO79" s="208">
        <f>COUNTIF(H30:H69,"B")</f>
        <v>14</v>
      </c>
      <c r="AP79" s="410">
        <f>SUM(AO79/C18*100)</f>
        <v>48.27586207</v>
      </c>
      <c r="AQ79" s="208">
        <f>COUNTIF(H30:H69,"C")</f>
        <v>0</v>
      </c>
      <c r="AR79" s="410">
        <f>SUM(AQ79/C18*100)</f>
        <v>0</v>
      </c>
      <c r="AS79" s="208">
        <f>COUNTIF(H30:H69,"D")</f>
        <v>5</v>
      </c>
      <c r="AT79" s="411">
        <f>SUM(AS79/C18*100)</f>
        <v>17.24137931</v>
      </c>
    </row>
    <row r="80">
      <c r="A80" s="94"/>
      <c r="B80" s="95"/>
      <c r="C80" s="103"/>
      <c r="D80" s="47"/>
      <c r="E80" s="112">
        <v>6.0</v>
      </c>
      <c r="F80" s="113">
        <f>I70</f>
        <v>5</v>
      </c>
      <c r="G80" s="107">
        <f t="shared" si="25"/>
        <v>17.24137931</v>
      </c>
      <c r="H80" s="412" t="s">
        <v>57</v>
      </c>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10"/>
      <c r="AJ80" s="111"/>
      <c r="AL80" s="112">
        <v>6.0</v>
      </c>
      <c r="AM80" s="113">
        <f>COUNTIF(I30:I69,"A")</f>
        <v>5</v>
      </c>
      <c r="AN80" s="410">
        <f>SUM(AM80/C18*100)</f>
        <v>17.24137931</v>
      </c>
      <c r="AO80" s="208">
        <f>COUNTIF(I30:I69,"B")</f>
        <v>4</v>
      </c>
      <c r="AP80" s="410">
        <f>SUM(AO80/C18*100)</f>
        <v>13.79310345</v>
      </c>
      <c r="AQ80" s="208">
        <f>COUNTIF(I30:I69,"C")</f>
        <v>2</v>
      </c>
      <c r="AR80" s="410">
        <f>SUM(AQ80/C18*100)</f>
        <v>6.896551724</v>
      </c>
      <c r="AS80" s="208">
        <f>COUNTIF(I30:I69,"D")</f>
        <v>17</v>
      </c>
      <c r="AT80" s="411">
        <f>SUM(AS80/C18*100)</f>
        <v>58.62068966</v>
      </c>
    </row>
    <row r="81">
      <c r="A81" s="94"/>
      <c r="B81" s="95"/>
      <c r="C81" s="103"/>
      <c r="D81" s="47"/>
      <c r="E81" s="112">
        <v>7.0</v>
      </c>
      <c r="F81" s="113">
        <f>J70</f>
        <v>4</v>
      </c>
      <c r="G81" s="107">
        <f t="shared" si="25"/>
        <v>13.79310345</v>
      </c>
      <c r="H81" s="412" t="s">
        <v>60</v>
      </c>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10"/>
      <c r="AJ81" s="111"/>
      <c r="AL81" s="112">
        <v>7.0</v>
      </c>
      <c r="AM81" s="113">
        <f>COUNTIF(J30:J69,"A")</f>
        <v>5</v>
      </c>
      <c r="AN81" s="410">
        <f>SUM(AM81/C18*100)</f>
        <v>17.24137931</v>
      </c>
      <c r="AO81" s="208">
        <f>COUNTIF(J30:J69,"B")</f>
        <v>15</v>
      </c>
      <c r="AP81" s="410">
        <f>SUM(AO81/C18*100)</f>
        <v>51.72413793</v>
      </c>
      <c r="AQ81" s="208">
        <f>COUNTIF(J30:J69,"C")</f>
        <v>4</v>
      </c>
      <c r="AR81" s="410">
        <f>SUM(AQ81/C18*100)</f>
        <v>13.79310345</v>
      </c>
      <c r="AS81" s="208">
        <f>COUNTIF(J30:J69,"D")</f>
        <v>4</v>
      </c>
      <c r="AT81" s="411">
        <f>SUM(AS81/C18*100)</f>
        <v>13.79310345</v>
      </c>
    </row>
    <row r="82">
      <c r="A82" s="94"/>
      <c r="B82" s="95"/>
      <c r="C82" s="103"/>
      <c r="D82" s="47"/>
      <c r="E82" s="112">
        <v>8.0</v>
      </c>
      <c r="F82" s="113">
        <f>K70</f>
        <v>6</v>
      </c>
      <c r="G82" s="107">
        <f t="shared" si="25"/>
        <v>20.68965517</v>
      </c>
      <c r="H82" s="412" t="s">
        <v>61</v>
      </c>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10"/>
      <c r="AJ82" s="115"/>
      <c r="AL82" s="112">
        <v>8.0</v>
      </c>
      <c r="AM82" s="113">
        <f>COUNTIF(K30:K69,"A")</f>
        <v>0</v>
      </c>
      <c r="AN82" s="410">
        <f>SUM(AM82/C18*100)</f>
        <v>0</v>
      </c>
      <c r="AO82" s="208">
        <f>COUNTIF(K30:K69,"B")</f>
        <v>16</v>
      </c>
      <c r="AP82" s="410">
        <f>SUM(AO82/C18*100)</f>
        <v>55.17241379</v>
      </c>
      <c r="AQ82" s="208">
        <f>COUNTIF(K30:K69,"C")</f>
        <v>6</v>
      </c>
      <c r="AR82" s="410">
        <f>SUM(AQ82/C18*100)</f>
        <v>20.68965517</v>
      </c>
      <c r="AS82" s="208">
        <f>COUNTIF(K30:K69,"D")</f>
        <v>6</v>
      </c>
      <c r="AT82" s="411">
        <f>SUM(AS82/C18*100)</f>
        <v>20.68965517</v>
      </c>
    </row>
    <row r="83">
      <c r="A83" s="94"/>
      <c r="B83" s="95"/>
      <c r="C83" s="103"/>
      <c r="D83" s="47"/>
      <c r="E83" s="112">
        <v>9.0</v>
      </c>
      <c r="F83" s="113">
        <f>L70</f>
        <v>1</v>
      </c>
      <c r="G83" s="107">
        <f t="shared" si="25"/>
        <v>3.448275862</v>
      </c>
      <c r="H83" s="412" t="s">
        <v>62</v>
      </c>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10"/>
      <c r="AJ83" s="111"/>
      <c r="AL83" s="112">
        <v>9.0</v>
      </c>
      <c r="AM83" s="413">
        <f>COUNTIF(L30:L69,"A")</f>
        <v>17</v>
      </c>
      <c r="AN83" s="410">
        <f>SUM(AM83/C18*100)</f>
        <v>58.62068966</v>
      </c>
      <c r="AO83" s="414">
        <f>COUNTIF(L30:L69,"B")</f>
        <v>8</v>
      </c>
      <c r="AP83" s="410">
        <f>SUM(AO83/C18*100)</f>
        <v>27.5862069</v>
      </c>
      <c r="AQ83" s="414">
        <f>COUNTIF(L30:L69,"C")</f>
        <v>2</v>
      </c>
      <c r="AR83" s="410">
        <f>SUM(AQ83/C18*100)</f>
        <v>6.896551724</v>
      </c>
      <c r="AS83" s="414">
        <f>COUNTIF(L30:L69,"D")</f>
        <v>1</v>
      </c>
      <c r="AT83" s="411">
        <f>SUM(AS83/C18*100)</f>
        <v>3.448275862</v>
      </c>
    </row>
    <row r="84">
      <c r="A84" s="94"/>
      <c r="B84" s="95"/>
      <c r="C84" s="103"/>
      <c r="D84" s="47"/>
      <c r="E84" s="112">
        <v>10.0</v>
      </c>
      <c r="F84" s="113">
        <f>M70</f>
        <v>13</v>
      </c>
      <c r="G84" s="107">
        <f t="shared" si="25"/>
        <v>44.82758621</v>
      </c>
      <c r="H84" s="412" t="s">
        <v>58</v>
      </c>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10"/>
      <c r="AJ84" s="111"/>
      <c r="AL84" s="112">
        <v>10.0</v>
      </c>
      <c r="AM84" s="113">
        <f>COUNTIF(M30:M69,"A")</f>
        <v>7</v>
      </c>
      <c r="AN84" s="410">
        <f>SUM(AM84/C18*100)</f>
        <v>24.13793103</v>
      </c>
      <c r="AO84" s="208">
        <f>COUNTIF(M30:M69,"B")</f>
        <v>3</v>
      </c>
      <c r="AP84" s="410">
        <f>SUM(AO84/C18*100)</f>
        <v>10.34482759</v>
      </c>
      <c r="AQ84" s="208">
        <f>COUNTIF(M30:M69,"C")</f>
        <v>13</v>
      </c>
      <c r="AR84" s="410">
        <f>SUM(AQ84/C18*100)</f>
        <v>44.82758621</v>
      </c>
      <c r="AS84" s="208">
        <f>COUNTIF(M30:M69,"D")</f>
        <v>5</v>
      </c>
      <c r="AT84" s="411">
        <f>SUM(AS84/C18*100)</f>
        <v>17.24137931</v>
      </c>
    </row>
    <row r="85">
      <c r="A85" s="94"/>
      <c r="B85" s="95"/>
      <c r="C85" s="103"/>
      <c r="D85" s="47"/>
      <c r="E85" s="112">
        <v>11.0</v>
      </c>
      <c r="F85" s="113">
        <f>N70</f>
        <v>1</v>
      </c>
      <c r="G85" s="107">
        <f t="shared" si="25"/>
        <v>3.448275862</v>
      </c>
      <c r="H85" s="412" t="s">
        <v>63</v>
      </c>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10"/>
      <c r="AJ85" s="111"/>
      <c r="AL85" s="112">
        <v>11.0</v>
      </c>
      <c r="AM85" s="113">
        <f>COUNTIF(N30:N69,"A")</f>
        <v>1</v>
      </c>
      <c r="AN85" s="410">
        <f>SUM(AM85/C18*100)</f>
        <v>3.448275862</v>
      </c>
      <c r="AO85" s="208">
        <f>COUNTIF(N30:N69,"B")</f>
        <v>1</v>
      </c>
      <c r="AP85" s="410">
        <f>SUM(AO85/C18*100)</f>
        <v>3.448275862</v>
      </c>
      <c r="AQ85" s="208">
        <f>COUNTIF(N30:N69,"C")</f>
        <v>26</v>
      </c>
      <c r="AR85" s="410">
        <f>SUM(AQ85/C18*100)</f>
        <v>89.65517241</v>
      </c>
      <c r="AS85" s="208">
        <f>COUNTIF(N30:N69,"D")</f>
        <v>0</v>
      </c>
      <c r="AT85" s="411">
        <f>SUM(AS85/C18*100)</f>
        <v>0</v>
      </c>
    </row>
    <row r="86">
      <c r="A86" s="94"/>
      <c r="B86" s="95"/>
      <c r="C86" s="103"/>
      <c r="D86" s="47"/>
      <c r="E86" s="112">
        <v>12.0</v>
      </c>
      <c r="F86" s="113">
        <f>O70</f>
        <v>2</v>
      </c>
      <c r="G86" s="107">
        <f t="shared" si="25"/>
        <v>6.896551724</v>
      </c>
      <c r="H86" s="108" t="s">
        <v>64</v>
      </c>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10"/>
      <c r="AJ86" s="116"/>
      <c r="AL86" s="112">
        <v>12.0</v>
      </c>
      <c r="AM86" s="113">
        <f>COUNTIF(O30:O69,"A")</f>
        <v>7</v>
      </c>
      <c r="AN86" s="410">
        <f>SUM(AM86/C18*100)</f>
        <v>24.13793103</v>
      </c>
      <c r="AO86" s="208">
        <f>COUNTIF(O30:O69,"B")</f>
        <v>1</v>
      </c>
      <c r="AP86" s="410">
        <f>SUM(AO86/C18*100)</f>
        <v>3.448275862</v>
      </c>
      <c r="AQ86" s="208">
        <f>COUNTIF(O30:O69,"C")</f>
        <v>2</v>
      </c>
      <c r="AR86" s="410">
        <f>SUM(AQ86/C18*100)</f>
        <v>6.896551724</v>
      </c>
      <c r="AS86" s="208">
        <f>COUNTIF(O30:O69,"D")</f>
        <v>18</v>
      </c>
      <c r="AT86" s="411">
        <f>SUM(AS86/C18*100)</f>
        <v>62.06896552</v>
      </c>
    </row>
    <row r="87">
      <c r="A87" s="94"/>
      <c r="B87" s="95"/>
      <c r="C87" s="103"/>
      <c r="D87" s="47"/>
      <c r="E87" s="112">
        <v>13.0</v>
      </c>
      <c r="F87" s="113">
        <f>P70</f>
        <v>3</v>
      </c>
      <c r="G87" s="107">
        <f t="shared" si="25"/>
        <v>10.34482759</v>
      </c>
      <c r="H87" s="412" t="s">
        <v>63</v>
      </c>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10"/>
      <c r="AJ87" s="111"/>
      <c r="AL87" s="112">
        <v>13.0</v>
      </c>
      <c r="AM87" s="113">
        <f>COUNTIF(P30:P69,"A")</f>
        <v>17</v>
      </c>
      <c r="AN87" s="410">
        <f>SUM(AM87/C18*100)</f>
        <v>58.62068966</v>
      </c>
      <c r="AO87" s="208">
        <f>COUNTIF(P30:P69,"B")</f>
        <v>3</v>
      </c>
      <c r="AP87" s="410">
        <f>SUM(AO87/C18*100)</f>
        <v>10.34482759</v>
      </c>
      <c r="AQ87" s="208">
        <f>COUNTIF(P30:P69,"C")</f>
        <v>5</v>
      </c>
      <c r="AR87" s="410">
        <f>SUM(AQ87/C18*100)</f>
        <v>17.24137931</v>
      </c>
      <c r="AS87" s="208">
        <f>COUNTIF(P30:P69,"D")</f>
        <v>3</v>
      </c>
      <c r="AT87" s="411">
        <f>SUM(AS87/C18*100)</f>
        <v>10.34482759</v>
      </c>
    </row>
    <row r="88">
      <c r="A88" s="94"/>
      <c r="B88" s="95"/>
      <c r="C88" s="103"/>
      <c r="D88" s="47"/>
      <c r="E88" s="112">
        <v>14.0</v>
      </c>
      <c r="F88" s="113">
        <f>Q70</f>
        <v>1</v>
      </c>
      <c r="G88" s="107">
        <f t="shared" si="25"/>
        <v>3.448275862</v>
      </c>
      <c r="H88" s="108" t="s">
        <v>65</v>
      </c>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10"/>
      <c r="AJ88" s="111"/>
      <c r="AL88" s="112">
        <v>14.0</v>
      </c>
      <c r="AM88" s="113">
        <f>COUNTIF(Q30:Q69,"A")</f>
        <v>1</v>
      </c>
      <c r="AN88" s="410">
        <f>SUM(AM88/C18*100)</f>
        <v>3.448275862</v>
      </c>
      <c r="AO88" s="208">
        <f>COUNTIF(Q30:Q69,"B")</f>
        <v>25</v>
      </c>
      <c r="AP88" s="410">
        <f>SUM(AO88/C18*100)</f>
        <v>86.20689655</v>
      </c>
      <c r="AQ88" s="208">
        <f>COUNTIF(Q30:Q69,"C")</f>
        <v>1</v>
      </c>
      <c r="AR88" s="410">
        <f>SUM(AQ88/C18*100)</f>
        <v>3.448275862</v>
      </c>
      <c r="AS88" s="208">
        <f>COUNTIF(Q30:Q69,"D")</f>
        <v>1</v>
      </c>
      <c r="AT88" s="411">
        <f>SUM(AS88/C18*100)</f>
        <v>3.448275862</v>
      </c>
    </row>
    <row r="89">
      <c r="A89" s="94"/>
      <c r="B89" s="95"/>
      <c r="C89" s="103"/>
      <c r="D89" s="47"/>
      <c r="E89" s="112">
        <v>15.0</v>
      </c>
      <c r="F89" s="113">
        <f>R70</f>
        <v>13</v>
      </c>
      <c r="G89" s="107">
        <f t="shared" si="25"/>
        <v>44.82758621</v>
      </c>
      <c r="H89" s="412" t="s">
        <v>66</v>
      </c>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10"/>
      <c r="AJ89" s="111"/>
      <c r="AL89" s="112">
        <v>15.0</v>
      </c>
      <c r="AM89" s="113">
        <f>COUNTIF(R30:R69,"A")</f>
        <v>3</v>
      </c>
      <c r="AN89" s="410">
        <f>SUM(AM89/C18*100)</f>
        <v>10.34482759</v>
      </c>
      <c r="AO89" s="208">
        <f>COUNTIF(R30:R69,"B")</f>
        <v>13</v>
      </c>
      <c r="AP89" s="410">
        <f>SUM(AO89/C18*100)</f>
        <v>44.82758621</v>
      </c>
      <c r="AQ89" s="208">
        <f>COUNTIF(R30:R69,"C")</f>
        <v>11</v>
      </c>
      <c r="AR89" s="410">
        <f>SUM(AQ89/C18*100)</f>
        <v>37.93103448</v>
      </c>
      <c r="AS89" s="208">
        <f>COUNTIF(R30:R69,"D")</f>
        <v>1</v>
      </c>
      <c r="AT89" s="411">
        <f>SUM(AS89/C18*100)</f>
        <v>3.448275862</v>
      </c>
    </row>
    <row r="90">
      <c r="A90" s="94"/>
      <c r="B90" s="95"/>
      <c r="C90" s="103"/>
      <c r="D90" s="47"/>
      <c r="E90" s="112">
        <v>16.0</v>
      </c>
      <c r="F90" s="113">
        <f>S70</f>
        <v>1</v>
      </c>
      <c r="G90" s="107">
        <f t="shared" si="25"/>
        <v>3.448275862</v>
      </c>
      <c r="H90" s="412" t="s">
        <v>66</v>
      </c>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10"/>
      <c r="AJ90" s="111"/>
      <c r="AL90" s="112">
        <v>16.0</v>
      </c>
      <c r="AM90" s="113">
        <f>COUNTIF(S30:S69,"A")</f>
        <v>16</v>
      </c>
      <c r="AN90" s="410">
        <f>SUM(AM90/C18*100)</f>
        <v>55.17241379</v>
      </c>
      <c r="AO90" s="208">
        <f>COUNTIF(S30:S69,"B")</f>
        <v>2</v>
      </c>
      <c r="AP90" s="410">
        <f>SUM(AO90/C18*100)</f>
        <v>6.896551724</v>
      </c>
      <c r="AQ90" s="208">
        <f>COUNTIF(S30:S69,"C")</f>
        <v>9</v>
      </c>
      <c r="AR90" s="410">
        <f>SUM(AQ90/C18*100)</f>
        <v>31.03448276</v>
      </c>
      <c r="AS90" s="208">
        <f>COUNTIF(S30:S69,"D")</f>
        <v>1</v>
      </c>
      <c r="AT90" s="411">
        <f>SUM(AS90/C18*100)</f>
        <v>3.448275862</v>
      </c>
    </row>
    <row r="91">
      <c r="A91" s="94"/>
      <c r="B91" s="95"/>
      <c r="C91" s="103"/>
      <c r="D91" s="47"/>
      <c r="E91" s="112">
        <v>17.0</v>
      </c>
      <c r="F91" s="113">
        <f>T70</f>
        <v>3</v>
      </c>
      <c r="G91" s="107">
        <f t="shared" si="25"/>
        <v>10.34482759</v>
      </c>
      <c r="H91" s="108" t="s">
        <v>67</v>
      </c>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10"/>
      <c r="AJ91" s="111"/>
      <c r="AL91" s="112">
        <v>17.0</v>
      </c>
      <c r="AM91" s="113">
        <f>COUNTIF(T30:T69,"A")</f>
        <v>20</v>
      </c>
      <c r="AN91" s="410">
        <f>SUM(AM91/C18*100)</f>
        <v>68.96551724</v>
      </c>
      <c r="AO91" s="208">
        <f>COUNTIF(T30:T69,"B")</f>
        <v>1</v>
      </c>
      <c r="AP91" s="410">
        <f>SUM(AO91/C18*100)</f>
        <v>3.448275862</v>
      </c>
      <c r="AQ91" s="208">
        <f>COUNTIF(T30:T69,"C")</f>
        <v>3</v>
      </c>
      <c r="AR91" s="410">
        <f>SUM(AQ91/C18*100)</f>
        <v>10.34482759</v>
      </c>
      <c r="AS91" s="208">
        <f>COUNTIF(T30:T69,"D")</f>
        <v>4</v>
      </c>
      <c r="AT91" s="411">
        <f>SUM(AS91/C18*100)</f>
        <v>13.79310345</v>
      </c>
    </row>
    <row r="92">
      <c r="A92" s="94"/>
      <c r="B92" s="95"/>
      <c r="C92" s="103"/>
      <c r="D92" s="47"/>
      <c r="E92" s="112">
        <v>18.0</v>
      </c>
      <c r="F92" s="113">
        <f>U70</f>
        <v>1</v>
      </c>
      <c r="G92" s="107">
        <f t="shared" si="25"/>
        <v>3.448275862</v>
      </c>
      <c r="H92" s="412" t="s">
        <v>68</v>
      </c>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10"/>
      <c r="AJ92" s="111"/>
      <c r="AL92" s="112">
        <v>18.0</v>
      </c>
      <c r="AM92" s="113">
        <f>COUNTIF(U30:U69,"A")</f>
        <v>19</v>
      </c>
      <c r="AN92" s="410">
        <f>SUM(AM92/C18*100)</f>
        <v>65.51724138</v>
      </c>
      <c r="AO92" s="208">
        <f>COUNTIF(U30:U69,"B")</f>
        <v>6</v>
      </c>
      <c r="AP92" s="410">
        <f>SUM(AO92/C18*100)</f>
        <v>20.68965517</v>
      </c>
      <c r="AQ92" s="208">
        <f>COUNTIF(U30:U69,"C")</f>
        <v>1</v>
      </c>
      <c r="AR92" s="410">
        <f>SUM(AQ92/C18*100)</f>
        <v>3.448275862</v>
      </c>
      <c r="AS92" s="208">
        <f>COUNTIF(U30:U69,"D")</f>
        <v>2</v>
      </c>
      <c r="AT92" s="411">
        <f>SUM(AS92/C18*100)</f>
        <v>6.896551724</v>
      </c>
    </row>
    <row r="93">
      <c r="A93" s="94"/>
      <c r="B93" s="95"/>
      <c r="C93" s="103"/>
      <c r="D93" s="47"/>
      <c r="E93" s="112">
        <v>19.0</v>
      </c>
      <c r="F93" s="113">
        <f>V70</f>
        <v>0</v>
      </c>
      <c r="G93" s="107">
        <f t="shared" si="25"/>
        <v>0</v>
      </c>
      <c r="H93" s="412" t="s">
        <v>67</v>
      </c>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10"/>
      <c r="AJ93" s="111"/>
      <c r="AL93" s="112">
        <v>19.0</v>
      </c>
      <c r="AM93" s="113">
        <f>COUNTIF(V30:V69,"A")</f>
        <v>0</v>
      </c>
      <c r="AN93" s="410">
        <f>SUM(AM93/C18*100)</f>
        <v>0</v>
      </c>
      <c r="AO93" s="208">
        <f>COUNTIF(V30:V69,"B")</f>
        <v>7</v>
      </c>
      <c r="AP93" s="410">
        <f>SUM(AO93/C18*100)</f>
        <v>24.13793103</v>
      </c>
      <c r="AQ93" s="208">
        <f>COUNTIF(V30:V69,"C")</f>
        <v>17</v>
      </c>
      <c r="AR93" s="410">
        <f>SUM(AQ93/C18*100)</f>
        <v>58.62068966</v>
      </c>
      <c r="AS93" s="208">
        <f>COUNTIF(V30:V69,"D")</f>
        <v>3</v>
      </c>
      <c r="AT93" s="411">
        <f>SUM(AS93/C18*100)</f>
        <v>10.34482759</v>
      </c>
    </row>
    <row r="94">
      <c r="A94" s="94"/>
      <c r="B94" s="95"/>
      <c r="C94" s="103"/>
      <c r="D94" s="47"/>
      <c r="E94" s="112">
        <v>20.0</v>
      </c>
      <c r="F94" s="113">
        <f>W70</f>
        <v>0</v>
      </c>
      <c r="G94" s="107">
        <f t="shared" si="25"/>
        <v>0</v>
      </c>
      <c r="H94" s="412" t="s">
        <v>69</v>
      </c>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10"/>
      <c r="AJ94" s="111"/>
      <c r="AL94" s="112">
        <v>20.0</v>
      </c>
      <c r="AM94" s="113">
        <f>COUNTIF(W30:W69,"A")</f>
        <v>0</v>
      </c>
      <c r="AN94" s="410">
        <f>SUM(AM94/C18*100)</f>
        <v>0</v>
      </c>
      <c r="AO94" s="208">
        <f>COUNTIF(W30:W69,"B")</f>
        <v>4</v>
      </c>
      <c r="AP94" s="410">
        <f>SUM(AO94/C18*100)</f>
        <v>13.79310345</v>
      </c>
      <c r="AQ94" s="208">
        <f>COUNTIF(W30:W69,"C")</f>
        <v>5</v>
      </c>
      <c r="AR94" s="410">
        <f>SUM(AQ94/C18*100)</f>
        <v>17.24137931</v>
      </c>
      <c r="AS94" s="208">
        <f>COUNTIF(W30:W69,"D")</f>
        <v>19</v>
      </c>
      <c r="AT94" s="411">
        <f>SUM(AS94/C18*100)</f>
        <v>65.51724138</v>
      </c>
    </row>
    <row r="95">
      <c r="A95" s="94"/>
      <c r="B95" s="95"/>
      <c r="C95" s="103"/>
      <c r="D95" s="117"/>
      <c r="E95" s="118">
        <v>21.0</v>
      </c>
      <c r="F95" s="119">
        <f>X70</f>
        <v>15</v>
      </c>
      <c r="G95" s="120">
        <f t="shared" si="25"/>
        <v>51.72413793</v>
      </c>
      <c r="H95" s="415" t="s">
        <v>70</v>
      </c>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3"/>
      <c r="AJ95" s="111"/>
      <c r="AL95" s="112">
        <v>21.0</v>
      </c>
      <c r="AM95" s="113">
        <f>COUNTIF(X30:X69,"A")</f>
        <v>2</v>
      </c>
      <c r="AN95" s="410">
        <f>SUM(AM95/C18*100)</f>
        <v>6.896551724</v>
      </c>
      <c r="AO95" s="208">
        <f>COUNTIF(X30:X69,"B")</f>
        <v>15</v>
      </c>
      <c r="AP95" s="410">
        <f>SUM(AO95/C18*100)</f>
        <v>51.72413793</v>
      </c>
      <c r="AQ95" s="208">
        <f>COUNTIF(X30:X69,"C")</f>
        <v>5</v>
      </c>
      <c r="AR95" s="410">
        <f>SUM(AQ95/C18*100)</f>
        <v>17.24137931</v>
      </c>
      <c r="AS95" s="208">
        <f>COUNTIF(X30:X69,"D")</f>
        <v>6</v>
      </c>
      <c r="AT95" s="411">
        <f>SUM(AS95/C18*100)</f>
        <v>20.68965517</v>
      </c>
    </row>
    <row r="96">
      <c r="A96" s="94"/>
      <c r="B96" s="95"/>
      <c r="C96" s="103"/>
      <c r="D96" s="124" t="s">
        <v>17</v>
      </c>
      <c r="E96" s="125">
        <v>1.0</v>
      </c>
      <c r="F96" s="106">
        <f>Y70</f>
        <v>1</v>
      </c>
      <c r="G96" s="107">
        <f t="shared" si="25"/>
        <v>3.448275862</v>
      </c>
      <c r="H96" s="126" t="s">
        <v>71</v>
      </c>
      <c r="I96" s="416"/>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8"/>
      <c r="AJ96" s="129"/>
      <c r="AK96" s="164" t="s">
        <v>17</v>
      </c>
      <c r="AL96" s="130">
        <v>1.0</v>
      </c>
      <c r="AM96" s="113">
        <f>COUNTIF(Y30:Y69,"A")</f>
        <v>26</v>
      </c>
      <c r="AN96" s="410">
        <f>SUM(AM96/C18*100)</f>
        <v>89.65517241</v>
      </c>
      <c r="AO96" s="208">
        <f>COUNTIF(Y30:Y69,"B")</f>
        <v>0</v>
      </c>
      <c r="AP96" s="410">
        <f>SUM(AO96/C18*100)</f>
        <v>0</v>
      </c>
      <c r="AQ96" s="208">
        <f>COUNTIF(Y30:Y69,"C")</f>
        <v>1</v>
      </c>
      <c r="AR96" s="410">
        <f>SUM(AQ96/C18*100)</f>
        <v>3.448275862</v>
      </c>
      <c r="AS96" s="208">
        <f>COUNTIF(Y30:Y69,"D")</f>
        <v>1</v>
      </c>
      <c r="AT96" s="411">
        <f>SUM(AS96/C18*100)</f>
        <v>3.448275862</v>
      </c>
    </row>
    <row r="97">
      <c r="A97" s="94"/>
      <c r="B97" s="95"/>
      <c r="C97" s="103"/>
      <c r="D97" s="47"/>
      <c r="E97" s="130">
        <v>2.0</v>
      </c>
      <c r="F97" s="113">
        <f>Z70</f>
        <v>1</v>
      </c>
      <c r="G97" s="107">
        <f t="shared" si="25"/>
        <v>3.448275862</v>
      </c>
      <c r="H97" s="131" t="s">
        <v>72</v>
      </c>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3"/>
      <c r="AJ97" s="134"/>
      <c r="AL97" s="130">
        <v>2.0</v>
      </c>
      <c r="AM97" s="113">
        <f>COUNTIF(Z30:Z69,"A")</f>
        <v>1</v>
      </c>
      <c r="AN97" s="410">
        <f>SUM(AM97/C18*100)</f>
        <v>3.448275862</v>
      </c>
      <c r="AO97" s="208">
        <f>COUNTIF(Z30:Z69,"B")</f>
        <v>0</v>
      </c>
      <c r="AP97" s="410">
        <f>SUM(AO97/C18*100)</f>
        <v>0</v>
      </c>
      <c r="AQ97" s="208">
        <f>COUNTIF(Z30:Z69,"C")</f>
        <v>2</v>
      </c>
      <c r="AR97" s="410">
        <f>SUM(AQ97/C18*100)</f>
        <v>6.896551724</v>
      </c>
      <c r="AS97" s="208">
        <f>COUNTIF(Z30:Z69,"D")</f>
        <v>24</v>
      </c>
      <c r="AT97" s="411">
        <f>SUM(AS97/C18*100)</f>
        <v>82.75862069</v>
      </c>
    </row>
    <row r="98">
      <c r="A98" s="94"/>
      <c r="B98" s="95"/>
      <c r="C98" s="103"/>
      <c r="D98" s="47"/>
      <c r="E98" s="130">
        <v>3.0</v>
      </c>
      <c r="F98" s="113">
        <f>AA70</f>
        <v>24</v>
      </c>
      <c r="G98" s="107">
        <f t="shared" si="25"/>
        <v>82.75862069</v>
      </c>
      <c r="H98" s="131" t="s">
        <v>73</v>
      </c>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3"/>
      <c r="AJ98" s="134"/>
      <c r="AL98" s="130">
        <v>3.0</v>
      </c>
      <c r="AM98" s="113">
        <f>COUNTIF(AA30:AA69,"A")</f>
        <v>0</v>
      </c>
      <c r="AN98" s="410">
        <f>SUM(AM98/C18*100)</f>
        <v>0</v>
      </c>
      <c r="AO98" s="208">
        <f>COUNTIF(AA30:AA69,"B")</f>
        <v>24</v>
      </c>
      <c r="AP98" s="410">
        <f>SUM(AO98/C18*100)</f>
        <v>82.75862069</v>
      </c>
      <c r="AQ98" s="208">
        <f>COUNTIF(AA30:AA69,"C")</f>
        <v>3</v>
      </c>
      <c r="AR98" s="410">
        <f>SUM(AQ98/C18*100)</f>
        <v>10.34482759</v>
      </c>
      <c r="AS98" s="208">
        <f>COUNTIF(AA30:AA69,"D")</f>
        <v>1</v>
      </c>
      <c r="AT98" s="411">
        <f>SUM(AS98/C18*100)</f>
        <v>3.448275862</v>
      </c>
    </row>
    <row r="99">
      <c r="A99" s="94"/>
      <c r="B99" s="95"/>
      <c r="C99" s="103"/>
      <c r="D99" s="47"/>
      <c r="E99" s="130">
        <v>4.0</v>
      </c>
      <c r="F99" s="113">
        <f>AB70</f>
        <v>26</v>
      </c>
      <c r="G99" s="107">
        <f t="shared" si="25"/>
        <v>89.65517241</v>
      </c>
      <c r="H99" s="135" t="s">
        <v>74</v>
      </c>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3"/>
      <c r="AJ99" s="134"/>
      <c r="AL99" s="130">
        <v>4.0</v>
      </c>
      <c r="AM99" s="113">
        <f>COUNTIF(AB30:AB69,"A")</f>
        <v>0</v>
      </c>
      <c r="AN99" s="410">
        <f>SUM(AM99/C18*100)</f>
        <v>0</v>
      </c>
      <c r="AO99" s="208">
        <f>COUNTIF(AB30:AB69,"B")</f>
        <v>2</v>
      </c>
      <c r="AP99" s="410">
        <f>SUM(AO99/C18*100)</f>
        <v>6.896551724</v>
      </c>
      <c r="AQ99" s="208">
        <f>COUNTIF(AB30:AB69,"C")</f>
        <v>0</v>
      </c>
      <c r="AR99" s="410">
        <f>SUM(AQ99/C18*100)</f>
        <v>0</v>
      </c>
      <c r="AS99" s="208">
        <f>COUNTIF(AB30:AB69,"D")</f>
        <v>26</v>
      </c>
      <c r="AT99" s="411">
        <f>SUM(AS99/C18*100)</f>
        <v>89.65517241</v>
      </c>
    </row>
    <row r="100">
      <c r="A100" s="94"/>
      <c r="B100" s="95"/>
      <c r="C100" s="103"/>
      <c r="D100" s="47"/>
      <c r="E100" s="130">
        <v>5.0</v>
      </c>
      <c r="F100" s="113">
        <f>AC70</f>
        <v>2</v>
      </c>
      <c r="G100" s="107">
        <f t="shared" si="25"/>
        <v>6.896551724</v>
      </c>
      <c r="H100" s="136" t="s">
        <v>71</v>
      </c>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3"/>
      <c r="AJ100" s="134"/>
      <c r="AL100" s="130">
        <v>5.0</v>
      </c>
      <c r="AM100" s="113">
        <f>COUNTIF(AC30:AC69,"A")</f>
        <v>2</v>
      </c>
      <c r="AN100" s="410">
        <f>SUM(AM100/C18*100)</f>
        <v>6.896551724</v>
      </c>
      <c r="AO100" s="208">
        <f>COUNTIF(AC30:AC69,"B")</f>
        <v>3</v>
      </c>
      <c r="AP100" s="410">
        <f>SUM(AO100/C18*100)</f>
        <v>10.34482759</v>
      </c>
      <c r="AQ100" s="208">
        <f>COUNTIF(AC30:AC69,"C")</f>
        <v>20</v>
      </c>
      <c r="AR100" s="410">
        <f>SUM(AQ100/C18*100)</f>
        <v>68.96551724</v>
      </c>
      <c r="AS100" s="208">
        <f>COUNTIF(AC30:AC69,"D")</f>
        <v>3</v>
      </c>
      <c r="AT100" s="411">
        <f>SUM(AS100/C18*100)</f>
        <v>10.34482759</v>
      </c>
    </row>
    <row r="101">
      <c r="A101" s="94"/>
      <c r="B101" s="95"/>
      <c r="C101" s="103"/>
      <c r="D101" s="47"/>
      <c r="E101" s="130">
        <v>6.0</v>
      </c>
      <c r="F101" s="113">
        <f>AD70</f>
        <v>2</v>
      </c>
      <c r="G101" s="107">
        <f t="shared" si="25"/>
        <v>6.896551724</v>
      </c>
      <c r="H101" s="137" t="s">
        <v>75</v>
      </c>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3"/>
      <c r="AJ101" s="134"/>
      <c r="AL101" s="130">
        <v>6.0</v>
      </c>
      <c r="AM101" s="113">
        <f>COUNTIF(AD30:AD69,"A")</f>
        <v>4</v>
      </c>
      <c r="AN101" s="410">
        <f>SUM(AM101/C18*100)</f>
        <v>13.79310345</v>
      </c>
      <c r="AO101" s="208">
        <f>COUNTIF(AD30:AD69,"B")</f>
        <v>3</v>
      </c>
      <c r="AP101" s="410">
        <f>SUM(AO101/C18*100)</f>
        <v>10.34482759</v>
      </c>
      <c r="AQ101" s="208">
        <f>COUNTIF(AD30:AD69,"C")</f>
        <v>19</v>
      </c>
      <c r="AR101" s="410">
        <f>SUM(AQ101/C18*100)</f>
        <v>65.51724138</v>
      </c>
      <c r="AS101" s="208">
        <f>COUNTIF(AD30:AD69,"D")</f>
        <v>2</v>
      </c>
      <c r="AT101" s="411">
        <f>SUM(AS101/C18*100)</f>
        <v>6.896551724</v>
      </c>
    </row>
    <row r="102">
      <c r="A102" s="94"/>
      <c r="B102" s="95"/>
      <c r="C102" s="103"/>
      <c r="D102" s="47"/>
      <c r="E102" s="130">
        <v>7.0</v>
      </c>
      <c r="F102" s="113">
        <f>AE70</f>
        <v>20</v>
      </c>
      <c r="G102" s="107">
        <f t="shared" si="25"/>
        <v>68.96551724</v>
      </c>
      <c r="H102" s="135" t="s">
        <v>76</v>
      </c>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3"/>
      <c r="AJ102" s="134"/>
      <c r="AL102" s="130">
        <v>7.0</v>
      </c>
      <c r="AM102" s="113">
        <f>COUNTIF(AE30:AE69,"A")</f>
        <v>4</v>
      </c>
      <c r="AN102" s="410">
        <f>SUM(AM102/C18*100)</f>
        <v>13.79310345</v>
      </c>
      <c r="AO102" s="208">
        <f>COUNTIF(AE30:AE69,"B")</f>
        <v>20</v>
      </c>
      <c r="AP102" s="410">
        <f>SUM(AO102/C18*100)</f>
        <v>68.96551724</v>
      </c>
      <c r="AQ102" s="208">
        <f>COUNTIF(AE30:AE69,"C")</f>
        <v>0</v>
      </c>
      <c r="AR102" s="410">
        <f>SUM(AQ102/C18*100)</f>
        <v>0</v>
      </c>
      <c r="AS102" s="208">
        <f>COUNTIF(AE30:AE69,"D")</f>
        <v>4</v>
      </c>
      <c r="AT102" s="411">
        <f>SUM(AS102/C18*100)</f>
        <v>13.79310345</v>
      </c>
    </row>
    <row r="103">
      <c r="A103" s="94"/>
      <c r="B103" s="95"/>
      <c r="C103" s="103"/>
      <c r="D103" s="47"/>
      <c r="E103" s="130">
        <v>8.0</v>
      </c>
      <c r="F103" s="113">
        <f>AF70</f>
        <v>1</v>
      </c>
      <c r="G103" s="107">
        <f t="shared" si="25"/>
        <v>3.448275862</v>
      </c>
      <c r="H103" s="131" t="s">
        <v>77</v>
      </c>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9"/>
      <c r="AJ103" s="134"/>
      <c r="AL103" s="130">
        <v>8.0</v>
      </c>
      <c r="AM103" s="113">
        <f>COUNTIF(AF30:AF69,"A")</f>
        <v>21</v>
      </c>
      <c r="AN103" s="410">
        <f>SUM(AM103/C18*100)</f>
        <v>72.4137931</v>
      </c>
      <c r="AO103" s="208">
        <f>COUNTIF(AF30:AF69,"B")</f>
        <v>3</v>
      </c>
      <c r="AP103" s="410">
        <f>SUM(AO103/C18*100)</f>
        <v>10.34482759</v>
      </c>
      <c r="AQ103" s="208">
        <f>COUNTIF(AF30:AF69,"C")</f>
        <v>1</v>
      </c>
      <c r="AR103" s="410">
        <f>SUM(AQ103/C18*100)</f>
        <v>3.448275862</v>
      </c>
      <c r="AS103" s="208">
        <f>COUNTIF(AF30:AF69,"D")</f>
        <v>3</v>
      </c>
      <c r="AT103" s="411">
        <f>SUM(AS103/C18*100)</f>
        <v>10.34482759</v>
      </c>
    </row>
    <row r="104">
      <c r="A104" s="94"/>
      <c r="B104" s="95"/>
      <c r="C104" s="103"/>
      <c r="D104" s="47"/>
      <c r="E104" s="130">
        <v>9.0</v>
      </c>
      <c r="F104" s="113">
        <f>AG70</f>
        <v>2</v>
      </c>
      <c r="G104" s="107">
        <f t="shared" si="25"/>
        <v>6.896551724</v>
      </c>
      <c r="H104" s="135" t="s">
        <v>78</v>
      </c>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3"/>
      <c r="AJ104" s="134"/>
      <c r="AL104" s="130">
        <v>9.0</v>
      </c>
      <c r="AM104" s="113">
        <f>COUNTIF(AG30:AG69,"A")</f>
        <v>2</v>
      </c>
      <c r="AN104" s="410">
        <f>SUM(AM104/C18*100)</f>
        <v>6.896551724</v>
      </c>
      <c r="AO104" s="208">
        <f>COUNTIF(AG30:AG69,"B")</f>
        <v>5</v>
      </c>
      <c r="AP104" s="410">
        <f>SUM(AO104/C18*100)</f>
        <v>17.24137931</v>
      </c>
      <c r="AQ104" s="208">
        <f>COUNTIF(AG30:AG69,"C")</f>
        <v>5</v>
      </c>
      <c r="AR104" s="410">
        <f>SUM(AQ104/C18*100)</f>
        <v>17.24137931</v>
      </c>
      <c r="AS104" s="208">
        <f>COUNTIF(AG30:AG69,"D")</f>
        <v>16</v>
      </c>
      <c r="AT104" s="411">
        <f>SUM(AS104/C18*100)</f>
        <v>55.17241379</v>
      </c>
    </row>
    <row r="105" ht="15.75" customHeight="1">
      <c r="A105" s="94"/>
      <c r="B105" s="95"/>
      <c r="C105" s="103"/>
      <c r="D105" s="47"/>
      <c r="E105" s="130">
        <v>10.0</v>
      </c>
      <c r="F105" s="113">
        <f>AH70</f>
        <v>2</v>
      </c>
      <c r="G105" s="107">
        <f t="shared" si="25"/>
        <v>6.896551724</v>
      </c>
      <c r="H105" s="137" t="s">
        <v>75</v>
      </c>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3"/>
      <c r="AJ105" s="134"/>
      <c r="AL105" s="130">
        <v>10.0</v>
      </c>
      <c r="AM105" s="113">
        <f>COUNTIF(AH30:AH69,"A")</f>
        <v>22</v>
      </c>
      <c r="AN105" s="410">
        <f>SUM(AM105/C18*100)</f>
        <v>75.86206897</v>
      </c>
      <c r="AO105" s="208">
        <f>COUNTIF(AH30:AH69,"B")</f>
        <v>1</v>
      </c>
      <c r="AP105" s="410">
        <f>SUM(AO105/C18*100)</f>
        <v>3.448275862</v>
      </c>
      <c r="AQ105" s="208">
        <f>COUNTIF(AH30:AH69,"C")</f>
        <v>2</v>
      </c>
      <c r="AR105" s="410">
        <f>SUM(AQ105/C18*100)</f>
        <v>6.896551724</v>
      </c>
      <c r="AS105" s="208">
        <f>COUNTIF(AH30:AH69,"D")</f>
        <v>3</v>
      </c>
      <c r="AT105" s="411">
        <f>SUM(AS105/C18*100)</f>
        <v>10.34482759</v>
      </c>
    </row>
    <row r="106">
      <c r="A106" s="94"/>
      <c r="B106" s="95"/>
      <c r="C106" s="103"/>
      <c r="D106" s="47"/>
      <c r="E106" s="130">
        <v>11.0</v>
      </c>
      <c r="F106" s="113">
        <f>AI70</f>
        <v>1</v>
      </c>
      <c r="G106" s="107">
        <f t="shared" si="25"/>
        <v>3.448275862</v>
      </c>
      <c r="H106" s="135" t="s">
        <v>79</v>
      </c>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3"/>
      <c r="AJ106" s="134"/>
      <c r="AL106" s="130">
        <v>11.0</v>
      </c>
      <c r="AM106" s="113">
        <f>COUNTIF(AI30:AI69,"A")</f>
        <v>0</v>
      </c>
      <c r="AN106" s="410">
        <f>SUM(AM106/C18*100)</f>
        <v>0</v>
      </c>
      <c r="AO106" s="208">
        <f>COUNTIF(AI30:AI69,"B")</f>
        <v>1</v>
      </c>
      <c r="AP106" s="410">
        <f>SUM(AO106/C18*100)</f>
        <v>3.448275862</v>
      </c>
      <c r="AQ106" s="208">
        <f>COUNTIF(AI30:AI69,"C")</f>
        <v>25</v>
      </c>
      <c r="AR106" s="410">
        <f>SUM(AQ106/C18*100)</f>
        <v>86.20689655</v>
      </c>
      <c r="AS106" s="208">
        <f>COUNTIF(AI30:AI69,"D")</f>
        <v>2</v>
      </c>
      <c r="AT106" s="411">
        <f>SUM(AS106/C18*100)</f>
        <v>6.896551724</v>
      </c>
    </row>
    <row r="107">
      <c r="A107" s="94"/>
      <c r="B107" s="95"/>
      <c r="C107" s="103"/>
      <c r="D107" s="47"/>
      <c r="E107" s="130">
        <v>12.0</v>
      </c>
      <c r="F107" s="114">
        <f>AJ70</f>
        <v>0</v>
      </c>
      <c r="G107" s="107">
        <f t="shared" si="25"/>
        <v>0</v>
      </c>
      <c r="H107" s="131" t="s">
        <v>80</v>
      </c>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1"/>
      <c r="AJ107" s="142"/>
      <c r="AL107" s="130">
        <v>12.0</v>
      </c>
      <c r="AM107" s="113">
        <f>COUNTIF(AJ30:AJ69,"A")</f>
        <v>0</v>
      </c>
      <c r="AN107" s="410">
        <f>SUM(AM107/C18*100)</f>
        <v>0</v>
      </c>
      <c r="AO107" s="208">
        <f>COUNTIF(AJ30:AJ69,"B")</f>
        <v>26</v>
      </c>
      <c r="AP107" s="410">
        <f>SUM(AO107/C18*100)</f>
        <v>89.65517241</v>
      </c>
      <c r="AQ107" s="208">
        <f>COUNTIF(AJ30:AJ69,"C")</f>
        <v>0</v>
      </c>
      <c r="AR107" s="410">
        <f>SUM(AQ107/C18*100)</f>
        <v>0</v>
      </c>
      <c r="AS107" s="208">
        <f>COUNTIF(AJ30:AJ69,"D")</f>
        <v>1</v>
      </c>
      <c r="AT107" s="411">
        <f>SUM(AS107/C18*100)</f>
        <v>3.448275862</v>
      </c>
    </row>
    <row r="108">
      <c r="A108" s="94"/>
      <c r="B108" s="95"/>
      <c r="C108" s="103"/>
      <c r="D108" s="47"/>
      <c r="E108" s="130">
        <v>13.0</v>
      </c>
      <c r="F108" s="113">
        <f>AK70</f>
        <v>2</v>
      </c>
      <c r="G108" s="107">
        <f t="shared" si="25"/>
        <v>6.896551724</v>
      </c>
      <c r="H108" s="137" t="s">
        <v>81</v>
      </c>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1"/>
      <c r="AJ108" s="143"/>
      <c r="AL108" s="130">
        <v>13.0</v>
      </c>
      <c r="AM108" s="113">
        <f>COUNTIF(AK30:AK69,"A")</f>
        <v>2</v>
      </c>
      <c r="AN108" s="410">
        <f>SUM(AM108/C18*100)</f>
        <v>6.896551724</v>
      </c>
      <c r="AO108" s="208">
        <f>COUNTIF(AK30:AK69,"B")</f>
        <v>2</v>
      </c>
      <c r="AP108" s="410">
        <f>SUM(AO108/C18*100)</f>
        <v>6.896551724</v>
      </c>
      <c r="AQ108" s="208">
        <f>COUNTIF(AK30:AK69,"C")</f>
        <v>2</v>
      </c>
      <c r="AR108" s="410">
        <f>SUM(AQ108/C18*100)</f>
        <v>6.896551724</v>
      </c>
      <c r="AS108" s="208">
        <f>COUNTIF(AK30:AK69,"D")</f>
        <v>21</v>
      </c>
      <c r="AT108" s="411">
        <f>SUM(AS108/C18*100)</f>
        <v>72.4137931</v>
      </c>
    </row>
    <row r="109">
      <c r="A109" s="94"/>
      <c r="B109" s="95"/>
      <c r="C109" s="103"/>
      <c r="D109" s="47"/>
      <c r="E109" s="130">
        <v>14.0</v>
      </c>
      <c r="F109" s="113">
        <f>AL70</f>
        <v>1</v>
      </c>
      <c r="G109" s="107">
        <f t="shared" si="25"/>
        <v>3.448275862</v>
      </c>
      <c r="H109" s="135" t="s">
        <v>79</v>
      </c>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3"/>
      <c r="AJ109" s="134"/>
      <c r="AL109" s="130">
        <v>14.0</v>
      </c>
      <c r="AM109" s="113">
        <f>COUNTIF(AL30:AL69,"A")</f>
        <v>1</v>
      </c>
      <c r="AN109" s="410">
        <f>SUM(AM109/C18*100)</f>
        <v>3.448275862</v>
      </c>
      <c r="AO109" s="208">
        <f>COUNTIF(AL30:AL69,"B")</f>
        <v>23</v>
      </c>
      <c r="AP109" s="410">
        <f>SUM(AO109/C18*100)</f>
        <v>79.31034483</v>
      </c>
      <c r="AQ109" s="208">
        <f>COUNTIF(AL30:AL69,"C")</f>
        <v>2</v>
      </c>
      <c r="AR109" s="410">
        <f>SUM(AQ109/C18*100)</f>
        <v>6.896551724</v>
      </c>
      <c r="AS109" s="208">
        <f>COUNTIF(AL30:AL69,"D")</f>
        <v>1</v>
      </c>
      <c r="AT109" s="411">
        <f>SUM(AS109/C18*100)</f>
        <v>3.448275862</v>
      </c>
    </row>
    <row r="110">
      <c r="A110" s="94"/>
      <c r="B110" s="95"/>
      <c r="C110" s="103"/>
      <c r="D110" s="47"/>
      <c r="E110" s="130">
        <v>15.0</v>
      </c>
      <c r="F110" s="113">
        <f>AM70</f>
        <v>0</v>
      </c>
      <c r="G110" s="107">
        <f t="shared" si="25"/>
        <v>0</v>
      </c>
      <c r="H110" s="145" t="s">
        <v>82</v>
      </c>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3"/>
      <c r="AJ110" s="134"/>
      <c r="AL110" s="130">
        <v>15.0</v>
      </c>
      <c r="AM110" s="113">
        <f>COUNTIF(AM30:AM69,"A")</f>
        <v>6</v>
      </c>
      <c r="AN110" s="410">
        <f>SUM(AM110/C18*100)</f>
        <v>20.68965517</v>
      </c>
      <c r="AO110" s="208">
        <f>COUNTIF(AM30:AM69,"B")</f>
        <v>0</v>
      </c>
      <c r="AP110" s="410">
        <f>SUM(AO110/C18*100)</f>
        <v>0</v>
      </c>
      <c r="AQ110" s="208">
        <f>COUNTIF(AM30:AM69,"C")</f>
        <v>20</v>
      </c>
      <c r="AR110" s="410">
        <f>SUM(AQ110/C18*100)</f>
        <v>68.96551724</v>
      </c>
      <c r="AS110" s="208">
        <f>COUNTIF(AM30:AM69,"D")</f>
        <v>0</v>
      </c>
      <c r="AT110" s="411">
        <f>SUM(AS110/C18*100)</f>
        <v>0</v>
      </c>
    </row>
    <row r="111">
      <c r="A111" s="94"/>
      <c r="B111" s="95"/>
      <c r="C111" s="103"/>
      <c r="D111" s="47"/>
      <c r="E111" s="130">
        <v>16.0</v>
      </c>
      <c r="F111" s="113">
        <f>AN70</f>
        <v>3</v>
      </c>
      <c r="G111" s="107">
        <f t="shared" si="25"/>
        <v>10.34482759</v>
      </c>
      <c r="H111" s="135" t="s">
        <v>83</v>
      </c>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3"/>
      <c r="AJ111" s="134"/>
      <c r="AL111" s="130">
        <v>16.0</v>
      </c>
      <c r="AM111" s="113">
        <f>COUNTIF(AN30:AN69,"A")</f>
        <v>16</v>
      </c>
      <c r="AN111" s="410">
        <f>SUM(AM111/C18*100)</f>
        <v>55.17241379</v>
      </c>
      <c r="AO111" s="208">
        <f>COUNTIF(AN30:AN69,"B")</f>
        <v>4</v>
      </c>
      <c r="AP111" s="410">
        <f>SUM(AO111/C18*100)</f>
        <v>13.79310345</v>
      </c>
      <c r="AQ111" s="208">
        <f>COUNTIF(AN30:AN69,"C")</f>
        <v>3</v>
      </c>
      <c r="AR111" s="410">
        <f>SUM(AQ111/C18*100)</f>
        <v>10.34482759</v>
      </c>
      <c r="AS111" s="208">
        <f>COUNTIF(AN30:AN69,"D")</f>
        <v>3</v>
      </c>
      <c r="AT111" s="411">
        <f>SUM(AS111/C18*100)</f>
        <v>10.34482759</v>
      </c>
    </row>
    <row r="112" ht="15.75" customHeight="1">
      <c r="A112" s="94"/>
      <c r="B112" s="95"/>
      <c r="C112" s="103"/>
      <c r="D112" s="47"/>
      <c r="E112" s="130">
        <v>17.0</v>
      </c>
      <c r="F112" s="113">
        <f>AO70</f>
        <v>1</v>
      </c>
      <c r="G112" s="107">
        <f t="shared" si="25"/>
        <v>3.448275862</v>
      </c>
      <c r="H112" s="144" t="s">
        <v>84</v>
      </c>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3"/>
      <c r="AJ112" s="134"/>
      <c r="AL112" s="130">
        <v>17.0</v>
      </c>
      <c r="AM112" s="113">
        <f>COUNTIF(AO30:AO69,"A")</f>
        <v>6</v>
      </c>
      <c r="AN112" s="410">
        <f>SUM(AM112/C18*100)</f>
        <v>20.68965517</v>
      </c>
      <c r="AO112" s="208">
        <f>COUNTIF(AO30:AO69,"B")</f>
        <v>20</v>
      </c>
      <c r="AP112" s="410">
        <f>SUM(AO112/C18*100)</f>
        <v>68.96551724</v>
      </c>
      <c r="AQ112" s="208">
        <f>COUNTIF(AO30:AO69,"C")</f>
        <v>1</v>
      </c>
      <c r="AR112" s="410">
        <f>SUM(AQ112/C18*100)</f>
        <v>3.448275862</v>
      </c>
      <c r="AS112" s="208">
        <f>COUNTIF(AO30:AO69,"D")</f>
        <v>0</v>
      </c>
      <c r="AT112" s="411">
        <f>SUM(AS112/C18*100)</f>
        <v>0</v>
      </c>
    </row>
    <row r="113" ht="15.75" customHeight="1">
      <c r="A113" s="94"/>
      <c r="B113" s="95"/>
      <c r="C113" s="103"/>
      <c r="D113" s="47"/>
      <c r="E113" s="130">
        <v>18.0</v>
      </c>
      <c r="F113" s="113">
        <f>AP70</f>
        <v>1</v>
      </c>
      <c r="G113" s="107">
        <f t="shared" si="25"/>
        <v>3.448275862</v>
      </c>
      <c r="H113" s="135" t="s">
        <v>83</v>
      </c>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3"/>
      <c r="AJ113" s="134"/>
      <c r="AL113" s="130">
        <v>18.0</v>
      </c>
      <c r="AM113" s="113">
        <f>COUNTIF(AP30:AP69,"A")</f>
        <v>1</v>
      </c>
      <c r="AN113" s="410">
        <f>SUM(AM113/C18*100)</f>
        <v>3.448275862</v>
      </c>
      <c r="AO113" s="208">
        <f>COUNTIF(AP30:AP69,"B")</f>
        <v>2</v>
      </c>
      <c r="AP113" s="410">
        <f>SUM(AO113/C18*100)</f>
        <v>6.896551724</v>
      </c>
      <c r="AQ113" s="208">
        <f>COUNTIF(AP30:AP69,"C")</f>
        <v>23</v>
      </c>
      <c r="AR113" s="410">
        <f>SUM(AQ113/C18*100)</f>
        <v>79.31034483</v>
      </c>
      <c r="AS113" s="208">
        <f>COUNTIF(AP30:AP69,"D")</f>
        <v>1</v>
      </c>
      <c r="AT113" s="411">
        <f>SUM(AS113/C18*100)</f>
        <v>3.448275862</v>
      </c>
    </row>
    <row r="114" ht="15.75" customHeight="1">
      <c r="A114" s="94"/>
      <c r="B114" s="95"/>
      <c r="C114" s="103"/>
      <c r="D114" s="47"/>
      <c r="E114" s="130">
        <v>19.0</v>
      </c>
      <c r="F114" s="113">
        <f>AQ70</f>
        <v>12</v>
      </c>
      <c r="G114" s="107">
        <f t="shared" si="25"/>
        <v>41.37931034</v>
      </c>
      <c r="H114" s="145" t="s">
        <v>85</v>
      </c>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3"/>
      <c r="AJ114" s="134"/>
      <c r="AL114" s="130">
        <v>19.0</v>
      </c>
      <c r="AM114" s="113">
        <f>COUNTIF(AQ30:AQ69,"A")</f>
        <v>8</v>
      </c>
      <c r="AN114" s="410">
        <f>SUM(AM114/C18*100)</f>
        <v>27.5862069</v>
      </c>
      <c r="AO114" s="208">
        <f>COUNTIF(AQ30:AQ69,"B")</f>
        <v>1</v>
      </c>
      <c r="AP114" s="410">
        <f>SUM(AO114/C18*100)</f>
        <v>3.448275862</v>
      </c>
      <c r="AQ114" s="208">
        <f>COUNTIF(AQ30:AQ69,"C")</f>
        <v>6</v>
      </c>
      <c r="AR114" s="410">
        <f>SUM(AQ114/C18*100)</f>
        <v>20.68965517</v>
      </c>
      <c r="AS114" s="208">
        <f>COUNTIF(AQ30:AQ69,"D")</f>
        <v>12</v>
      </c>
      <c r="AT114" s="411">
        <f>SUM(AS114/C18*100)</f>
        <v>41.37931034</v>
      </c>
    </row>
    <row r="115" ht="15.75" customHeight="1">
      <c r="A115" s="94"/>
      <c r="B115" s="95"/>
      <c r="C115" s="103"/>
      <c r="D115" s="47"/>
      <c r="E115" s="130">
        <v>20.0</v>
      </c>
      <c r="F115" s="113">
        <f>AR70</f>
        <v>4</v>
      </c>
      <c r="G115" s="107">
        <f t="shared" si="25"/>
        <v>13.79310345</v>
      </c>
      <c r="H115" s="135" t="s">
        <v>83</v>
      </c>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3"/>
      <c r="AJ115" s="134"/>
      <c r="AL115" s="130">
        <v>20.0</v>
      </c>
      <c r="AM115" s="113">
        <f>COUNTIF(AR30:AR69,"A")</f>
        <v>0</v>
      </c>
      <c r="AN115" s="410">
        <f>SUM(AM115/C18*100)</f>
        <v>0</v>
      </c>
      <c r="AO115" s="208">
        <f>COUNTIF(AR30:AR69,"B")</f>
        <v>4</v>
      </c>
      <c r="AP115" s="410">
        <f>SUM(AO115/C18*100)</f>
        <v>13.79310345</v>
      </c>
      <c r="AQ115" s="208">
        <f>COUNTIF(AR30:AR69,"C")</f>
        <v>17</v>
      </c>
      <c r="AR115" s="410">
        <f>SUM(AQ115/C18*100)</f>
        <v>58.62068966</v>
      </c>
      <c r="AS115" s="208">
        <f>COUNTIF(AR30:AR69,"D")</f>
        <v>6</v>
      </c>
      <c r="AT115" s="411">
        <f>SUM(AS115/C18*100)</f>
        <v>20.68965517</v>
      </c>
    </row>
    <row r="116" ht="15.75" customHeight="1">
      <c r="A116" s="94"/>
      <c r="B116" s="95"/>
      <c r="C116" s="103"/>
      <c r="D116" s="47"/>
      <c r="E116" s="130">
        <v>21.0</v>
      </c>
      <c r="F116" s="113">
        <f>AS70</f>
        <v>1</v>
      </c>
      <c r="G116" s="107">
        <f t="shared" si="25"/>
        <v>3.448275862</v>
      </c>
      <c r="H116" s="135" t="s">
        <v>78</v>
      </c>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3"/>
      <c r="AJ116" s="134"/>
      <c r="AL116" s="130">
        <v>21.0</v>
      </c>
      <c r="AM116" s="113">
        <f>COUNTIF(AS30:AS69,"A")</f>
        <v>4</v>
      </c>
      <c r="AN116" s="410">
        <f>SUM(AM116/C18*100)</f>
        <v>13.79310345</v>
      </c>
      <c r="AO116" s="208">
        <f>COUNTIF(AS30:AS69,"B")</f>
        <v>4</v>
      </c>
      <c r="AP116" s="410">
        <f>SUM(AO116/C18*100)</f>
        <v>13.79310345</v>
      </c>
      <c r="AQ116" s="208">
        <f>COUNTIF(AS30:AS69,"C")</f>
        <v>18</v>
      </c>
      <c r="AR116" s="410">
        <f>SUM(AQ116/C18*100)</f>
        <v>62.06896552</v>
      </c>
      <c r="AS116" s="208">
        <f>COUNTIF(AS30:AS69,"D")</f>
        <v>1</v>
      </c>
      <c r="AT116" s="411">
        <f>SUM(AS116/C18*100)</f>
        <v>3.448275862</v>
      </c>
    </row>
    <row r="117" ht="15.75" customHeight="1">
      <c r="A117" s="85"/>
      <c r="B117" s="85"/>
      <c r="C117" s="146"/>
      <c r="D117" s="65"/>
      <c r="E117" s="130">
        <v>22.0</v>
      </c>
      <c r="F117" s="113">
        <f>AT70</f>
        <v>4</v>
      </c>
      <c r="G117" s="107">
        <f t="shared" si="25"/>
        <v>13.79310345</v>
      </c>
      <c r="H117" s="137" t="s">
        <v>86</v>
      </c>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8"/>
      <c r="AJ117" s="134"/>
      <c r="AL117" s="165">
        <v>22.0</v>
      </c>
      <c r="AM117" s="113">
        <f>COUNTIF(AT30:AT69,"A")</f>
        <v>4</v>
      </c>
      <c r="AN117" s="410">
        <f>SUM(AM117/C18*100)</f>
        <v>13.79310345</v>
      </c>
      <c r="AO117" s="208">
        <f>COUNTIF(AT30:AT69,"B")</f>
        <v>16</v>
      </c>
      <c r="AP117" s="410">
        <f>SUM(AO117/C18*100)</f>
        <v>55.17241379</v>
      </c>
      <c r="AQ117" s="208">
        <f>COUNTIF(AT30:AT69,"C")</f>
        <v>5</v>
      </c>
      <c r="AR117" s="410">
        <f>SUM(AQ117/C18*100)</f>
        <v>17.24137931</v>
      </c>
      <c r="AS117" s="208">
        <f>COUNTIF(AT30:AT69,"D")</f>
        <v>1</v>
      </c>
      <c r="AT117" s="411">
        <f>SUM(AS117/C18*100)</f>
        <v>3.448275862</v>
      </c>
    </row>
    <row r="118" ht="82.5" customHeight="1"/>
    <row r="119" ht="15.75" customHeight="1">
      <c r="A119" s="90"/>
      <c r="B119" s="90"/>
      <c r="C119" s="91"/>
      <c r="D119" s="417" t="s">
        <v>89</v>
      </c>
      <c r="E119" s="418"/>
      <c r="F119" s="418"/>
      <c r="G119" s="418"/>
      <c r="H119" s="418"/>
      <c r="I119" s="419"/>
      <c r="K119" s="170"/>
      <c r="L119" s="171"/>
      <c r="M119" s="171"/>
      <c r="N119" s="171"/>
      <c r="O119" s="171"/>
      <c r="P119" s="171"/>
      <c r="Q119" s="171"/>
      <c r="R119" s="171"/>
      <c r="S119" s="171"/>
      <c r="T119" s="171"/>
      <c r="U119" s="171"/>
      <c r="V119" s="171"/>
      <c r="W119" s="171"/>
      <c r="X119" s="171"/>
      <c r="Y119" s="171"/>
      <c r="Z119" s="171"/>
      <c r="AA119" s="171"/>
      <c r="AB119" s="171"/>
      <c r="AC119" s="171"/>
      <c r="AD119" s="171"/>
      <c r="AE119" s="171"/>
      <c r="AF119" s="171"/>
      <c r="AG119" s="171"/>
      <c r="AH119" s="171"/>
      <c r="AI119" s="171"/>
      <c r="AJ119" s="171"/>
      <c r="AK119" s="171"/>
      <c r="AL119" s="171"/>
      <c r="AM119" s="171"/>
      <c r="AN119" s="171"/>
      <c r="AO119" s="171"/>
      <c r="AP119" s="171"/>
      <c r="AQ119" s="171"/>
      <c r="AR119" s="171"/>
      <c r="AS119" s="171"/>
      <c r="AT119" s="171"/>
      <c r="AU119" s="171"/>
      <c r="AV119" s="171"/>
      <c r="AW119" s="171"/>
      <c r="AX119" s="171"/>
      <c r="AY119" s="171"/>
      <c r="AZ119" s="171"/>
      <c r="BA119" s="171"/>
      <c r="BB119" s="171"/>
      <c r="BC119" s="171"/>
      <c r="BD119" s="171"/>
      <c r="BE119" s="171"/>
      <c r="BF119" s="171"/>
      <c r="BG119" s="171"/>
      <c r="BH119" s="171"/>
      <c r="BI119" s="171"/>
      <c r="BJ119" s="337"/>
    </row>
    <row r="120" ht="15.75" customHeight="1">
      <c r="A120" s="94"/>
      <c r="B120" s="95"/>
      <c r="C120" s="103"/>
      <c r="D120" s="420" t="s">
        <v>10</v>
      </c>
      <c r="E120" s="421" t="s">
        <v>54</v>
      </c>
      <c r="F120" s="422" t="s">
        <v>90</v>
      </c>
      <c r="G120" s="423"/>
      <c r="H120" s="423"/>
      <c r="I120" s="424"/>
      <c r="K120" s="178"/>
      <c r="BJ120" s="338"/>
    </row>
    <row r="121" ht="15.75" customHeight="1">
      <c r="A121" s="94"/>
      <c r="B121" s="95"/>
      <c r="C121" s="103"/>
      <c r="D121" s="193">
        <f>COUNTIF(BB30:BB69,"ABAIXO DO BÁSICO")</f>
        <v>8</v>
      </c>
      <c r="E121" s="425">
        <f>SUM(D121/C18*100)</f>
        <v>27.5862069</v>
      </c>
      <c r="F121" s="426" t="s">
        <v>91</v>
      </c>
      <c r="G121" s="427"/>
      <c r="H121" s="427"/>
      <c r="I121" s="428"/>
      <c r="K121" s="178"/>
      <c r="BJ121" s="338"/>
    </row>
    <row r="122" ht="15.75" customHeight="1">
      <c r="A122" s="94"/>
      <c r="B122" s="95"/>
      <c r="C122" s="103"/>
      <c r="D122" s="193">
        <f>COUNTIF(BB30:BB69,"BÁSICO")</f>
        <v>5</v>
      </c>
      <c r="E122" s="425">
        <f>SUM(D122/C18*100)</f>
        <v>17.24137931</v>
      </c>
      <c r="F122" s="429" t="s">
        <v>92</v>
      </c>
      <c r="G122" s="427"/>
      <c r="H122" s="427"/>
      <c r="I122" s="428"/>
      <c r="K122" s="178"/>
      <c r="L122" s="192" t="s">
        <v>93</v>
      </c>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338"/>
    </row>
    <row r="123" ht="15.75" customHeight="1">
      <c r="A123" s="94"/>
      <c r="B123" s="95"/>
      <c r="C123" s="103"/>
      <c r="D123" s="193">
        <f>COUNTIF(BB30:BB69,"ADEQUADO")</f>
        <v>13</v>
      </c>
      <c r="E123" s="425">
        <f>SUM(D123/C18*100)</f>
        <v>44.82758621</v>
      </c>
      <c r="F123" s="430" t="s">
        <v>94</v>
      </c>
      <c r="G123" s="427"/>
      <c r="H123" s="427"/>
      <c r="I123" s="428"/>
      <c r="K123" s="178"/>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79"/>
      <c r="AN123" s="179"/>
      <c r="AO123" s="179"/>
      <c r="AP123" s="179"/>
      <c r="AQ123" s="179"/>
      <c r="AR123" s="179"/>
      <c r="AS123" s="179"/>
      <c r="AT123" s="179"/>
      <c r="AU123" s="179"/>
      <c r="AV123" s="179"/>
      <c r="AW123" s="179"/>
      <c r="AX123" s="179"/>
      <c r="AY123" s="179"/>
      <c r="AZ123" s="179"/>
      <c r="BA123" s="179"/>
      <c r="BB123" s="179"/>
      <c r="BC123" s="179"/>
      <c r="BD123" s="179"/>
      <c r="BE123" s="179"/>
      <c r="BF123" s="179"/>
      <c r="BG123" s="179"/>
      <c r="BH123" s="179"/>
      <c r="BI123" s="179"/>
      <c r="BJ123" s="338"/>
    </row>
    <row r="124" ht="15.75" customHeight="1">
      <c r="A124" s="94"/>
      <c r="B124" s="95"/>
      <c r="C124" s="103"/>
      <c r="D124" s="193">
        <f>COUNTIF(BB30:BB69,"AVANÇADO")</f>
        <v>3</v>
      </c>
      <c r="E124" s="425">
        <f>SUM(D124/C18*100)</f>
        <v>10.34482759</v>
      </c>
      <c r="F124" s="431" t="s">
        <v>95</v>
      </c>
      <c r="G124" s="427"/>
      <c r="H124" s="427"/>
      <c r="I124" s="428"/>
      <c r="K124" s="178"/>
      <c r="L124" s="179" t="s">
        <v>203</v>
      </c>
      <c r="BJ124" s="338"/>
    </row>
    <row r="125" ht="15.75" customHeight="1">
      <c r="A125" s="94"/>
      <c r="B125" s="95"/>
      <c r="C125" s="103"/>
      <c r="D125" s="226"/>
      <c r="E125" s="226"/>
      <c r="F125" s="226"/>
      <c r="G125" s="226"/>
      <c r="H125" s="432"/>
      <c r="I125" s="226"/>
      <c r="K125" s="178"/>
      <c r="L125" s="179" t="s">
        <v>204</v>
      </c>
      <c r="BJ125" s="338"/>
    </row>
    <row r="126" ht="15.75" customHeight="1">
      <c r="A126" s="94"/>
      <c r="B126" s="95"/>
      <c r="C126" s="103"/>
      <c r="D126" s="433" t="s">
        <v>16</v>
      </c>
      <c r="E126" s="434"/>
      <c r="F126" s="434"/>
      <c r="G126" s="434"/>
      <c r="H126" s="434"/>
      <c r="I126" s="435"/>
      <c r="K126" s="178"/>
      <c r="L126" s="179" t="s">
        <v>205</v>
      </c>
      <c r="BJ126" s="338"/>
    </row>
    <row r="127" ht="15.75" customHeight="1">
      <c r="A127" s="94"/>
      <c r="B127" s="95"/>
      <c r="C127" s="103"/>
      <c r="D127" s="420" t="s">
        <v>10</v>
      </c>
      <c r="E127" s="421" t="s">
        <v>54</v>
      </c>
      <c r="F127" s="422" t="s">
        <v>90</v>
      </c>
      <c r="G127" s="423"/>
      <c r="H127" s="423"/>
      <c r="I127" s="424"/>
      <c r="K127" s="178"/>
      <c r="L127" s="179" t="s">
        <v>206</v>
      </c>
      <c r="BJ127" s="338"/>
    </row>
    <row r="128" ht="15.75" customHeight="1">
      <c r="A128" s="94"/>
      <c r="B128" s="95"/>
      <c r="C128" s="103"/>
      <c r="D128" s="193">
        <f>COUNTIF(BF30:BF69,"ABAIXO DO BÁSICO")</f>
        <v>2</v>
      </c>
      <c r="E128" s="425">
        <f>SUM(D128/C18*100)</f>
        <v>6.896551724</v>
      </c>
      <c r="F128" s="426" t="s">
        <v>91</v>
      </c>
      <c r="G128" s="436"/>
      <c r="H128" s="436"/>
      <c r="I128" s="437"/>
      <c r="K128" s="178"/>
      <c r="L128" s="179"/>
      <c r="BJ128" s="338"/>
    </row>
    <row r="129" ht="15.75" customHeight="1">
      <c r="A129" s="94"/>
      <c r="B129" s="95"/>
      <c r="C129" s="103"/>
      <c r="D129" s="193">
        <f>COUNTIF(BF30:BF69,"BÁSICO")</f>
        <v>9</v>
      </c>
      <c r="E129" s="425">
        <f>SUM(D129/C18*100)</f>
        <v>31.03448276</v>
      </c>
      <c r="F129" s="429" t="s">
        <v>92</v>
      </c>
      <c r="G129" s="436"/>
      <c r="H129" s="436"/>
      <c r="I129" s="437"/>
      <c r="K129" s="178"/>
      <c r="L129" s="179" t="s">
        <v>207</v>
      </c>
      <c r="BJ129" s="338"/>
    </row>
    <row r="130" ht="15.75" customHeight="1">
      <c r="A130" s="94"/>
      <c r="B130" s="95"/>
      <c r="C130" s="103"/>
      <c r="D130" s="193">
        <f>COUNTIF(BF30:BF69,"ADEQUADO")</f>
        <v>16</v>
      </c>
      <c r="E130" s="425">
        <f>SUM(D130/C18*100)</f>
        <v>55.17241379</v>
      </c>
      <c r="F130" s="430" t="s">
        <v>94</v>
      </c>
      <c r="G130" s="436"/>
      <c r="H130" s="436"/>
      <c r="I130" s="437"/>
      <c r="K130" s="178"/>
      <c r="L130" s="179" t="s">
        <v>208</v>
      </c>
      <c r="BJ130" s="338"/>
    </row>
    <row r="131" ht="15.75" customHeight="1">
      <c r="A131" s="94"/>
      <c r="B131" s="95"/>
      <c r="C131" s="103"/>
      <c r="D131" s="193">
        <f>COUNTIF(BF30:BF69,"AVANÇADO")</f>
        <v>2</v>
      </c>
      <c r="E131" s="425">
        <f>SUM(D131/C18*100)</f>
        <v>6.896551724</v>
      </c>
      <c r="F131" s="431" t="s">
        <v>95</v>
      </c>
      <c r="G131" s="436"/>
      <c r="H131" s="436"/>
      <c r="I131" s="437"/>
      <c r="K131" s="178"/>
      <c r="L131" s="179" t="s">
        <v>209</v>
      </c>
      <c r="BJ131" s="338"/>
    </row>
    <row r="132" ht="15.75" customHeight="1">
      <c r="A132" s="94"/>
      <c r="B132" s="95"/>
      <c r="C132" s="103"/>
      <c r="D132" s="226"/>
      <c r="E132" s="226"/>
      <c r="F132" s="226"/>
      <c r="G132" s="226"/>
      <c r="H132" s="226"/>
      <c r="I132" s="226"/>
      <c r="K132" s="178"/>
      <c r="L132" s="179"/>
      <c r="BJ132" s="338"/>
    </row>
    <row r="133" ht="15.75" customHeight="1">
      <c r="A133" s="94"/>
      <c r="B133" s="95"/>
      <c r="C133" s="103"/>
      <c r="D133" s="438" t="s">
        <v>17</v>
      </c>
      <c r="E133" s="439"/>
      <c r="F133" s="439"/>
      <c r="G133" s="439"/>
      <c r="H133" s="439"/>
      <c r="I133" s="440"/>
      <c r="K133" s="178"/>
      <c r="L133" s="179" t="s">
        <v>210</v>
      </c>
      <c r="BJ133" s="338"/>
    </row>
    <row r="134" ht="15.75" customHeight="1">
      <c r="A134" s="94"/>
      <c r="B134" s="95"/>
      <c r="C134" s="103"/>
      <c r="D134" s="420" t="s">
        <v>10</v>
      </c>
      <c r="E134" s="421" t="s">
        <v>54</v>
      </c>
      <c r="F134" s="422" t="s">
        <v>90</v>
      </c>
      <c r="G134" s="423"/>
      <c r="H134" s="423"/>
      <c r="I134" s="424"/>
      <c r="K134" s="178"/>
      <c r="L134" s="179" t="s">
        <v>211</v>
      </c>
      <c r="BJ134" s="338"/>
    </row>
    <row r="135" ht="15.75" customHeight="1">
      <c r="A135" s="94"/>
      <c r="B135" s="95"/>
      <c r="C135" s="103"/>
      <c r="D135" s="193">
        <f>COUNTIF(BI30:BI69,"ABAIXO DO BÁSICO")</f>
        <v>2</v>
      </c>
      <c r="E135" s="425">
        <f>SUM(D135/C18*100)</f>
        <v>6.896551724</v>
      </c>
      <c r="F135" s="426" t="s">
        <v>91</v>
      </c>
      <c r="G135" s="427"/>
      <c r="H135" s="427"/>
      <c r="I135" s="428"/>
      <c r="K135" s="178"/>
      <c r="L135" s="179" t="s">
        <v>212</v>
      </c>
      <c r="BJ135" s="338"/>
    </row>
    <row r="136" ht="15.75" customHeight="1">
      <c r="A136" s="94"/>
      <c r="B136" s="95"/>
      <c r="C136" s="103"/>
      <c r="D136" s="193">
        <f>COUNTIF(BI30:BI69,"BÁSICO")</f>
        <v>3</v>
      </c>
      <c r="E136" s="425">
        <f>SUM(D136/C18*100)</f>
        <v>10.34482759</v>
      </c>
      <c r="F136" s="429" t="s">
        <v>92</v>
      </c>
      <c r="G136" s="427"/>
      <c r="H136" s="427"/>
      <c r="I136" s="428"/>
      <c r="K136" s="178"/>
      <c r="BJ136" s="338"/>
    </row>
    <row r="137" ht="15.75" customHeight="1">
      <c r="A137" s="94"/>
      <c r="B137" s="95"/>
      <c r="C137" s="103"/>
      <c r="D137" s="193">
        <f>COUNTIF(BI30:BI69,"ADEQUADO")</f>
        <v>14</v>
      </c>
      <c r="E137" s="425">
        <f>SUM(D137/C18*100)</f>
        <v>48.27586207</v>
      </c>
      <c r="F137" s="430" t="s">
        <v>94</v>
      </c>
      <c r="G137" s="427"/>
      <c r="H137" s="427"/>
      <c r="I137" s="428"/>
      <c r="K137" s="178"/>
      <c r="BJ137" s="338"/>
    </row>
    <row r="138" ht="15.75" customHeight="1">
      <c r="A138" s="84"/>
      <c r="B138" s="85"/>
      <c r="C138" s="146"/>
      <c r="D138" s="193">
        <f>COUNTIF(BI30:BI69,"AVANÇADO")</f>
        <v>10</v>
      </c>
      <c r="E138" s="425">
        <f>SUM(D138/C18*100)</f>
        <v>34.48275862</v>
      </c>
      <c r="F138" s="431" t="s">
        <v>95</v>
      </c>
      <c r="G138" s="427"/>
      <c r="H138" s="427"/>
      <c r="I138" s="428"/>
      <c r="K138" s="223"/>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c r="BC138" s="224"/>
      <c r="BD138" s="224"/>
      <c r="BE138" s="224"/>
      <c r="BF138" s="224"/>
      <c r="BG138" s="224"/>
      <c r="BH138" s="224"/>
      <c r="BI138" s="224"/>
      <c r="BJ138" s="340"/>
    </row>
    <row r="139" ht="15.75" customHeight="1"/>
    <row r="140" ht="15.75" customHeight="1"/>
    <row r="141" ht="15.75" customHeight="1"/>
    <row r="142" ht="15.75" customHeight="1"/>
    <row r="143" ht="15.75" customHeight="1"/>
    <row r="144" ht="15.75" customHeight="1"/>
    <row r="145" ht="15.75" customHeight="1"/>
    <row r="146" ht="73.5" customHeight="1">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180"/>
    </row>
    <row r="147" ht="15.75" customHeight="1"/>
    <row r="148" ht="15.75" customHeight="1">
      <c r="BA148" s="226" t="s">
        <v>107</v>
      </c>
    </row>
    <row r="149" ht="15.75" customHeight="1">
      <c r="AL149" s="227"/>
      <c r="AM149" s="227"/>
      <c r="AN149" s="227"/>
      <c r="AO149" s="227"/>
      <c r="AP149" s="227"/>
      <c r="AQ149" s="227"/>
      <c r="AR149" s="227"/>
      <c r="AS149" s="227"/>
      <c r="AT149" s="227"/>
      <c r="AU149" s="227"/>
      <c r="AV149" s="227"/>
      <c r="AW149" s="227"/>
      <c r="AX149" s="227"/>
      <c r="BA149" s="227" t="s">
        <v>108</v>
      </c>
    </row>
    <row r="150" ht="15.75" customHeight="1"/>
  </sheetData>
  <mergeCells count="60">
    <mergeCell ref="A19:B19"/>
    <mergeCell ref="A20:B20"/>
    <mergeCell ref="A21:B21"/>
    <mergeCell ref="A23:C23"/>
    <mergeCell ref="D25:BB25"/>
    <mergeCell ref="BD25:BI25"/>
    <mergeCell ref="A26:A29"/>
    <mergeCell ref="BI27:BI29"/>
    <mergeCell ref="BG26:BI26"/>
    <mergeCell ref="AV27:AV29"/>
    <mergeCell ref="AW27:AW29"/>
    <mergeCell ref="AX27:AX29"/>
    <mergeCell ref="AY27:AY29"/>
    <mergeCell ref="AZ27:AZ29"/>
    <mergeCell ref="BA27:BA29"/>
    <mergeCell ref="B26:B29"/>
    <mergeCell ref="C26:C29"/>
    <mergeCell ref="A70:C70"/>
    <mergeCell ref="D72:AI72"/>
    <mergeCell ref="AK72:AT73"/>
    <mergeCell ref="D73:E74"/>
    <mergeCell ref="F73:F74"/>
    <mergeCell ref="G73:G74"/>
    <mergeCell ref="H73:AI74"/>
    <mergeCell ref="D75:D95"/>
    <mergeCell ref="AK75:AK95"/>
    <mergeCell ref="D96:D117"/>
    <mergeCell ref="AK96:AK117"/>
    <mergeCell ref="L122:T122"/>
    <mergeCell ref="D6:AX7"/>
    <mergeCell ref="D9:AX10"/>
    <mergeCell ref="D12:AX12"/>
    <mergeCell ref="A15:C15"/>
    <mergeCell ref="A16:C16"/>
    <mergeCell ref="A17:C17"/>
    <mergeCell ref="A18:B18"/>
    <mergeCell ref="D26:X26"/>
    <mergeCell ref="Y26:AT26"/>
    <mergeCell ref="AV26:BB26"/>
    <mergeCell ref="BD26:BF26"/>
    <mergeCell ref="BB27:BB29"/>
    <mergeCell ref="BD27:BD29"/>
    <mergeCell ref="BE27:BE29"/>
    <mergeCell ref="BF27:BF29"/>
    <mergeCell ref="BG27:BG29"/>
    <mergeCell ref="BH27:BH29"/>
    <mergeCell ref="L131:BI131"/>
    <mergeCell ref="L132:BI132"/>
    <mergeCell ref="L133:BI133"/>
    <mergeCell ref="L134:BI134"/>
    <mergeCell ref="L135:BI135"/>
    <mergeCell ref="L136:BI136"/>
    <mergeCell ref="L137:BI137"/>
    <mergeCell ref="L124:BI124"/>
    <mergeCell ref="L125:BI125"/>
    <mergeCell ref="L126:BI126"/>
    <mergeCell ref="L127:BI127"/>
    <mergeCell ref="L128:BI128"/>
    <mergeCell ref="L129:BI129"/>
    <mergeCell ref="L130:BI130"/>
  </mergeCells>
  <conditionalFormatting sqref="C30:C69">
    <cfRule type="containsText" dxfId="6" priority="1" operator="containsText" text="NÃO">
      <formula>NOT(ISERROR(SEARCH(("NÃO"),(C30))))</formula>
    </cfRule>
  </conditionalFormatting>
  <conditionalFormatting sqref="C30:C69">
    <cfRule type="containsText" dxfId="1" priority="2" operator="containsText" text="SIM">
      <formula>NOT(ISERROR(SEARCH(("SIM"),(C30))))</formula>
    </cfRule>
  </conditionalFormatting>
  <conditionalFormatting sqref="AV30:AZ69">
    <cfRule type="containsText" dxfId="6" priority="3" operator="containsText" text="F">
      <formula>NOT(ISERROR(SEARCH(("F"),(AV30))))</formula>
    </cfRule>
  </conditionalFormatting>
  <conditionalFormatting sqref="F30:F69">
    <cfRule type="containsText" dxfId="5" priority="4" operator="containsText" text="B">
      <formula>NOT(ISERROR(SEARCH(("B"),(F30))))</formula>
    </cfRule>
  </conditionalFormatting>
  <conditionalFormatting sqref="F30:F69">
    <cfRule type="containsText" dxfId="4" priority="5" operator="containsText" text="C">
      <formula>NOT(ISERROR(SEARCH(("C"),(F30))))</formula>
    </cfRule>
  </conditionalFormatting>
  <conditionalFormatting sqref="F30:F69">
    <cfRule type="containsText" dxfId="5" priority="6" operator="containsText" text="D">
      <formula>NOT(ISERROR(SEARCH(("D"),(F30))))</formula>
    </cfRule>
  </conditionalFormatting>
  <conditionalFormatting sqref="G30:G69">
    <cfRule type="containsText" dxfId="5" priority="7" operator="containsText" text="A">
      <formula>NOT(ISERROR(SEARCH(("A"),(G30))))</formula>
    </cfRule>
  </conditionalFormatting>
  <conditionalFormatting sqref="G30:G69">
    <cfRule type="containsText" dxfId="4" priority="8" operator="containsText" text="B">
      <formula>NOT(ISERROR(SEARCH(("B"),(G30))))</formula>
    </cfRule>
  </conditionalFormatting>
  <conditionalFormatting sqref="G30:G69">
    <cfRule type="containsText" dxfId="5" priority="9" operator="containsText" text="C">
      <formula>NOT(ISERROR(SEARCH(("C"),(G30))))</formula>
    </cfRule>
  </conditionalFormatting>
  <conditionalFormatting sqref="G30:G69">
    <cfRule type="containsText" dxfId="11" priority="10" operator="containsText" text="D">
      <formula>NOT(ISERROR(SEARCH(("D"),(G30))))</formula>
    </cfRule>
  </conditionalFormatting>
  <conditionalFormatting sqref="H30:H69">
    <cfRule type="containsText" dxfId="5" priority="11" operator="containsText" text="A">
      <formula>NOT(ISERROR(SEARCH(("A"),(H30))))</formula>
    </cfRule>
  </conditionalFormatting>
  <conditionalFormatting sqref="H30:H69">
    <cfRule type="containsText" dxfId="4" priority="12" operator="containsText" text="B">
      <formula>NOT(ISERROR(SEARCH(("B"),(H30))))</formula>
    </cfRule>
  </conditionalFormatting>
  <conditionalFormatting sqref="H30:H69">
    <cfRule type="containsText" dxfId="5" priority="13" operator="containsText" text="C">
      <formula>NOT(ISERROR(SEARCH(("C"),(H30))))</formula>
    </cfRule>
  </conditionalFormatting>
  <conditionalFormatting sqref="H30:H69">
    <cfRule type="containsText" dxfId="5" priority="14" operator="containsText" text="D">
      <formula>NOT(ISERROR(SEARCH(("D"),(H30))))</formula>
    </cfRule>
  </conditionalFormatting>
  <conditionalFormatting sqref="I30:I69">
    <cfRule type="containsText" dxfId="11" priority="15" operator="containsText" text="A">
      <formula>NOT(ISERROR(SEARCH(("A"),(I30))))</formula>
    </cfRule>
  </conditionalFormatting>
  <conditionalFormatting sqref="I30:I69">
    <cfRule type="containsText" dxfId="5" priority="16" operator="containsText" text="B">
      <formula>NOT(ISERROR(SEARCH(("B"),(I30))))</formula>
    </cfRule>
  </conditionalFormatting>
  <conditionalFormatting sqref="I30:I69">
    <cfRule type="containsText" dxfId="5" priority="17" operator="containsText" text="C">
      <formula>NOT(ISERROR(SEARCH(("C"),(I30))))</formula>
    </cfRule>
  </conditionalFormatting>
  <conditionalFormatting sqref="I30:I69">
    <cfRule type="containsText" dxfId="4" priority="18" operator="containsText" text="D">
      <formula>NOT(ISERROR(SEARCH(("D"),(I30))))</formula>
    </cfRule>
  </conditionalFormatting>
  <conditionalFormatting sqref="J30:J69">
    <cfRule type="containsText" dxfId="5" priority="19" operator="containsText" text="A">
      <formula>NOT(ISERROR(SEARCH(("A"),(J30))))</formula>
    </cfRule>
  </conditionalFormatting>
  <conditionalFormatting sqref="J30:J69">
    <cfRule type="containsText" dxfId="4" priority="20" operator="containsText" text="B">
      <formula>NOT(ISERROR(SEARCH(("B"),(J30))))</formula>
    </cfRule>
  </conditionalFormatting>
  <conditionalFormatting sqref="J30:J69">
    <cfRule type="containsText" dxfId="5" priority="21" operator="containsText" text="C">
      <formula>NOT(ISERROR(SEARCH(("C"),(J30))))</formula>
    </cfRule>
  </conditionalFormatting>
  <conditionalFormatting sqref="J30:J69">
    <cfRule type="containsText" dxfId="5" priority="22" operator="containsText" text="D">
      <formula>NOT(ISERROR(SEARCH(("D"),(J30))))</formula>
    </cfRule>
  </conditionalFormatting>
  <conditionalFormatting sqref="K30:K69">
    <cfRule type="containsText" dxfId="11" priority="23" operator="containsText" text="A">
      <formula>NOT(ISERROR(SEARCH(("A"),(K30))))</formula>
    </cfRule>
  </conditionalFormatting>
  <conditionalFormatting sqref="K30:K69">
    <cfRule type="containsText" dxfId="4" priority="24" operator="containsText" text="B">
      <formula>NOT(ISERROR(SEARCH(("B"),(K30))))</formula>
    </cfRule>
  </conditionalFormatting>
  <conditionalFormatting sqref="K30:K69">
    <cfRule type="containsText" dxfId="5" priority="25" operator="containsText" text="C">
      <formula>NOT(ISERROR(SEARCH(("C"),(K30))))</formula>
    </cfRule>
  </conditionalFormatting>
  <conditionalFormatting sqref="K30:K69">
    <cfRule type="containsText" dxfId="5" priority="26" operator="containsText" text="D">
      <formula>NOT(ISERROR(SEARCH(("D"),(K30))))</formula>
    </cfRule>
  </conditionalFormatting>
  <conditionalFormatting sqref="L30:L69">
    <cfRule type="containsText" dxfId="4" priority="27" operator="containsText" text="A">
      <formula>NOT(ISERROR(SEARCH(("A"),(L30))))</formula>
    </cfRule>
  </conditionalFormatting>
  <conditionalFormatting sqref="L30:L69">
    <cfRule type="containsText" dxfId="5" priority="28" operator="containsText" text="B">
      <formula>NOT(ISERROR(SEARCH(("B"),(L30))))</formula>
    </cfRule>
  </conditionalFormatting>
  <conditionalFormatting sqref="L30:L69">
    <cfRule type="containsText" dxfId="5" priority="29" operator="containsText" text="C">
      <formula>NOT(ISERROR(SEARCH(("C"),(L30))))</formula>
    </cfRule>
  </conditionalFormatting>
  <conditionalFormatting sqref="L30:L69">
    <cfRule type="containsText" dxfId="11" priority="30" operator="containsText" text="D">
      <formula>NOT(ISERROR(SEARCH(("D"),(L30))))</formula>
    </cfRule>
  </conditionalFormatting>
  <conditionalFormatting sqref="M30:M69">
    <cfRule type="containsText" dxfId="5" priority="31" operator="containsText" text="A">
      <formula>NOT(ISERROR(SEARCH(("A"),(M30))))</formula>
    </cfRule>
  </conditionalFormatting>
  <conditionalFormatting sqref="M30:M69">
    <cfRule type="containsText" dxfId="4" priority="32" operator="containsText" text="B">
      <formula>NOT(ISERROR(SEARCH(("B"),(M30))))</formula>
    </cfRule>
  </conditionalFormatting>
  <conditionalFormatting sqref="M30:M69">
    <cfRule type="containsText" dxfId="5" priority="33" operator="containsText" text="C">
      <formula>NOT(ISERROR(SEARCH(("C"),(M30))))</formula>
    </cfRule>
  </conditionalFormatting>
  <conditionalFormatting sqref="M30:M69">
    <cfRule type="containsText" dxfId="5" priority="34" operator="containsText" text="D">
      <formula>NOT(ISERROR(SEARCH(("D"),(M30))))</formula>
    </cfRule>
  </conditionalFormatting>
  <conditionalFormatting sqref="N30:N69">
    <cfRule type="containsText" dxfId="5" priority="35" operator="containsText" text="A">
      <formula>NOT(ISERROR(SEARCH(("A"),(N30))))</formula>
    </cfRule>
  </conditionalFormatting>
  <conditionalFormatting sqref="N30:N69">
    <cfRule type="containsText" dxfId="11" priority="36" operator="containsText" text="B">
      <formula>NOT(ISERROR(SEARCH(("B"),(N30))))</formula>
    </cfRule>
  </conditionalFormatting>
  <conditionalFormatting sqref="N30:N69">
    <cfRule type="containsText" dxfId="4" priority="37" operator="containsText" text="C">
      <formula>NOT(ISERROR(SEARCH(("C"),(N30))))</formula>
    </cfRule>
  </conditionalFormatting>
  <conditionalFormatting sqref="N30:N69">
    <cfRule type="containsText" dxfId="5" priority="38" operator="containsText" text="D">
      <formula>NOT(ISERROR(SEARCH(("D"),(N30))))</formula>
    </cfRule>
  </conditionalFormatting>
  <conditionalFormatting sqref="O30:O69">
    <cfRule type="containsText" dxfId="5" priority="39" operator="containsText" text="A">
      <formula>NOT(ISERROR(SEARCH(("A"),(O30))))</formula>
    </cfRule>
  </conditionalFormatting>
  <conditionalFormatting sqref="O30:O69">
    <cfRule type="containsText" dxfId="5" priority="40" operator="containsText" text="B">
      <formula>NOT(ISERROR(SEARCH(("B"),(O30))))</formula>
    </cfRule>
  </conditionalFormatting>
  <conditionalFormatting sqref="O30:O69">
    <cfRule type="containsText" dxfId="4" priority="41" operator="containsText" text="C">
      <formula>NOT(ISERROR(SEARCH(("C"),(O30))))</formula>
    </cfRule>
  </conditionalFormatting>
  <conditionalFormatting sqref="O30:O69">
    <cfRule type="containsText" dxfId="5" priority="42" operator="containsText" text="D">
      <formula>NOT(ISERROR(SEARCH(("D"),(O30))))</formula>
    </cfRule>
  </conditionalFormatting>
  <conditionalFormatting sqref="P30:P69">
    <cfRule type="containsText" dxfId="4" priority="43" operator="containsText" text="A">
      <formula>NOT(ISERROR(SEARCH(("A"),(P30))))</formula>
    </cfRule>
  </conditionalFormatting>
  <conditionalFormatting sqref="P30:P69">
    <cfRule type="containsText" dxfId="5" priority="44" operator="containsText" text="B">
      <formula>NOT(ISERROR(SEARCH(("B"),(P30))))</formula>
    </cfRule>
  </conditionalFormatting>
  <conditionalFormatting sqref="P30:P69">
    <cfRule type="containsText" dxfId="5" priority="45" operator="containsText" text="C">
      <formula>NOT(ISERROR(SEARCH(("C"),(P30))))</formula>
    </cfRule>
  </conditionalFormatting>
  <conditionalFormatting sqref="P30:P69">
    <cfRule type="containsText" dxfId="5" priority="46" operator="containsText" text="D">
      <formula>NOT(ISERROR(SEARCH(("D"),(P30))))</formula>
    </cfRule>
  </conditionalFormatting>
  <conditionalFormatting sqref="Q30:Q69">
    <cfRule type="containsText" dxfId="11" priority="47" operator="containsText" text="A">
      <formula>NOT(ISERROR(SEARCH(("A"),(Q30))))</formula>
    </cfRule>
  </conditionalFormatting>
  <conditionalFormatting sqref="Q30:Q69">
    <cfRule type="containsText" dxfId="12" priority="48" operator="containsText" text="B">
      <formula>NOT(ISERROR(SEARCH(("B"),(Q30))))</formula>
    </cfRule>
  </conditionalFormatting>
  <conditionalFormatting sqref="Q30:Q69">
    <cfRule type="containsText" dxfId="11" priority="49" operator="containsText" text="C">
      <formula>NOT(ISERROR(SEARCH(("C"),(Q30))))</formula>
    </cfRule>
  </conditionalFormatting>
  <conditionalFormatting sqref="Q30:Q69">
    <cfRule type="containsText" dxfId="5" priority="50" operator="containsText" text="D">
      <formula>NOT(ISERROR(SEARCH(("D"),(Q30))))</formula>
    </cfRule>
  </conditionalFormatting>
  <conditionalFormatting sqref="R30:R69">
    <cfRule type="containsText" dxfId="5" priority="51" operator="containsText" text="A">
      <formula>NOT(ISERROR(SEARCH(("A"),(R30))))</formula>
    </cfRule>
  </conditionalFormatting>
  <conditionalFormatting sqref="R30:R69">
    <cfRule type="containsText" dxfId="5" priority="52" operator="containsText" text="B">
      <formula>NOT(ISERROR(SEARCH(("B"),(R30))))</formula>
    </cfRule>
  </conditionalFormatting>
  <conditionalFormatting sqref="R30:R69">
    <cfRule type="containsText" dxfId="5" priority="53" operator="containsText" text="C">
      <formula>NOT(ISERROR(SEARCH(("C"),(R30))))</formula>
    </cfRule>
  </conditionalFormatting>
  <conditionalFormatting sqref="R30:R69">
    <cfRule type="containsText" dxfId="4" priority="54" operator="containsText" text="D">
      <formula>NOT(ISERROR(SEARCH(("D"),(R30))))</formula>
    </cfRule>
  </conditionalFormatting>
  <conditionalFormatting sqref="S30:S69">
    <cfRule type="containsText" dxfId="4" priority="55" operator="containsText" text="A">
      <formula>NOT(ISERROR(SEARCH(("A"),(S30))))</formula>
    </cfRule>
  </conditionalFormatting>
  <conditionalFormatting sqref="S30:S69">
    <cfRule type="containsText" dxfId="5" priority="56" operator="containsText" text="B">
      <formula>NOT(ISERROR(SEARCH(("B"),(S30))))</formula>
    </cfRule>
  </conditionalFormatting>
  <conditionalFormatting sqref="S30:S69">
    <cfRule type="containsText" dxfId="5" priority="57" operator="containsText" text="C">
      <formula>NOT(ISERROR(SEARCH(("C"),(S30))))</formula>
    </cfRule>
  </conditionalFormatting>
  <conditionalFormatting sqref="S30:S69">
    <cfRule type="containsText" dxfId="5" priority="58" operator="containsText" text="D">
      <formula>NOT(ISERROR(SEARCH(("D"),(S30))))</formula>
    </cfRule>
  </conditionalFormatting>
  <conditionalFormatting sqref="T30:T69">
    <cfRule type="containsText" dxfId="4" priority="59" operator="containsText" text="A">
      <formula>NOT(ISERROR(SEARCH(("A"),(T30))))</formula>
    </cfRule>
  </conditionalFormatting>
  <conditionalFormatting sqref="T30:T69">
    <cfRule type="containsText" dxfId="5" priority="60" operator="containsText" text="B">
      <formula>NOT(ISERROR(SEARCH(("B"),(T30))))</formula>
    </cfRule>
  </conditionalFormatting>
  <conditionalFormatting sqref="T30:T69">
    <cfRule type="containsText" dxfId="5" priority="61" operator="containsText" text="C">
      <formula>NOT(ISERROR(SEARCH(("C"),(T30))))</formula>
    </cfRule>
  </conditionalFormatting>
  <conditionalFormatting sqref="T30:T69">
    <cfRule type="containsText" dxfId="5" priority="62" operator="containsText" text="D">
      <formula>NOT(ISERROR(SEARCH(("D"),(T30))))</formula>
    </cfRule>
  </conditionalFormatting>
  <conditionalFormatting sqref="U30:U69">
    <cfRule type="containsText" dxfId="4" priority="63" operator="containsText" text="A">
      <formula>NOT(ISERROR(SEARCH(("A"),(U30))))</formula>
    </cfRule>
  </conditionalFormatting>
  <conditionalFormatting sqref="U30:U69">
    <cfRule type="containsText" dxfId="5" priority="64" operator="containsText" text="B">
      <formula>NOT(ISERROR(SEARCH(("B"),(U30))))</formula>
    </cfRule>
  </conditionalFormatting>
  <conditionalFormatting sqref="U30:U69">
    <cfRule type="containsText" dxfId="5" priority="65" operator="containsText" text="C">
      <formula>NOT(ISERROR(SEARCH(("C"),(U30))))</formula>
    </cfRule>
  </conditionalFormatting>
  <conditionalFormatting sqref="U30:U69">
    <cfRule type="containsText" dxfId="5" priority="66" operator="containsText" text="D">
      <formula>NOT(ISERROR(SEARCH(("D"),(U30))))</formula>
    </cfRule>
  </conditionalFormatting>
  <conditionalFormatting sqref="V30:V69">
    <cfRule type="containsText" dxfId="5" priority="67" operator="containsText" text="A">
      <formula>NOT(ISERROR(SEARCH(("A"),(V30))))</formula>
    </cfRule>
  </conditionalFormatting>
  <conditionalFormatting sqref="V30:V69">
    <cfRule type="containsText" dxfId="5" priority="68" operator="containsText" text="B">
      <formula>NOT(ISERROR(SEARCH(("B"),(V30))))</formula>
    </cfRule>
  </conditionalFormatting>
  <conditionalFormatting sqref="V30:V69">
    <cfRule type="containsText" dxfId="4" priority="69" operator="containsText" text="C">
      <formula>NOT(ISERROR(SEARCH(("C"),(V30))))</formula>
    </cfRule>
  </conditionalFormatting>
  <conditionalFormatting sqref="V30:V69">
    <cfRule type="containsText" dxfId="5" priority="70" operator="containsText" text="D">
      <formula>NOT(ISERROR(SEARCH(("D"),(V30))))</formula>
    </cfRule>
  </conditionalFormatting>
  <conditionalFormatting sqref="W30:W69">
    <cfRule type="containsText" dxfId="5" priority="71" operator="containsText" text="A">
      <formula>NOT(ISERROR(SEARCH(("A"),(W30))))</formula>
    </cfRule>
  </conditionalFormatting>
  <conditionalFormatting sqref="W30:W69">
    <cfRule type="containsText" dxfId="5" priority="72" operator="containsText" text="B">
      <formula>NOT(ISERROR(SEARCH(("B"),(W30))))</formula>
    </cfRule>
  </conditionalFormatting>
  <conditionalFormatting sqref="W30:W69">
    <cfRule type="containsText" dxfId="5" priority="73" operator="containsText" text="C">
      <formula>NOT(ISERROR(SEARCH(("C"),(W30))))</formula>
    </cfRule>
  </conditionalFormatting>
  <conditionalFormatting sqref="W30:W69">
    <cfRule type="containsText" dxfId="4" priority="74" operator="containsText" text="D">
      <formula>NOT(ISERROR(SEARCH(("D"),(W30))))</formula>
    </cfRule>
  </conditionalFormatting>
  <conditionalFormatting sqref="X30:X69">
    <cfRule type="containsText" dxfId="5" priority="75" operator="containsText" text="A">
      <formula>NOT(ISERROR(SEARCH(("A"),(X30))))</formula>
    </cfRule>
  </conditionalFormatting>
  <conditionalFormatting sqref="X30:X69">
    <cfRule type="containsText" dxfId="12" priority="76" operator="containsText" text="B">
      <formula>NOT(ISERROR(SEARCH(("B"),(X30))))</formula>
    </cfRule>
  </conditionalFormatting>
  <conditionalFormatting sqref="X30:X69">
    <cfRule type="containsText" dxfId="11" priority="77" operator="containsText" text="C">
      <formula>NOT(ISERROR(SEARCH(("C"),(X30))))</formula>
    </cfRule>
  </conditionalFormatting>
  <conditionalFormatting sqref="X30:X69">
    <cfRule type="containsText" dxfId="11" priority="78" operator="containsText" text="D">
      <formula>NOT(ISERROR(SEARCH(("D"),(X30))))</formula>
    </cfRule>
  </conditionalFormatting>
  <conditionalFormatting sqref="Y30:Y69">
    <cfRule type="containsText" dxfId="4" priority="79" operator="containsText" text="A">
      <formula>NOT(ISERROR(SEARCH(("A"),(Y30))))</formula>
    </cfRule>
  </conditionalFormatting>
  <conditionalFormatting sqref="Y30:Y69">
    <cfRule type="containsText" dxfId="5" priority="80" operator="containsText" text="B">
      <formula>NOT(ISERROR(SEARCH(("B"),(Y30))))</formula>
    </cfRule>
  </conditionalFormatting>
  <conditionalFormatting sqref="Y30:Y69">
    <cfRule type="containsText" dxfId="5" priority="81" operator="containsText" text="C">
      <formula>NOT(ISERROR(SEARCH(("C"),(Y30))))</formula>
    </cfRule>
  </conditionalFormatting>
  <conditionalFormatting sqref="Y30:Y69">
    <cfRule type="containsText" dxfId="5" priority="82" operator="containsText" text="D">
      <formula>NOT(ISERROR(SEARCH(("D"),(Y30))))</formula>
    </cfRule>
  </conditionalFormatting>
  <conditionalFormatting sqref="AB30:AB69">
    <cfRule type="containsText" dxfId="5" priority="83" operator="containsText" text="A">
      <formula>NOT(ISERROR(SEARCH(("A"),(AB30))))</formula>
    </cfRule>
  </conditionalFormatting>
  <conditionalFormatting sqref="AB30:AB69">
    <cfRule type="containsText" dxfId="5" priority="84" operator="containsText" text="B">
      <formula>NOT(ISERROR(SEARCH(("B"),(AB30))))</formula>
    </cfRule>
  </conditionalFormatting>
  <conditionalFormatting sqref="AB30:AB69">
    <cfRule type="containsText" dxfId="5" priority="85" operator="containsText" text="C">
      <formula>NOT(ISERROR(SEARCH(("C"),(AB30))))</formula>
    </cfRule>
  </conditionalFormatting>
  <conditionalFormatting sqref="AB30:AB69">
    <cfRule type="containsText" dxfId="4" priority="86" operator="containsText" text="D">
      <formula>NOT(ISERROR(SEARCH(("D"),(AB30))))</formula>
    </cfRule>
  </conditionalFormatting>
  <conditionalFormatting sqref="AC30:AC69">
    <cfRule type="containsText" dxfId="5" priority="87" operator="containsText" text="A">
      <formula>NOT(ISERROR(SEARCH(("A"),(AC30))))</formula>
    </cfRule>
  </conditionalFormatting>
  <conditionalFormatting sqref="AC30:AC69">
    <cfRule type="containsText" dxfId="5" priority="88" operator="containsText" text="B">
      <formula>NOT(ISERROR(SEARCH(("B"),(AC30))))</formula>
    </cfRule>
  </conditionalFormatting>
  <conditionalFormatting sqref="AC30:AC69">
    <cfRule type="containsText" dxfId="4" priority="89" operator="containsText" text="C">
      <formula>NOT(ISERROR(SEARCH(("C"),(AC30))))</formula>
    </cfRule>
  </conditionalFormatting>
  <conditionalFormatting sqref="AC30:AC69">
    <cfRule type="containsText" dxfId="5" priority="90" operator="containsText" text="D">
      <formula>NOT(ISERROR(SEARCH(("D"),(AC30))))</formula>
    </cfRule>
  </conditionalFormatting>
  <conditionalFormatting sqref="AD30:AD69">
    <cfRule type="containsText" dxfId="5" priority="91" operator="containsText" text="A">
      <formula>NOT(ISERROR(SEARCH(("A"),(AD30))))</formula>
    </cfRule>
  </conditionalFormatting>
  <conditionalFormatting sqref="AD30:AD69">
    <cfRule type="containsText" dxfId="5" priority="92" operator="containsText" text="B">
      <formula>NOT(ISERROR(SEARCH(("B"),(AD30))))</formula>
    </cfRule>
  </conditionalFormatting>
  <conditionalFormatting sqref="AD30:AD69">
    <cfRule type="containsText" dxfId="4" priority="93" operator="containsText" text="C">
      <formula>NOT(ISERROR(SEARCH(("C"),(AD30))))</formula>
    </cfRule>
  </conditionalFormatting>
  <conditionalFormatting sqref="AD30:AD69">
    <cfRule type="containsText" dxfId="5" priority="94" operator="containsText" text="D">
      <formula>NOT(ISERROR(SEARCH(("D"),(AD30))))</formula>
    </cfRule>
  </conditionalFormatting>
  <conditionalFormatting sqref="AE30:AE69">
    <cfRule type="containsText" dxfId="5" priority="95" operator="containsText" text="A">
      <formula>NOT(ISERROR(SEARCH(("A"),(AE30))))</formula>
    </cfRule>
  </conditionalFormatting>
  <conditionalFormatting sqref="AE30:AE69">
    <cfRule type="containsText" dxfId="4" priority="96" operator="containsText" text="B">
      <formula>NOT(ISERROR(SEARCH(("B"),(AE30))))</formula>
    </cfRule>
  </conditionalFormatting>
  <conditionalFormatting sqref="AE30:AE69">
    <cfRule type="containsText" dxfId="5" priority="97" operator="containsText" text="C">
      <formula>NOT(ISERROR(SEARCH(("C"),(AE30))))</formula>
    </cfRule>
  </conditionalFormatting>
  <conditionalFormatting sqref="AE30:AE69">
    <cfRule type="containsText" dxfId="5" priority="98" operator="containsText" text="D">
      <formula>NOT(ISERROR(SEARCH(("D"),(AE30))))</formula>
    </cfRule>
  </conditionalFormatting>
  <conditionalFormatting sqref="AF30:AF69">
    <cfRule type="containsText" dxfId="4" priority="99" operator="containsText" text="A">
      <formula>NOT(ISERROR(SEARCH(("A"),(AF30))))</formula>
    </cfRule>
  </conditionalFormatting>
  <conditionalFormatting sqref="AF30:AF69">
    <cfRule type="containsText" dxfId="5" priority="100" operator="containsText" text="B">
      <formula>NOT(ISERROR(SEARCH(("B"),(AF30))))</formula>
    </cfRule>
  </conditionalFormatting>
  <conditionalFormatting sqref="AF30:AF69">
    <cfRule type="containsText" dxfId="11" priority="101" operator="containsText" text="C">
      <formula>NOT(ISERROR(SEARCH(("C"),(AF30))))</formula>
    </cfRule>
  </conditionalFormatting>
  <conditionalFormatting sqref="AF30:AF69">
    <cfRule type="containsText" dxfId="11" priority="102" operator="containsText" text="D">
      <formula>NOT(ISERROR(SEARCH(("D"),(AF30))))</formula>
    </cfRule>
  </conditionalFormatting>
  <conditionalFormatting sqref="AG30:AG69">
    <cfRule type="containsText" dxfId="5" priority="103" operator="containsText" text="A">
      <formula>NOT(ISERROR(SEARCH(("A"),(AG30))))</formula>
    </cfRule>
  </conditionalFormatting>
  <conditionalFormatting sqref="AG30:AG69">
    <cfRule type="containsText" dxfId="5" priority="104" operator="containsText" text="B">
      <formula>NOT(ISERROR(SEARCH(("B"),(AG30))))</formula>
    </cfRule>
  </conditionalFormatting>
  <conditionalFormatting sqref="AG30:AG69">
    <cfRule type="containsText" dxfId="5" priority="105" operator="containsText" text="C">
      <formula>NOT(ISERROR(SEARCH(("C"),(AG30))))</formula>
    </cfRule>
  </conditionalFormatting>
  <conditionalFormatting sqref="AG30:AG69">
    <cfRule type="containsText" dxfId="4" priority="106" operator="containsText" text="D">
      <formula>NOT(ISERROR(SEARCH(("D"),(AG30))))</formula>
    </cfRule>
  </conditionalFormatting>
  <conditionalFormatting sqref="AH30:AH69">
    <cfRule type="containsText" dxfId="4" priority="107" operator="containsText" text="A">
      <formula>NOT(ISERROR(SEARCH(("A"),(AH30))))</formula>
    </cfRule>
  </conditionalFormatting>
  <conditionalFormatting sqref="AH30:AH69">
    <cfRule type="containsText" dxfId="5" priority="108" operator="containsText" text="B">
      <formula>NOT(ISERROR(SEARCH(("B"),(AH30))))</formula>
    </cfRule>
  </conditionalFormatting>
  <conditionalFormatting sqref="AH30:AH69">
    <cfRule type="containsText" dxfId="5" priority="109" operator="containsText" text="C">
      <formula>NOT(ISERROR(SEARCH(("C"),(AH30))))</formula>
    </cfRule>
  </conditionalFormatting>
  <conditionalFormatting sqref="AH30:AH69">
    <cfRule type="containsText" dxfId="5" priority="110" operator="containsText" text="D">
      <formula>NOT(ISERROR(SEARCH(("D"),(AH30))))</formula>
    </cfRule>
  </conditionalFormatting>
  <conditionalFormatting sqref="AI30:AI69">
    <cfRule type="containsText" dxfId="5" priority="111" operator="containsText" text="A">
      <formula>NOT(ISERROR(SEARCH(("A"),(AI30))))</formula>
    </cfRule>
  </conditionalFormatting>
  <conditionalFormatting sqref="AI30:AI69">
    <cfRule type="containsText" dxfId="5" priority="112" operator="containsText" text="B">
      <formula>NOT(ISERROR(SEARCH(("B"),(AI30))))</formula>
    </cfRule>
  </conditionalFormatting>
  <conditionalFormatting sqref="AI30:AI69">
    <cfRule type="containsText" dxfId="4" priority="113" operator="containsText" text="C">
      <formula>NOT(ISERROR(SEARCH(("C"),(AI30))))</formula>
    </cfRule>
  </conditionalFormatting>
  <conditionalFormatting sqref="AI30:AI69">
    <cfRule type="containsText" dxfId="5" priority="114" operator="containsText" text="D">
      <formula>NOT(ISERROR(SEARCH(("D"),(AI30))))</formula>
    </cfRule>
  </conditionalFormatting>
  <conditionalFormatting sqref="AJ30:AJ69">
    <cfRule type="containsText" dxfId="5" priority="115" operator="containsText" text="A">
      <formula>NOT(ISERROR(SEARCH(("A"),(AJ30))))</formula>
    </cfRule>
  </conditionalFormatting>
  <conditionalFormatting sqref="AJ30:AJ69">
    <cfRule type="containsText" dxfId="4" priority="116" operator="containsText" text="B">
      <formula>NOT(ISERROR(SEARCH(("B"),(AJ30))))</formula>
    </cfRule>
  </conditionalFormatting>
  <conditionalFormatting sqref="AJ30:AJ69">
    <cfRule type="containsText" dxfId="5" priority="117" operator="containsText" text="C">
      <formula>NOT(ISERROR(SEARCH(("C"),(AJ30))))</formula>
    </cfRule>
  </conditionalFormatting>
  <conditionalFormatting sqref="AJ30:AJ69">
    <cfRule type="containsText" dxfId="5" priority="118" operator="containsText" text="D">
      <formula>NOT(ISERROR(SEARCH(("D"),(AJ30))))</formula>
    </cfRule>
  </conditionalFormatting>
  <conditionalFormatting sqref="AK30:AK69">
    <cfRule type="containsText" dxfId="5" priority="119" operator="containsText" text="A">
      <formula>NOT(ISERROR(SEARCH(("A"),(AK30))))</formula>
    </cfRule>
  </conditionalFormatting>
  <conditionalFormatting sqref="AK30:AK69">
    <cfRule type="containsText" dxfId="5" priority="120" operator="containsText" text="B">
      <formula>NOT(ISERROR(SEARCH(("B"),(AK30))))</formula>
    </cfRule>
  </conditionalFormatting>
  <conditionalFormatting sqref="AK30:AK69">
    <cfRule type="containsText" dxfId="5" priority="121" operator="containsText" text="C">
      <formula>NOT(ISERROR(SEARCH(("C"),(AK30))))</formula>
    </cfRule>
  </conditionalFormatting>
  <conditionalFormatting sqref="AK30:AK69">
    <cfRule type="containsText" dxfId="4" priority="122" operator="containsText" text="D">
      <formula>NOT(ISERROR(SEARCH(("D"),(AK30))))</formula>
    </cfRule>
  </conditionalFormatting>
  <conditionalFormatting sqref="AL30:AL69">
    <cfRule type="containsText" dxfId="5" priority="123" operator="containsText" text="A">
      <formula>NOT(ISERROR(SEARCH(("A"),(AL30))))</formula>
    </cfRule>
  </conditionalFormatting>
  <conditionalFormatting sqref="AL30:AL69">
    <cfRule type="containsText" dxfId="4" priority="124" operator="containsText" text="B">
      <formula>NOT(ISERROR(SEARCH(("B"),(AL30))))</formula>
    </cfRule>
  </conditionalFormatting>
  <conditionalFormatting sqref="AL30:AL69">
    <cfRule type="containsText" dxfId="5" priority="125" operator="containsText" text="C">
      <formula>NOT(ISERROR(SEARCH(("C"),(AL30))))</formula>
    </cfRule>
  </conditionalFormatting>
  <conditionalFormatting sqref="AL30:AL69">
    <cfRule type="containsText" dxfId="5" priority="126" operator="containsText" text="D">
      <formula>NOT(ISERROR(SEARCH(("D"),(AL30))))</formula>
    </cfRule>
  </conditionalFormatting>
  <conditionalFormatting sqref="AM30:AM69">
    <cfRule type="containsText" dxfId="5" priority="127" operator="containsText" text="A">
      <formula>NOT(ISERROR(SEARCH(("A"),(AM30))))</formula>
    </cfRule>
  </conditionalFormatting>
  <conditionalFormatting sqref="AM30:AM69">
    <cfRule type="containsText" dxfId="5" priority="128" operator="containsText" text="B">
      <formula>NOT(ISERROR(SEARCH(("B"),(AM30))))</formula>
    </cfRule>
  </conditionalFormatting>
  <conditionalFormatting sqref="AM30:AM69">
    <cfRule type="containsText" dxfId="4" priority="129" operator="containsText" text="C">
      <formula>NOT(ISERROR(SEARCH(("C"),(AM30))))</formula>
    </cfRule>
  </conditionalFormatting>
  <conditionalFormatting sqref="AM30:AM69">
    <cfRule type="containsText" dxfId="5" priority="130" operator="containsText" text="D">
      <formula>NOT(ISERROR(SEARCH(("D"),(AM30))))</formula>
    </cfRule>
  </conditionalFormatting>
  <conditionalFormatting sqref="AN30:AN69">
    <cfRule type="containsText" dxfId="4" priority="131" operator="containsText" text="A">
      <formula>NOT(ISERROR(SEARCH(("A"),(AN30))))</formula>
    </cfRule>
  </conditionalFormatting>
  <conditionalFormatting sqref="AN30:AN69">
    <cfRule type="containsText" dxfId="5" priority="132" operator="containsText" text="B">
      <formula>NOT(ISERROR(SEARCH(("B"),(AN30))))</formula>
    </cfRule>
  </conditionalFormatting>
  <conditionalFormatting sqref="AN30:AN69">
    <cfRule type="containsText" dxfId="11" priority="133" operator="containsText" text="C">
      <formula>NOT(ISERROR(SEARCH(("C"),(AN30))))</formula>
    </cfRule>
  </conditionalFormatting>
  <conditionalFormatting sqref="AN30:AN69">
    <cfRule type="containsText" dxfId="11" priority="134" operator="containsText" text="D">
      <formula>NOT(ISERROR(SEARCH(("D"),(AN30))))</formula>
    </cfRule>
  </conditionalFormatting>
  <conditionalFormatting sqref="AO30:AO69">
    <cfRule type="containsText" dxfId="5" priority="135" operator="containsText" text="A">
      <formula>NOT(ISERROR(SEARCH(("A"),(AO30))))</formula>
    </cfRule>
  </conditionalFormatting>
  <conditionalFormatting sqref="AO30:AO69">
    <cfRule type="containsText" dxfId="4" priority="136" operator="containsText" text="B">
      <formula>NOT(ISERROR(SEARCH(("B"),(AO30))))</formula>
    </cfRule>
  </conditionalFormatting>
  <conditionalFormatting sqref="AO30:AO69">
    <cfRule type="containsText" dxfId="11" priority="137" operator="containsText" text="C">
      <formula>NOT(ISERROR(SEARCH(("C"),(AO30))))</formula>
    </cfRule>
  </conditionalFormatting>
  <conditionalFormatting sqref="AO30:AO69">
    <cfRule type="containsText" dxfId="5" priority="138" operator="containsText" text="D">
      <formula>NOT(ISERROR(SEARCH(("D"),(AO30))))</formula>
    </cfRule>
  </conditionalFormatting>
  <conditionalFormatting sqref="AP30:AP69">
    <cfRule type="containsText" dxfId="5" priority="139" operator="containsText" text="A">
      <formula>NOT(ISERROR(SEARCH(("A"),(AP30))))</formula>
    </cfRule>
  </conditionalFormatting>
  <conditionalFormatting sqref="AP30:AP69">
    <cfRule type="containsText" dxfId="5" priority="140" operator="containsText" text="B">
      <formula>NOT(ISERROR(SEARCH(("B"),(AP30))))</formula>
    </cfRule>
  </conditionalFormatting>
  <conditionalFormatting sqref="AP30:AP69">
    <cfRule type="containsText" dxfId="5" priority="141" operator="containsText" text="C">
      <formula>NOT(ISERROR(SEARCH(("C"),(AP30))))</formula>
    </cfRule>
  </conditionalFormatting>
  <conditionalFormatting sqref="AP30:AP69">
    <cfRule type="containsText" dxfId="4" priority="142" operator="containsText" text="D">
      <formula>NOT(ISERROR(SEARCH(("D"),(AP30))))</formula>
    </cfRule>
  </conditionalFormatting>
  <conditionalFormatting sqref="AQ30:AQ69">
    <cfRule type="containsText" dxfId="4" priority="143" operator="containsText" text="A">
      <formula>NOT(ISERROR(SEARCH(("A"),(AQ30))))</formula>
    </cfRule>
  </conditionalFormatting>
  <conditionalFormatting sqref="AQ30:AQ69">
    <cfRule type="containsText" dxfId="5" priority="144" operator="containsText" text="B">
      <formula>NOT(ISERROR(SEARCH(("B"),(AQ30))))</formula>
    </cfRule>
  </conditionalFormatting>
  <conditionalFormatting sqref="AQ30:AQ69">
    <cfRule type="containsText" dxfId="5" priority="145" operator="containsText" text="C">
      <formula>NOT(ISERROR(SEARCH(("C"),(AQ30))))</formula>
    </cfRule>
  </conditionalFormatting>
  <conditionalFormatting sqref="AQ30:AQ69">
    <cfRule type="containsText" dxfId="11" priority="146" operator="containsText" text="D">
      <formula>NOT(ISERROR(SEARCH(("D"),(AQ30))))</formula>
    </cfRule>
  </conditionalFormatting>
  <conditionalFormatting sqref="AR30:AR69">
    <cfRule type="containsText" dxfId="5" priority="147" operator="containsText" text="A">
      <formula>NOT(ISERROR(SEARCH(("A"),(AR30))))</formula>
    </cfRule>
  </conditionalFormatting>
  <conditionalFormatting sqref="AR30:AR69">
    <cfRule type="containsText" dxfId="5" priority="148" operator="containsText" text="B">
      <formula>NOT(ISERROR(SEARCH(("B"),(AR30))))</formula>
    </cfRule>
  </conditionalFormatting>
  <conditionalFormatting sqref="AR30:AR69">
    <cfRule type="containsText" dxfId="4" priority="149" operator="containsText" text="C">
      <formula>NOT(ISERROR(SEARCH(("C"),(AR30))))</formula>
    </cfRule>
  </conditionalFormatting>
  <conditionalFormatting sqref="AR30:AR69">
    <cfRule type="containsText" dxfId="5" priority="150" operator="containsText" text="D">
      <formula>NOT(ISERROR(SEARCH(("D"),(AR30))))</formula>
    </cfRule>
  </conditionalFormatting>
  <conditionalFormatting sqref="AS30:AS69">
    <cfRule type="containsText" dxfId="5" priority="151" operator="containsText" text="A">
      <formula>NOT(ISERROR(SEARCH(("A"),(AS30))))</formula>
    </cfRule>
  </conditionalFormatting>
  <conditionalFormatting sqref="AS30:AS69">
    <cfRule type="containsText" dxfId="5" priority="152" operator="containsText" text="B">
      <formula>NOT(ISERROR(SEARCH(("B"),(AS30))))</formula>
    </cfRule>
  </conditionalFormatting>
  <conditionalFormatting sqref="AS30:AS69">
    <cfRule type="containsText" dxfId="4" priority="153" operator="containsText" text="C">
      <formula>NOT(ISERROR(SEARCH(("C"),(AS30))))</formula>
    </cfRule>
  </conditionalFormatting>
  <conditionalFormatting sqref="AS30:AS69">
    <cfRule type="containsText" dxfId="5" priority="154" operator="containsText" text="D">
      <formula>NOT(ISERROR(SEARCH(("D"),(AS30))))</formula>
    </cfRule>
  </conditionalFormatting>
  <conditionalFormatting sqref="AT30:AT69">
    <cfRule type="containsText" dxfId="5" priority="155" operator="containsText" text="A">
      <formula>NOT(ISERROR(SEARCH(("A"),(AT30))))</formula>
    </cfRule>
  </conditionalFormatting>
  <conditionalFormatting sqref="AT30:AT69">
    <cfRule type="containsText" dxfId="12" priority="156" operator="containsText" text="B">
      <formula>NOT(ISERROR(SEARCH(("B"),(AT30))))</formula>
    </cfRule>
  </conditionalFormatting>
  <conditionalFormatting sqref="AT30:AT69">
    <cfRule type="containsText" dxfId="11" priority="157" operator="containsText" text="C">
      <formula>NOT(ISERROR(SEARCH(("C"),(AT30))))</formula>
    </cfRule>
  </conditionalFormatting>
  <conditionalFormatting sqref="AT30:AT69">
    <cfRule type="containsText" dxfId="11" priority="158" operator="containsText" text="D">
      <formula>NOT(ISERROR(SEARCH(("D"),(AT30))))</formula>
    </cfRule>
  </conditionalFormatting>
  <conditionalFormatting sqref="AV30:AV69">
    <cfRule type="containsText" dxfId="4" priority="159" operator="containsText" text="A">
      <formula>NOT(ISERROR(SEARCH(("A"),(AV30))))</formula>
    </cfRule>
  </conditionalFormatting>
  <conditionalFormatting sqref="AV30:AV69">
    <cfRule type="containsText" dxfId="5" priority="160" operator="containsText" text="B">
      <formula>NOT(ISERROR(SEARCH(("B"),(AV30))))</formula>
    </cfRule>
  </conditionalFormatting>
  <conditionalFormatting sqref="AV30:AV69">
    <cfRule type="containsText" dxfId="5" priority="161" operator="containsText" text="C">
      <formula>NOT(ISERROR(SEARCH(("C"),(AV30))))</formula>
    </cfRule>
  </conditionalFormatting>
  <conditionalFormatting sqref="AV30:AV69">
    <cfRule type="containsText" dxfId="5" priority="162" operator="containsText" text="X">
      <formula>NOT(ISERROR(SEARCH(("X"),(AV30))))</formula>
    </cfRule>
  </conditionalFormatting>
  <conditionalFormatting sqref="BA30:BA69">
    <cfRule type="containsText" dxfId="6" priority="163" operator="containsText" text="F">
      <formula>NOT(ISERROR(SEARCH(("F"),(BA30))))</formula>
    </cfRule>
  </conditionalFormatting>
  <conditionalFormatting sqref="BB30:BB69 BF30:BF69 BI30:BI69">
    <cfRule type="containsText" dxfId="13" priority="164" operator="containsText" text="Abaixo do Básico">
      <formula>NOT(ISERROR(SEARCH(("Abaixo do Básico"),(BB30))))</formula>
    </cfRule>
  </conditionalFormatting>
  <conditionalFormatting sqref="BB30:BB69 BF30:BF69 BI30:BI69">
    <cfRule type="containsText" dxfId="14" priority="165" operator="containsText" text="Básico">
      <formula>NOT(ISERROR(SEARCH(("Básico"),(BB30))))</formula>
    </cfRule>
  </conditionalFormatting>
  <conditionalFormatting sqref="BB30:BB69 BF30:BF69 BI30:BI69">
    <cfRule type="containsText" dxfId="15" priority="166" operator="containsText" text="Adequado">
      <formula>NOT(ISERROR(SEARCH(("Adequado"),(BB30))))</formula>
    </cfRule>
  </conditionalFormatting>
  <conditionalFormatting sqref="BB30:BB69 BF30:BF69 BI30:BI69">
    <cfRule type="containsText" dxfId="16" priority="167" operator="containsText" text="Avançado">
      <formula>NOT(ISERROR(SEARCH(("Avançado"),(BB30))))</formula>
    </cfRule>
  </conditionalFormatting>
  <conditionalFormatting sqref="AV30:BB69">
    <cfRule type="containsBlanks" dxfId="6" priority="168">
      <formula>LEN(TRIM(AV30))=0</formula>
    </cfRule>
  </conditionalFormatting>
  <conditionalFormatting sqref="BD30:BI69">
    <cfRule type="containsBlanks" dxfId="6" priority="169">
      <formula>LEN(TRIM(BD30))=0</formula>
    </cfRule>
  </conditionalFormatting>
  <conditionalFormatting sqref="D30:D69">
    <cfRule type="containsText" dxfId="5" priority="170" operator="containsText" text="A">
      <formula>NOT(ISERROR(SEARCH(("A"),(D30))))</formula>
    </cfRule>
  </conditionalFormatting>
  <conditionalFormatting sqref="D30:D69">
    <cfRule type="containsText" dxfId="5" priority="171" operator="containsText" text="B">
      <formula>NOT(ISERROR(SEARCH(("B"),(D30))))</formula>
    </cfRule>
  </conditionalFormatting>
  <conditionalFormatting sqref="D30:D69">
    <cfRule type="containsText" dxfId="4" priority="172" operator="containsText" text="C">
      <formula>NOT(ISERROR(SEARCH(("C"),(D30))))</formula>
    </cfRule>
  </conditionalFormatting>
  <conditionalFormatting sqref="D30:D69">
    <cfRule type="containsText" dxfId="5" priority="173" operator="containsText" text="D">
      <formula>NOT(ISERROR(SEARCH(("D"),(D30))))</formula>
    </cfRule>
  </conditionalFormatting>
  <conditionalFormatting sqref="Z30:Z69">
    <cfRule type="containsText" dxfId="5" priority="174" operator="containsText" text="A">
      <formula>NOT(ISERROR(SEARCH(("A"),(Z30))))</formula>
    </cfRule>
  </conditionalFormatting>
  <conditionalFormatting sqref="Z30:Z69">
    <cfRule type="containsText" dxfId="5" priority="175" operator="containsText" text="B">
      <formula>NOT(ISERROR(SEARCH(("B"),(Z30))))</formula>
    </cfRule>
  </conditionalFormatting>
  <conditionalFormatting sqref="Z30:Z69">
    <cfRule type="containsText" dxfId="5" priority="176" operator="containsText" text="C">
      <formula>NOT(ISERROR(SEARCH(("C"),(Z30))))</formula>
    </cfRule>
  </conditionalFormatting>
  <conditionalFormatting sqref="Z30:Z69">
    <cfRule type="containsText" dxfId="4" priority="177" operator="containsText" text="D">
      <formula>NOT(ISERROR(SEARCH(("D"),(Z30))))</formula>
    </cfRule>
  </conditionalFormatting>
  <conditionalFormatting sqref="AA30:AA69">
    <cfRule type="containsText" dxfId="5" priority="178" operator="containsText" text="A">
      <formula>NOT(ISERROR(SEARCH(("A"),(AA30))))</formula>
    </cfRule>
  </conditionalFormatting>
  <conditionalFormatting sqref="AA30:AA69">
    <cfRule type="containsText" dxfId="5" priority="179" operator="containsText" text="B">
      <formula>NOT(ISERROR(SEARCH(("B"),(AA30))))</formula>
    </cfRule>
  </conditionalFormatting>
  <conditionalFormatting sqref="AA30:AA69">
    <cfRule type="containsText" dxfId="4" priority="180" operator="containsText" text="C">
      <formula>NOT(ISERROR(SEARCH(("C"),(AA30))))</formula>
    </cfRule>
  </conditionalFormatting>
  <conditionalFormatting sqref="AA30:AA69">
    <cfRule type="containsText" dxfId="5" priority="181" operator="containsText" text="D">
      <formula>NOT(ISERROR(SEARCH(("D"),(AA30))))</formula>
    </cfRule>
  </conditionalFormatting>
  <conditionalFormatting sqref="D30:AT69">
    <cfRule type="containsText" dxfId="6" priority="182" operator="containsText" text="F">
      <formula>NOT(ISERROR(SEARCH(("F"),(D30))))</formula>
    </cfRule>
  </conditionalFormatting>
  <conditionalFormatting sqref="D30:AT69">
    <cfRule type="containsText" dxfId="5" priority="183" operator="containsText" text="X">
      <formula>NOT(ISERROR(SEARCH(("X"),(D30))))</formula>
    </cfRule>
  </conditionalFormatting>
  <conditionalFormatting sqref="D30:AT69">
    <cfRule type="containsBlanks" dxfId="6" priority="184">
      <formula>LEN(TRIM(D30))=0</formula>
    </cfRule>
  </conditionalFormatting>
  <conditionalFormatting sqref="B30:B69">
    <cfRule type="containsBlanks" dxfId="6" priority="185">
      <formula>LEN(TRIM(B30))=0</formula>
    </cfRule>
  </conditionalFormatting>
  <conditionalFormatting sqref="F30:F69">
    <cfRule type="containsText" dxfId="5" priority="186" operator="containsText" text="A">
      <formula>NOT(ISERROR(SEARCH(("A"),(F30))))</formula>
    </cfRule>
  </conditionalFormatting>
  <conditionalFormatting sqref="E30:E69">
    <cfRule type="containsText" dxfId="5" priority="187" operator="containsText" text="A">
      <formula>NOT(ISERROR(SEARCH(("A"),(E30))))</formula>
    </cfRule>
  </conditionalFormatting>
  <conditionalFormatting sqref="E30:E69">
    <cfRule type="containsText" dxfId="5" priority="188" operator="containsText" text="B">
      <formula>NOT(ISERROR(SEARCH(("B"),(E30))))</formula>
    </cfRule>
  </conditionalFormatting>
  <conditionalFormatting sqref="E30:E69">
    <cfRule type="containsText" dxfId="4" priority="189" operator="containsText" text="C">
      <formula>NOT(ISERROR(SEARCH(("C"),(E30))))</formula>
    </cfRule>
  </conditionalFormatting>
  <conditionalFormatting sqref="E30:E69">
    <cfRule type="containsText" dxfId="5" priority="190" operator="containsText" text="D">
      <formula>NOT(ISERROR(SEARCH(("D"),(E30))))</formula>
    </cfRule>
  </conditionalFormatting>
  <hyperlinks>
    <hyperlink r:id="rId1" ref="A23"/>
  </hyperlinks>
  <printOptions horizontalCentered="1"/>
  <pageMargins bottom="0.75" footer="0.0" header="0.0" left="0.7" right="0.7" top="0.75"/>
  <pageSetup fitToHeight="0" paperSize="9"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46" width="4.75"/>
    <col customWidth="1" min="47" max="47" width="3.38"/>
    <col customWidth="1" min="48" max="49" width="4.13"/>
    <col customWidth="1" min="50" max="50" width="4.25"/>
    <col customWidth="1" min="51" max="51" width="4.63"/>
    <col customWidth="1" min="52" max="52" width="4.75"/>
    <col customWidth="1" min="53" max="53" width="4.25"/>
    <col customWidth="1" min="54" max="54" width="14.13"/>
    <col customWidth="1" min="55" max="55" width="1.88"/>
    <col customWidth="1" min="56" max="56" width="5.25"/>
    <col customWidth="1" min="57" max="57" width="5.0"/>
    <col customWidth="1" min="58" max="58" width="14.13"/>
    <col customWidth="1" min="59" max="59" width="5.13"/>
    <col customWidth="1" min="60" max="60" width="4.75"/>
    <col customWidth="1" min="61" max="61" width="15.75"/>
    <col customWidth="1" min="62" max="63"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row>
    <row r="6" ht="25.5" customHeight="1">
      <c r="A6" s="1"/>
      <c r="B6" s="1"/>
      <c r="C6" s="1"/>
      <c r="D6" s="5" t="s">
        <v>0</v>
      </c>
      <c r="AY6" s="5"/>
      <c r="AZ6" s="5"/>
      <c r="BA6" s="5"/>
      <c r="BB6" s="5"/>
      <c r="BC6" s="5"/>
      <c r="BD6" s="5"/>
      <c r="BE6" s="5"/>
      <c r="BF6" s="4"/>
      <c r="BG6" s="4"/>
      <c r="BH6" s="4"/>
      <c r="BI6" s="3"/>
      <c r="BJ6" s="3"/>
      <c r="BK6" s="3"/>
    </row>
    <row r="7" ht="25.5" customHeight="1">
      <c r="A7" s="1"/>
      <c r="B7" s="1"/>
      <c r="C7" s="1"/>
      <c r="AY7" s="5"/>
      <c r="AZ7" s="5"/>
      <c r="BA7" s="5"/>
      <c r="BB7" s="5"/>
      <c r="BC7" s="5"/>
      <c r="BD7" s="5"/>
      <c r="BE7" s="5"/>
      <c r="BF7" s="4"/>
      <c r="BG7" s="4"/>
      <c r="BH7" s="4"/>
      <c r="BI7" s="3"/>
      <c r="BJ7" s="3"/>
      <c r="BK7" s="3"/>
    </row>
    <row r="8" ht="25.5" customHeight="1">
      <c r="A8" s="1"/>
      <c r="B8" s="1"/>
      <c r="C8" s="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4"/>
      <c r="BG8" s="4"/>
      <c r="BH8" s="4"/>
      <c r="BI8" s="3"/>
      <c r="BJ8" s="3"/>
      <c r="BK8" s="3"/>
    </row>
    <row r="9" ht="25.5" customHeight="1">
      <c r="A9" s="1"/>
      <c r="B9" s="1"/>
      <c r="C9" s="1"/>
      <c r="D9" s="6" t="s">
        <v>1</v>
      </c>
      <c r="AY9" s="7"/>
      <c r="AZ9" s="7"/>
      <c r="BA9" s="7"/>
      <c r="BB9" s="7"/>
      <c r="BC9" s="7"/>
      <c r="BD9" s="7"/>
      <c r="BE9" s="7"/>
      <c r="BF9" s="4"/>
      <c r="BG9" s="4"/>
      <c r="BH9" s="4"/>
      <c r="BI9" s="3"/>
      <c r="BJ9" s="3"/>
      <c r="BK9" s="3"/>
    </row>
    <row r="10" ht="25.5" customHeight="1">
      <c r="A10" s="1"/>
      <c r="B10" s="1"/>
      <c r="C10" s="1"/>
      <c r="AY10" s="7"/>
      <c r="AZ10" s="7"/>
      <c r="BA10" s="7"/>
      <c r="BB10" s="7"/>
      <c r="BC10" s="7"/>
      <c r="BD10" s="7"/>
      <c r="BE10" s="7"/>
      <c r="BF10" s="4"/>
      <c r="BG10" s="4"/>
      <c r="BH10" s="4"/>
      <c r="BI10" s="3"/>
      <c r="BJ10" s="3"/>
      <c r="BK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row>
    <row r="12" ht="25.5" customHeight="1">
      <c r="A12" s="1"/>
      <c r="B12" s="1"/>
      <c r="C12" s="1"/>
      <c r="D12" s="8" t="s">
        <v>2</v>
      </c>
      <c r="AY12" s="9"/>
      <c r="AZ12" s="9"/>
      <c r="BA12" s="9"/>
      <c r="BB12" s="9"/>
      <c r="BC12" s="9"/>
      <c r="BD12" s="9"/>
      <c r="BE12" s="9"/>
      <c r="BF12" s="4"/>
      <c r="BG12" s="4"/>
      <c r="BH12" s="4"/>
      <c r="BI12" s="3"/>
      <c r="BJ12" s="3"/>
      <c r="BK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V13" s="3"/>
      <c r="AW13" s="3"/>
      <c r="AX13" s="3"/>
      <c r="AY13" s="3"/>
      <c r="AZ13" s="3"/>
      <c r="BA13" s="3"/>
      <c r="BB13" s="4"/>
      <c r="BC13" s="4"/>
      <c r="BD13" s="4"/>
      <c r="BE13" s="4"/>
      <c r="BF13" s="4"/>
      <c r="BG13" s="4"/>
      <c r="BH13" s="4"/>
      <c r="BI13" s="3"/>
      <c r="BJ13" s="3"/>
      <c r="BK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V14" s="3"/>
      <c r="AW14" s="3"/>
      <c r="AX14" s="3"/>
      <c r="AY14" s="3"/>
      <c r="AZ14" s="3"/>
      <c r="BA14" s="3"/>
      <c r="BB14" s="4"/>
      <c r="BC14" s="4"/>
      <c r="BD14" s="4"/>
      <c r="BE14" s="4"/>
      <c r="BF14" s="4"/>
      <c r="BG14" s="4"/>
      <c r="BH14" s="4"/>
      <c r="BI14" s="3"/>
      <c r="BJ14" s="3"/>
      <c r="BK14" s="3"/>
    </row>
    <row r="15" ht="25.5" customHeight="1">
      <c r="A15" s="13"/>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V15" s="3"/>
      <c r="AW15" s="3"/>
      <c r="AX15" s="3"/>
      <c r="AY15" s="3"/>
      <c r="AZ15" s="3"/>
      <c r="BA15" s="3"/>
      <c r="BB15" s="4"/>
      <c r="BC15" s="4"/>
      <c r="BD15" s="4"/>
      <c r="BE15" s="4"/>
      <c r="BF15" s="4"/>
      <c r="BG15" s="4"/>
      <c r="BH15" s="4"/>
      <c r="BI15" s="3"/>
      <c r="BJ15" s="3"/>
      <c r="BK15" s="3"/>
    </row>
    <row r="16" ht="25.5" customHeight="1">
      <c r="A16" s="15" t="s">
        <v>46</v>
      </c>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V16" s="3"/>
      <c r="AW16" s="3"/>
      <c r="AX16" s="3"/>
      <c r="AY16" s="3"/>
      <c r="AZ16" s="3"/>
      <c r="BA16" s="3"/>
      <c r="BB16" s="4"/>
      <c r="BC16" s="4"/>
      <c r="BD16" s="4"/>
      <c r="BE16" s="4"/>
      <c r="BF16" s="4"/>
      <c r="BG16" s="4"/>
      <c r="BH16" s="4"/>
      <c r="BI16" s="3"/>
      <c r="BJ16" s="3"/>
      <c r="BK16" s="3"/>
    </row>
    <row r="17" ht="25.5" customHeight="1">
      <c r="A17" s="13"/>
      <c r="C17" s="14"/>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V17" s="3"/>
      <c r="AW17" s="3"/>
      <c r="AX17" s="3"/>
      <c r="AY17" s="3"/>
      <c r="AZ17" s="3"/>
      <c r="BA17" s="3"/>
      <c r="BB17" s="4"/>
      <c r="BC17" s="4"/>
      <c r="BD17" s="4"/>
      <c r="BE17" s="4"/>
      <c r="BF17" s="4"/>
      <c r="BG17" s="4"/>
      <c r="BH17" s="4"/>
      <c r="BI17" s="3"/>
      <c r="BJ17" s="3"/>
      <c r="BK17" s="3"/>
    </row>
    <row r="18" ht="21.0" customHeight="1">
      <c r="A18" s="16" t="s">
        <v>4</v>
      </c>
      <c r="C18" s="18">
        <f>COUNTA(B30:B69)</f>
        <v>29</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V18" s="3"/>
      <c r="AW18" s="3"/>
      <c r="AX18" s="3"/>
      <c r="AY18" s="3"/>
      <c r="AZ18" s="3"/>
      <c r="BA18" s="3"/>
      <c r="BB18" s="4"/>
      <c r="BC18" s="4"/>
      <c r="BD18" s="4"/>
      <c r="BE18" s="4"/>
      <c r="BF18" s="4"/>
      <c r="BG18" s="4"/>
      <c r="BH18" s="4"/>
      <c r="BI18" s="3"/>
      <c r="BJ18" s="3"/>
      <c r="BK18" s="3"/>
    </row>
    <row r="19" ht="21.75" customHeight="1">
      <c r="A19" s="16" t="s">
        <v>5</v>
      </c>
      <c r="C19" s="18">
        <f>SUMPRODUCT(LEN(D30:D69) - LEN(SUBSTITUTE(SUBSTITUTE(SUBSTITUTE(SUBSTITUTE(SUBSTITUTE(D30:D69,"A",""),"B",""),"C",""),"D",""),"X","")))</f>
        <v>29</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V19" s="3"/>
      <c r="AW19" s="3"/>
      <c r="AX19" s="3"/>
      <c r="AY19" s="3"/>
      <c r="AZ19" s="3"/>
      <c r="BA19" s="3"/>
      <c r="BB19" s="4"/>
      <c r="BC19" s="4"/>
      <c r="BD19" s="4"/>
      <c r="BE19" s="4"/>
      <c r="BF19" s="4"/>
      <c r="BG19" s="4"/>
      <c r="BH19" s="4"/>
      <c r="BI19" s="3"/>
      <c r="BJ19" s="3"/>
      <c r="BK19" s="3"/>
    </row>
    <row r="20" ht="21.0" customHeight="1">
      <c r="A20" s="16" t="s">
        <v>6</v>
      </c>
      <c r="C20" s="18">
        <f>COUNTIF(D30:D69,"F")</f>
        <v>0</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V20" s="3"/>
      <c r="AW20" s="3"/>
      <c r="AX20" s="3"/>
      <c r="AY20" s="3"/>
      <c r="AZ20" s="3"/>
      <c r="BA20" s="3"/>
      <c r="BB20" s="4"/>
      <c r="BC20" s="4"/>
      <c r="BD20" s="4"/>
      <c r="BE20" s="4"/>
      <c r="BF20" s="4"/>
      <c r="BG20" s="4"/>
      <c r="BH20" s="4"/>
      <c r="BI20" s="3"/>
      <c r="BJ20" s="3"/>
      <c r="BK20" s="3"/>
    </row>
    <row r="21" ht="24.0" customHeight="1">
      <c r="A21" s="16" t="s">
        <v>7</v>
      </c>
      <c r="C21" s="18">
        <f>COUNTIF(C30:C69,"SIM")</f>
        <v>1</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V21" s="3"/>
      <c r="AW21" s="3"/>
      <c r="AX21" s="3"/>
      <c r="AY21" s="3"/>
      <c r="AZ21" s="3"/>
      <c r="BA21" s="3"/>
      <c r="BB21" s="4"/>
      <c r="BC21" s="4"/>
      <c r="BD21" s="4"/>
      <c r="BE21" s="4"/>
      <c r="BF21" s="4"/>
      <c r="BG21" s="4"/>
      <c r="BH21" s="4"/>
      <c r="BI21" s="3"/>
      <c r="BJ21" s="3"/>
      <c r="BK21" s="3"/>
    </row>
    <row r="22" ht="24.0" customHeight="1">
      <c r="A22" s="16"/>
      <c r="B22" s="19"/>
      <c r="C22" s="21"/>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V22" s="3"/>
      <c r="AW22" s="3"/>
      <c r="AX22" s="3"/>
      <c r="AY22" s="3"/>
      <c r="AZ22" s="3"/>
      <c r="BA22" s="3"/>
      <c r="BB22" s="4"/>
      <c r="BC22" s="4"/>
      <c r="BD22" s="4"/>
      <c r="BE22" s="4"/>
      <c r="BF22" s="4"/>
      <c r="BG22" s="4"/>
      <c r="BH22" s="4"/>
      <c r="BI22" s="3"/>
      <c r="BJ22" s="3"/>
      <c r="BK22" s="3"/>
    </row>
    <row r="23" ht="42.0" customHeight="1">
      <c r="A23" s="22" t="s">
        <v>8</v>
      </c>
      <c r="B23" s="23"/>
      <c r="C23" s="24"/>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V23" s="3"/>
      <c r="AW23" s="3"/>
      <c r="AX23" s="3"/>
      <c r="AY23" s="3"/>
      <c r="AZ23" s="3"/>
      <c r="BA23" s="3"/>
      <c r="BB23" s="4"/>
      <c r="BC23" s="4"/>
      <c r="BD23" s="4"/>
      <c r="BE23" s="4"/>
      <c r="BF23" s="4"/>
      <c r="BG23" s="4"/>
      <c r="BH23" s="4"/>
      <c r="BI23" s="3"/>
      <c r="BJ23" s="3"/>
      <c r="BK23" s="3"/>
    </row>
    <row r="24" ht="36.0"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V24" s="3"/>
      <c r="AW24" s="3"/>
      <c r="AX24" s="3"/>
      <c r="AY24" s="3"/>
      <c r="AZ24" s="3"/>
      <c r="BA24" s="3"/>
      <c r="BB24" s="4"/>
      <c r="BC24" s="4"/>
      <c r="BD24" s="4"/>
      <c r="BE24" s="4"/>
      <c r="BF24" s="4"/>
      <c r="BG24" s="4"/>
      <c r="BH24" s="4"/>
      <c r="BI24" s="3"/>
      <c r="BJ24" s="3"/>
      <c r="BK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41"/>
      <c r="BC25" s="236"/>
      <c r="BD25" s="342" t="s">
        <v>155</v>
      </c>
      <c r="BJ25" s="3"/>
      <c r="BK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344"/>
      <c r="Y26" s="345" t="s">
        <v>17</v>
      </c>
      <c r="Z26" s="29"/>
      <c r="AA26" s="29"/>
      <c r="AB26" s="29"/>
      <c r="AC26" s="29"/>
      <c r="AD26" s="29"/>
      <c r="AE26" s="29"/>
      <c r="AF26" s="29"/>
      <c r="AG26" s="29"/>
      <c r="AH26" s="29"/>
      <c r="AI26" s="29"/>
      <c r="AJ26" s="29"/>
      <c r="AK26" s="29"/>
      <c r="AL26" s="29"/>
      <c r="AM26" s="29"/>
      <c r="AN26" s="29"/>
      <c r="AO26" s="29"/>
      <c r="AP26" s="29"/>
      <c r="AQ26" s="29"/>
      <c r="AR26" s="29"/>
      <c r="AS26" s="29"/>
      <c r="AT26" s="41"/>
      <c r="AV26" s="346" t="s">
        <v>89</v>
      </c>
      <c r="BC26" s="347"/>
      <c r="BD26" s="348" t="s">
        <v>158</v>
      </c>
      <c r="BF26" s="349"/>
      <c r="BG26" s="350" t="s">
        <v>17</v>
      </c>
      <c r="BJ26" s="3"/>
      <c r="BK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9" t="s">
        <v>38</v>
      </c>
      <c r="Y27" s="50" t="s">
        <v>213</v>
      </c>
      <c r="Z27" s="51" t="s">
        <v>19</v>
      </c>
      <c r="AA27" s="51" t="s">
        <v>20</v>
      </c>
      <c r="AB27" s="51" t="s">
        <v>21</v>
      </c>
      <c r="AC27" s="51" t="s">
        <v>22</v>
      </c>
      <c r="AD27" s="51" t="s">
        <v>23</v>
      </c>
      <c r="AE27" s="51" t="s">
        <v>24</v>
      </c>
      <c r="AF27" s="51" t="s">
        <v>25</v>
      </c>
      <c r="AG27" s="51" t="s">
        <v>26</v>
      </c>
      <c r="AH27" s="51" t="s">
        <v>27</v>
      </c>
      <c r="AI27" s="51" t="s">
        <v>28</v>
      </c>
      <c r="AJ27" s="51" t="s">
        <v>29</v>
      </c>
      <c r="AK27" s="51" t="s">
        <v>30</v>
      </c>
      <c r="AL27" s="51" t="s">
        <v>31</v>
      </c>
      <c r="AM27" s="51" t="s">
        <v>32</v>
      </c>
      <c r="AN27" s="51" t="s">
        <v>33</v>
      </c>
      <c r="AO27" s="51" t="s">
        <v>34</v>
      </c>
      <c r="AP27" s="51" t="s">
        <v>35</v>
      </c>
      <c r="AQ27" s="51" t="s">
        <v>36</v>
      </c>
      <c r="AR27" s="51" t="s">
        <v>37</v>
      </c>
      <c r="AS27" s="51" t="s">
        <v>38</v>
      </c>
      <c r="AT27" s="51" t="s">
        <v>40</v>
      </c>
      <c r="AV27" s="351" t="s">
        <v>160</v>
      </c>
      <c r="AW27" s="351" t="s">
        <v>161</v>
      </c>
      <c r="AX27" s="351" t="s">
        <v>162</v>
      </c>
      <c r="AY27" s="351" t="s">
        <v>163</v>
      </c>
      <c r="AZ27" s="351" t="s">
        <v>164</v>
      </c>
      <c r="BA27" s="352" t="s">
        <v>165</v>
      </c>
      <c r="BB27" s="353" t="s">
        <v>90</v>
      </c>
      <c r="BC27" s="354"/>
      <c r="BD27" s="355" t="s">
        <v>166</v>
      </c>
      <c r="BE27" s="355" t="s">
        <v>167</v>
      </c>
      <c r="BF27" s="356" t="s">
        <v>168</v>
      </c>
      <c r="BG27" s="357" t="s">
        <v>166</v>
      </c>
      <c r="BH27" s="358" t="s">
        <v>167</v>
      </c>
      <c r="BI27" s="359" t="s">
        <v>168</v>
      </c>
      <c r="BJ27" s="360"/>
      <c r="BK27" s="360"/>
    </row>
    <row r="28" ht="19.5" hidden="1" customHeight="1">
      <c r="A28" s="47"/>
      <c r="B28" s="14"/>
      <c r="C28" s="14"/>
      <c r="D28" s="60">
        <v>18.0</v>
      </c>
      <c r="E28" s="60">
        <v>9.0</v>
      </c>
      <c r="F28" s="60">
        <v>0.0</v>
      </c>
      <c r="G28" s="60">
        <v>36.0</v>
      </c>
      <c r="H28" s="60">
        <v>36.0</v>
      </c>
      <c r="I28" s="60">
        <v>36.0</v>
      </c>
      <c r="J28" s="60">
        <v>18.0</v>
      </c>
      <c r="K28" s="60">
        <v>18.0</v>
      </c>
      <c r="L28" s="60">
        <v>36.0</v>
      </c>
      <c r="M28" s="60">
        <v>36.0</v>
      </c>
      <c r="N28" s="60">
        <v>36.0</v>
      </c>
      <c r="O28" s="60">
        <v>36.0</v>
      </c>
      <c r="P28" s="60">
        <v>36.0</v>
      </c>
      <c r="Q28" s="60">
        <v>9.0</v>
      </c>
      <c r="R28" s="60">
        <v>18.0</v>
      </c>
      <c r="S28" s="60">
        <v>36.0</v>
      </c>
      <c r="T28" s="60">
        <v>36.0</v>
      </c>
      <c r="U28" s="60">
        <v>9.0</v>
      </c>
      <c r="V28" s="60">
        <v>0.0</v>
      </c>
      <c r="W28" s="60">
        <v>36.0</v>
      </c>
      <c r="X28" s="61">
        <v>0.0</v>
      </c>
      <c r="Y28" s="62">
        <v>25.0</v>
      </c>
      <c r="Z28" s="62">
        <v>25.0</v>
      </c>
      <c r="AA28" s="62">
        <v>25.0</v>
      </c>
      <c r="AB28" s="62">
        <v>25.0</v>
      </c>
      <c r="AC28" s="63">
        <v>16.0</v>
      </c>
      <c r="AD28" s="63">
        <v>25.0</v>
      </c>
      <c r="AE28" s="63">
        <v>8.0</v>
      </c>
      <c r="AF28" s="63">
        <v>25.0</v>
      </c>
      <c r="AG28" s="63">
        <v>25.0</v>
      </c>
      <c r="AH28" s="63">
        <v>16.0</v>
      </c>
      <c r="AI28" s="63">
        <v>25.0</v>
      </c>
      <c r="AJ28" s="63">
        <v>25.0</v>
      </c>
      <c r="AK28" s="63">
        <v>25.0</v>
      </c>
      <c r="AL28" s="63">
        <v>25.0</v>
      </c>
      <c r="AM28" s="63">
        <v>25.0</v>
      </c>
      <c r="AN28" s="63">
        <v>25.0</v>
      </c>
      <c r="AO28" s="63">
        <v>16.0</v>
      </c>
      <c r="AP28" s="63">
        <v>25.0</v>
      </c>
      <c r="AQ28" s="63">
        <v>25.0</v>
      </c>
      <c r="AR28" s="63">
        <v>25.0</v>
      </c>
      <c r="AS28" s="63">
        <v>25.0</v>
      </c>
      <c r="AT28" s="63">
        <v>25.0</v>
      </c>
      <c r="AV28" s="47"/>
      <c r="AW28" s="47"/>
      <c r="AX28" s="47"/>
      <c r="AY28" s="47"/>
      <c r="AZ28" s="47"/>
      <c r="BA28" s="47"/>
      <c r="BB28" s="47"/>
      <c r="BC28" s="354"/>
      <c r="BD28" s="47"/>
      <c r="BE28" s="47"/>
      <c r="BF28" s="361"/>
      <c r="BG28" s="14"/>
      <c r="BH28" s="47"/>
      <c r="BI28" s="47"/>
      <c r="BJ28" s="360"/>
      <c r="BK28" s="360"/>
    </row>
    <row r="29" ht="19.5" customHeight="1">
      <c r="A29" s="65"/>
      <c r="B29" s="24"/>
      <c r="C29" s="24"/>
      <c r="D29" s="66" t="s">
        <v>41</v>
      </c>
      <c r="E29" s="66" t="s">
        <v>41</v>
      </c>
      <c r="F29" s="66" t="s">
        <v>41</v>
      </c>
      <c r="G29" s="66" t="s">
        <v>42</v>
      </c>
      <c r="H29" s="66" t="s">
        <v>42</v>
      </c>
      <c r="I29" s="66" t="s">
        <v>43</v>
      </c>
      <c r="J29" s="66" t="s">
        <v>42</v>
      </c>
      <c r="K29" s="66" t="s">
        <v>42</v>
      </c>
      <c r="L29" s="66" t="s">
        <v>44</v>
      </c>
      <c r="M29" s="66" t="s">
        <v>42</v>
      </c>
      <c r="N29" s="66" t="s">
        <v>41</v>
      </c>
      <c r="O29" s="66" t="s">
        <v>41</v>
      </c>
      <c r="P29" s="66" t="s">
        <v>44</v>
      </c>
      <c r="Q29" s="66" t="s">
        <v>42</v>
      </c>
      <c r="R29" s="66" t="s">
        <v>43</v>
      </c>
      <c r="S29" s="66" t="s">
        <v>44</v>
      </c>
      <c r="T29" s="66" t="s">
        <v>44</v>
      </c>
      <c r="U29" s="66" t="s">
        <v>44</v>
      </c>
      <c r="V29" s="66" t="s">
        <v>41</v>
      </c>
      <c r="W29" s="66" t="s">
        <v>43</v>
      </c>
      <c r="X29" s="246" t="s">
        <v>42</v>
      </c>
      <c r="Y29" s="68" t="s">
        <v>44</v>
      </c>
      <c r="Z29" s="69" t="s">
        <v>43</v>
      </c>
      <c r="AA29" s="69" t="s">
        <v>41</v>
      </c>
      <c r="AB29" s="69" t="s">
        <v>43</v>
      </c>
      <c r="AC29" s="69" t="s">
        <v>41</v>
      </c>
      <c r="AD29" s="69" t="s">
        <v>41</v>
      </c>
      <c r="AE29" s="69" t="s">
        <v>42</v>
      </c>
      <c r="AF29" s="69" t="s">
        <v>44</v>
      </c>
      <c r="AG29" s="69" t="s">
        <v>43</v>
      </c>
      <c r="AH29" s="69" t="s">
        <v>44</v>
      </c>
      <c r="AI29" s="69" t="s">
        <v>41</v>
      </c>
      <c r="AJ29" s="69" t="s">
        <v>42</v>
      </c>
      <c r="AK29" s="69" t="s">
        <v>43</v>
      </c>
      <c r="AL29" s="69" t="s">
        <v>42</v>
      </c>
      <c r="AM29" s="69" t="s">
        <v>41</v>
      </c>
      <c r="AN29" s="69" t="s">
        <v>44</v>
      </c>
      <c r="AO29" s="69" t="s">
        <v>42</v>
      </c>
      <c r="AP29" s="69" t="s">
        <v>43</v>
      </c>
      <c r="AQ29" s="69" t="s">
        <v>44</v>
      </c>
      <c r="AR29" s="69" t="s">
        <v>41</v>
      </c>
      <c r="AS29" s="69" t="s">
        <v>41</v>
      </c>
      <c r="AT29" s="69" t="s">
        <v>42</v>
      </c>
      <c r="AV29" s="65"/>
      <c r="AW29" s="65"/>
      <c r="AX29" s="65"/>
      <c r="AY29" s="65"/>
      <c r="AZ29" s="65"/>
      <c r="BA29" s="65"/>
      <c r="BB29" s="65"/>
      <c r="BC29" s="354"/>
      <c r="BD29" s="65"/>
      <c r="BE29" s="65"/>
      <c r="BF29" s="362"/>
      <c r="BG29" s="24"/>
      <c r="BH29" s="65"/>
      <c r="BI29" s="65"/>
      <c r="BJ29" s="360"/>
      <c r="BK29" s="360"/>
    </row>
    <row r="30" ht="15.75" customHeight="1">
      <c r="A30" s="82">
        <v>1.0</v>
      </c>
      <c r="B30" s="71" t="s">
        <v>214</v>
      </c>
      <c r="C30" s="363" t="s">
        <v>170</v>
      </c>
      <c r="D30" s="364" t="s">
        <v>44</v>
      </c>
      <c r="E30" s="365" t="s">
        <v>42</v>
      </c>
      <c r="F30" s="365" t="s">
        <v>41</v>
      </c>
      <c r="G30" s="365" t="s">
        <v>44</v>
      </c>
      <c r="H30" s="365" t="s">
        <v>42</v>
      </c>
      <c r="I30" s="365" t="s">
        <v>43</v>
      </c>
      <c r="J30" s="365" t="s">
        <v>42</v>
      </c>
      <c r="K30" s="365" t="s">
        <v>42</v>
      </c>
      <c r="L30" s="365" t="s">
        <v>44</v>
      </c>
      <c r="M30" s="365" t="s">
        <v>41</v>
      </c>
      <c r="N30" s="365" t="s">
        <v>41</v>
      </c>
      <c r="O30" s="365" t="s">
        <v>42</v>
      </c>
      <c r="P30" s="365" t="s">
        <v>44</v>
      </c>
      <c r="Q30" s="365" t="s">
        <v>42</v>
      </c>
      <c r="R30" s="365" t="s">
        <v>43</v>
      </c>
      <c r="S30" s="365" t="s">
        <v>44</v>
      </c>
      <c r="T30" s="365" t="s">
        <v>44</v>
      </c>
      <c r="U30" s="365" t="s">
        <v>44</v>
      </c>
      <c r="V30" s="365" t="s">
        <v>41</v>
      </c>
      <c r="W30" s="365" t="s">
        <v>43</v>
      </c>
      <c r="X30" s="366" t="s">
        <v>42</v>
      </c>
      <c r="Y30" s="367" t="s">
        <v>44</v>
      </c>
      <c r="Z30" s="365" t="s">
        <v>43</v>
      </c>
      <c r="AA30" s="365" t="s">
        <v>42</v>
      </c>
      <c r="AB30" s="365" t="s">
        <v>43</v>
      </c>
      <c r="AC30" s="365" t="s">
        <v>41</v>
      </c>
      <c r="AD30" s="365" t="s">
        <v>42</v>
      </c>
      <c r="AE30" s="365" t="s">
        <v>42</v>
      </c>
      <c r="AF30" s="365" t="s">
        <v>44</v>
      </c>
      <c r="AG30" s="365" t="s">
        <v>43</v>
      </c>
      <c r="AH30" s="365" t="s">
        <v>44</v>
      </c>
      <c r="AI30" s="365" t="s">
        <v>41</v>
      </c>
      <c r="AJ30" s="365" t="s">
        <v>42</v>
      </c>
      <c r="AK30" s="365" t="s">
        <v>43</v>
      </c>
      <c r="AL30" s="365" t="s">
        <v>42</v>
      </c>
      <c r="AM30" s="365" t="s">
        <v>41</v>
      </c>
      <c r="AN30" s="365" t="s">
        <v>44</v>
      </c>
      <c r="AO30" s="365" t="s">
        <v>42</v>
      </c>
      <c r="AP30" s="365" t="s">
        <v>43</v>
      </c>
      <c r="AQ30" s="365" t="s">
        <v>44</v>
      </c>
      <c r="AR30" s="365" t="s">
        <v>41</v>
      </c>
      <c r="AS30" s="365" t="s">
        <v>41</v>
      </c>
      <c r="AT30" s="365" t="s">
        <v>42</v>
      </c>
      <c r="AU30" s="368"/>
      <c r="AV30" s="369" t="s">
        <v>44</v>
      </c>
      <c r="AW30" s="370">
        <v>3.0</v>
      </c>
      <c r="AX30" s="370">
        <v>3.0</v>
      </c>
      <c r="AY30" s="370">
        <v>3.0</v>
      </c>
      <c r="AZ30" s="370">
        <v>3.0</v>
      </c>
      <c r="BA30" s="371">
        <f t="shared" ref="BA30:BA58" si="1">(100/16)*((SUM(AW30:AZ30)))</f>
        <v>75</v>
      </c>
      <c r="BB30" s="372" t="str">
        <f t="shared" ref="BB30:BB58" si="2">IF((SUM(BA30))&lt;=25, "Abaixo do Básico", IF((SUM(BA30))&lt;=50, "Básico", IF((SUM(BA30))&lt;=75, "Adequado", "Avançado")))</f>
        <v>Adequado</v>
      </c>
      <c r="BC30" s="373"/>
      <c r="BD30" s="374">
        <f t="shared" ref="BD30:BD58" si="3">SUMPRODUCT(--(D30:X30=D$29:X$29))</f>
        <v>16</v>
      </c>
      <c r="BE30" s="374">
        <f t="shared" ref="BE30:BE58" si="4">SUMPRODUCT((D30:X30=D$29:X$29)*D$28:X$28)</f>
        <v>360</v>
      </c>
      <c r="BF30" s="375" t="str">
        <f t="shared" ref="BF30:BF58" si="5">IF((SUM(BE30))&lt;=125, "Abaixo do Básico", IF((SUM(BE30))&lt;=250, "Básico", IF((SUM(BE30))&lt;=375, "Adequado", "Avançado")))</f>
        <v>Adequado</v>
      </c>
      <c r="BG30" s="376">
        <f t="shared" ref="BG30:BG58" si="6">SUMPRODUCT(--(Y30:AT30=Y$29:AT$29))</f>
        <v>20</v>
      </c>
      <c r="BH30" s="374">
        <f t="shared" ref="BH30:BH58" si="7">SUMPRODUCT((Y30:AT30=Y$29:AT$29)*Y$28:AT$28)</f>
        <v>456</v>
      </c>
      <c r="BI30" s="377" t="str">
        <f t="shared" ref="BI30:BI58" si="8">IF((SUM(BH30))&lt;=125, "Abaixo do Básico", IF((SUM(BH30))&lt;=250, "Básico", IF((SUM(BH30))&lt;=375, "Adequado", "Avançado")))</f>
        <v>Avançado</v>
      </c>
      <c r="BJ30" s="25"/>
      <c r="BK30" s="25"/>
    </row>
    <row r="31" ht="15.75" customHeight="1">
      <c r="A31" s="82">
        <v>2.0</v>
      </c>
      <c r="B31" s="378" t="s">
        <v>215</v>
      </c>
      <c r="C31" s="363" t="s">
        <v>170</v>
      </c>
      <c r="D31" s="379" t="s">
        <v>41</v>
      </c>
      <c r="E31" s="365" t="s">
        <v>42</v>
      </c>
      <c r="F31" s="365" t="s">
        <v>43</v>
      </c>
      <c r="G31" s="365" t="s">
        <v>42</v>
      </c>
      <c r="H31" s="365" t="s">
        <v>42</v>
      </c>
      <c r="I31" s="365" t="s">
        <v>41</v>
      </c>
      <c r="J31" s="365" t="s">
        <v>44</v>
      </c>
      <c r="K31" s="365" t="s">
        <v>44</v>
      </c>
      <c r="L31" s="365" t="s">
        <v>42</v>
      </c>
      <c r="M31" s="365" t="s">
        <v>42</v>
      </c>
      <c r="N31" s="365" t="s">
        <v>44</v>
      </c>
      <c r="O31" s="365" t="s">
        <v>44</v>
      </c>
      <c r="P31" s="365" t="s">
        <v>44</v>
      </c>
      <c r="Q31" s="365" t="s">
        <v>42</v>
      </c>
      <c r="R31" s="365" t="s">
        <v>43</v>
      </c>
      <c r="S31" s="365" t="s">
        <v>44</v>
      </c>
      <c r="T31" s="365" t="s">
        <v>44</v>
      </c>
      <c r="U31" s="365" t="s">
        <v>44</v>
      </c>
      <c r="V31" s="365" t="s">
        <v>41</v>
      </c>
      <c r="W31" s="365" t="s">
        <v>41</v>
      </c>
      <c r="X31" s="366" t="s">
        <v>41</v>
      </c>
      <c r="Y31" s="367" t="s">
        <v>44</v>
      </c>
      <c r="Z31" s="365" t="s">
        <v>43</v>
      </c>
      <c r="AA31" s="365" t="s">
        <v>42</v>
      </c>
      <c r="AB31" s="365" t="s">
        <v>43</v>
      </c>
      <c r="AC31" s="365" t="s">
        <v>44</v>
      </c>
      <c r="AD31" s="365" t="s">
        <v>41</v>
      </c>
      <c r="AE31" s="365" t="s">
        <v>42</v>
      </c>
      <c r="AF31" s="365" t="s">
        <v>44</v>
      </c>
      <c r="AG31" s="365" t="s">
        <v>44</v>
      </c>
      <c r="AH31" s="365" t="s">
        <v>41</v>
      </c>
      <c r="AI31" s="365" t="s">
        <v>41</v>
      </c>
      <c r="AJ31" s="365" t="s">
        <v>42</v>
      </c>
      <c r="AK31" s="365" t="s">
        <v>43</v>
      </c>
      <c r="AL31" s="365" t="s">
        <v>42</v>
      </c>
      <c r="AM31" s="365" t="s">
        <v>41</v>
      </c>
      <c r="AN31" s="365" t="s">
        <v>44</v>
      </c>
      <c r="AO31" s="365" t="s">
        <v>42</v>
      </c>
      <c r="AP31" s="365" t="s">
        <v>43</v>
      </c>
      <c r="AQ31" s="365" t="s">
        <v>44</v>
      </c>
      <c r="AR31" s="365" t="s">
        <v>41</v>
      </c>
      <c r="AS31" s="365" t="s">
        <v>42</v>
      </c>
      <c r="AT31" s="365" t="s">
        <v>42</v>
      </c>
      <c r="AU31" s="368"/>
      <c r="AV31" s="369" t="s">
        <v>44</v>
      </c>
      <c r="AW31" s="370">
        <v>3.0</v>
      </c>
      <c r="AX31" s="370">
        <v>2.0</v>
      </c>
      <c r="AY31" s="370">
        <v>2.0</v>
      </c>
      <c r="AZ31" s="370">
        <v>2.0</v>
      </c>
      <c r="BA31" s="371">
        <f t="shared" si="1"/>
        <v>56.25</v>
      </c>
      <c r="BB31" s="372" t="str">
        <f t="shared" si="2"/>
        <v>Adequado</v>
      </c>
      <c r="BC31" s="373"/>
      <c r="BD31" s="374">
        <f t="shared" si="3"/>
        <v>11</v>
      </c>
      <c r="BE31" s="374">
        <f t="shared" si="4"/>
        <v>270</v>
      </c>
      <c r="BF31" s="375" t="str">
        <f t="shared" si="5"/>
        <v>Adequado</v>
      </c>
      <c r="BG31" s="376">
        <f t="shared" si="6"/>
        <v>17</v>
      </c>
      <c r="BH31" s="374">
        <f t="shared" si="7"/>
        <v>399</v>
      </c>
      <c r="BI31" s="377" t="str">
        <f t="shared" si="8"/>
        <v>Avançado</v>
      </c>
      <c r="BJ31" s="25"/>
      <c r="BK31" s="25"/>
    </row>
    <row r="32" ht="15.75" customHeight="1">
      <c r="A32" s="82">
        <v>3.0</v>
      </c>
      <c r="B32" s="378" t="s">
        <v>216</v>
      </c>
      <c r="C32" s="363" t="s">
        <v>170</v>
      </c>
      <c r="D32" s="379" t="s">
        <v>44</v>
      </c>
      <c r="E32" s="365" t="s">
        <v>42</v>
      </c>
      <c r="F32" s="365" t="s">
        <v>41</v>
      </c>
      <c r="G32" s="365" t="s">
        <v>42</v>
      </c>
      <c r="H32" s="365" t="s">
        <v>42</v>
      </c>
      <c r="I32" s="365" t="s">
        <v>43</v>
      </c>
      <c r="J32" s="365" t="s">
        <v>42</v>
      </c>
      <c r="K32" s="365" t="s">
        <v>42</v>
      </c>
      <c r="L32" s="365" t="s">
        <v>42</v>
      </c>
      <c r="M32" s="365" t="s">
        <v>43</v>
      </c>
      <c r="N32" s="365" t="s">
        <v>41</v>
      </c>
      <c r="O32" s="365" t="s">
        <v>42</v>
      </c>
      <c r="P32" s="365" t="s">
        <v>44</v>
      </c>
      <c r="Q32" s="365" t="s">
        <v>42</v>
      </c>
      <c r="R32" s="365" t="s">
        <v>43</v>
      </c>
      <c r="S32" s="365" t="s">
        <v>44</v>
      </c>
      <c r="T32" s="365" t="s">
        <v>44</v>
      </c>
      <c r="U32" s="365" t="s">
        <v>44</v>
      </c>
      <c r="V32" s="365" t="s">
        <v>41</v>
      </c>
      <c r="W32" s="365" t="s">
        <v>43</v>
      </c>
      <c r="X32" s="366" t="s">
        <v>42</v>
      </c>
      <c r="Y32" s="367" t="s">
        <v>44</v>
      </c>
      <c r="Z32" s="365" t="s">
        <v>43</v>
      </c>
      <c r="AA32" s="365" t="s">
        <v>42</v>
      </c>
      <c r="AB32" s="365" t="s">
        <v>43</v>
      </c>
      <c r="AC32" s="365" t="s">
        <v>41</v>
      </c>
      <c r="AD32" s="365" t="s">
        <v>43</v>
      </c>
      <c r="AE32" s="365" t="s">
        <v>42</v>
      </c>
      <c r="AF32" s="365" t="s">
        <v>44</v>
      </c>
      <c r="AG32" s="365" t="s">
        <v>42</v>
      </c>
      <c r="AH32" s="365" t="s">
        <v>44</v>
      </c>
      <c r="AI32" s="365" t="s">
        <v>41</v>
      </c>
      <c r="AJ32" s="365" t="s">
        <v>42</v>
      </c>
      <c r="AK32" s="365" t="s">
        <v>43</v>
      </c>
      <c r="AL32" s="365" t="s">
        <v>42</v>
      </c>
      <c r="AM32" s="365" t="s">
        <v>44</v>
      </c>
      <c r="AN32" s="365" t="s">
        <v>41</v>
      </c>
      <c r="AO32" s="365" t="s">
        <v>42</v>
      </c>
      <c r="AP32" s="365" t="s">
        <v>43</v>
      </c>
      <c r="AQ32" s="365" t="s">
        <v>44</v>
      </c>
      <c r="AR32" s="365" t="s">
        <v>41</v>
      </c>
      <c r="AS32" s="365" t="s">
        <v>41</v>
      </c>
      <c r="AT32" s="365" t="s">
        <v>42</v>
      </c>
      <c r="AU32" s="368"/>
      <c r="AV32" s="369" t="s">
        <v>44</v>
      </c>
      <c r="AW32" s="370">
        <v>2.0</v>
      </c>
      <c r="AX32" s="370">
        <v>1.0</v>
      </c>
      <c r="AY32" s="370">
        <v>1.0</v>
      </c>
      <c r="AZ32" s="370">
        <v>1.0</v>
      </c>
      <c r="BA32" s="371">
        <f t="shared" si="1"/>
        <v>31.25</v>
      </c>
      <c r="BB32" s="372" t="str">
        <f t="shared" si="2"/>
        <v>Básico</v>
      </c>
      <c r="BC32" s="373"/>
      <c r="BD32" s="374">
        <f t="shared" si="3"/>
        <v>16</v>
      </c>
      <c r="BE32" s="374">
        <f t="shared" si="4"/>
        <v>360</v>
      </c>
      <c r="BF32" s="375" t="str">
        <f t="shared" si="5"/>
        <v>Adequado</v>
      </c>
      <c r="BG32" s="376">
        <f t="shared" si="6"/>
        <v>17</v>
      </c>
      <c r="BH32" s="374">
        <f t="shared" si="7"/>
        <v>381</v>
      </c>
      <c r="BI32" s="377" t="str">
        <f t="shared" si="8"/>
        <v>Avançado</v>
      </c>
      <c r="BJ32" s="25"/>
      <c r="BK32" s="25"/>
    </row>
    <row r="33" ht="15.75" customHeight="1">
      <c r="A33" s="82">
        <v>4.0</v>
      </c>
      <c r="B33" s="378" t="s">
        <v>217</v>
      </c>
      <c r="C33" s="363" t="s">
        <v>170</v>
      </c>
      <c r="D33" s="379" t="s">
        <v>44</v>
      </c>
      <c r="E33" s="365" t="s">
        <v>42</v>
      </c>
      <c r="F33" s="365" t="s">
        <v>41</v>
      </c>
      <c r="G33" s="365" t="s">
        <v>44</v>
      </c>
      <c r="H33" s="365" t="s">
        <v>42</v>
      </c>
      <c r="I33" s="365" t="s">
        <v>44</v>
      </c>
      <c r="J33" s="365" t="s">
        <v>42</v>
      </c>
      <c r="K33" s="365" t="s">
        <v>42</v>
      </c>
      <c r="L33" s="365" t="s">
        <v>42</v>
      </c>
      <c r="M33" s="365" t="s">
        <v>44</v>
      </c>
      <c r="N33" s="365" t="s">
        <v>44</v>
      </c>
      <c r="O33" s="365" t="s">
        <v>44</v>
      </c>
      <c r="P33" s="365" t="s">
        <v>44</v>
      </c>
      <c r="Q33" s="365" t="s">
        <v>42</v>
      </c>
      <c r="R33" s="365" t="s">
        <v>43</v>
      </c>
      <c r="S33" s="365" t="s">
        <v>44</v>
      </c>
      <c r="T33" s="365" t="s">
        <v>44</v>
      </c>
      <c r="U33" s="365" t="s">
        <v>44</v>
      </c>
      <c r="V33" s="365" t="s">
        <v>41</v>
      </c>
      <c r="W33" s="365" t="s">
        <v>43</v>
      </c>
      <c r="X33" s="366" t="s">
        <v>42</v>
      </c>
      <c r="Y33" s="367" t="s">
        <v>44</v>
      </c>
      <c r="Z33" s="365" t="s">
        <v>43</v>
      </c>
      <c r="AA33" s="365" t="s">
        <v>42</v>
      </c>
      <c r="AB33" s="365" t="s">
        <v>43</v>
      </c>
      <c r="AC33" s="365" t="s">
        <v>41</v>
      </c>
      <c r="AD33" s="365" t="s">
        <v>42</v>
      </c>
      <c r="AE33" s="365" t="s">
        <v>42</v>
      </c>
      <c r="AF33" s="365" t="s">
        <v>44</v>
      </c>
      <c r="AG33" s="365" t="s">
        <v>43</v>
      </c>
      <c r="AH33" s="365" t="s">
        <v>44</v>
      </c>
      <c r="AI33" s="365" t="s">
        <v>41</v>
      </c>
      <c r="AJ33" s="365" t="s">
        <v>42</v>
      </c>
      <c r="AK33" s="365" t="s">
        <v>41</v>
      </c>
      <c r="AL33" s="365" t="s">
        <v>42</v>
      </c>
      <c r="AM33" s="365" t="s">
        <v>41</v>
      </c>
      <c r="AN33" s="365" t="s">
        <v>43</v>
      </c>
      <c r="AO33" s="365" t="s">
        <v>42</v>
      </c>
      <c r="AP33" s="365" t="s">
        <v>43</v>
      </c>
      <c r="AQ33" s="365" t="s">
        <v>44</v>
      </c>
      <c r="AR33" s="365" t="s">
        <v>41</v>
      </c>
      <c r="AS33" s="365" t="s">
        <v>41</v>
      </c>
      <c r="AT33" s="365" t="s">
        <v>42</v>
      </c>
      <c r="AU33" s="368"/>
      <c r="AV33" s="369" t="s">
        <v>44</v>
      </c>
      <c r="AW33" s="370">
        <v>4.0</v>
      </c>
      <c r="AX33" s="370">
        <v>3.0</v>
      </c>
      <c r="AY33" s="370">
        <v>3.0</v>
      </c>
      <c r="AZ33" s="370">
        <v>3.0</v>
      </c>
      <c r="BA33" s="371">
        <f t="shared" si="1"/>
        <v>81.25</v>
      </c>
      <c r="BB33" s="372" t="str">
        <f t="shared" si="2"/>
        <v>Avançado</v>
      </c>
      <c r="BC33" s="373"/>
      <c r="BD33" s="374">
        <f t="shared" si="3"/>
        <v>13</v>
      </c>
      <c r="BE33" s="374">
        <f t="shared" si="4"/>
        <v>252</v>
      </c>
      <c r="BF33" s="375" t="str">
        <f t="shared" si="5"/>
        <v>Adequado</v>
      </c>
      <c r="BG33" s="376">
        <f t="shared" si="6"/>
        <v>18</v>
      </c>
      <c r="BH33" s="374">
        <f t="shared" si="7"/>
        <v>406</v>
      </c>
      <c r="BI33" s="377" t="str">
        <f t="shared" si="8"/>
        <v>Avançado</v>
      </c>
      <c r="BJ33" s="25"/>
      <c r="BK33" s="25"/>
    </row>
    <row r="34" ht="15.75" customHeight="1">
      <c r="A34" s="82">
        <v>5.0</v>
      </c>
      <c r="B34" s="378" t="s">
        <v>218</v>
      </c>
      <c r="C34" s="363" t="s">
        <v>170</v>
      </c>
      <c r="D34" s="379" t="s">
        <v>43</v>
      </c>
      <c r="E34" s="365" t="s">
        <v>42</v>
      </c>
      <c r="F34" s="365" t="s">
        <v>42</v>
      </c>
      <c r="G34" s="365" t="s">
        <v>41</v>
      </c>
      <c r="H34" s="365" t="s">
        <v>42</v>
      </c>
      <c r="I34" s="365" t="s">
        <v>43</v>
      </c>
      <c r="J34" s="365" t="s">
        <v>43</v>
      </c>
      <c r="K34" s="365" t="s">
        <v>42</v>
      </c>
      <c r="L34" s="365" t="s">
        <v>44</v>
      </c>
      <c r="M34" s="365" t="s">
        <v>41</v>
      </c>
      <c r="N34" s="365" t="s">
        <v>41</v>
      </c>
      <c r="O34" s="365" t="s">
        <v>42</v>
      </c>
      <c r="P34" s="365" t="s">
        <v>44</v>
      </c>
      <c r="Q34" s="365" t="s">
        <v>43</v>
      </c>
      <c r="R34" s="365" t="s">
        <v>43</v>
      </c>
      <c r="S34" s="365" t="s">
        <v>44</v>
      </c>
      <c r="T34" s="365" t="s">
        <v>44</v>
      </c>
      <c r="U34" s="365" t="s">
        <v>44</v>
      </c>
      <c r="V34" s="365" t="s">
        <v>41</v>
      </c>
      <c r="W34" s="365" t="s">
        <v>43</v>
      </c>
      <c r="X34" s="366" t="s">
        <v>42</v>
      </c>
      <c r="Y34" s="367" t="s">
        <v>44</v>
      </c>
      <c r="Z34" s="365" t="s">
        <v>43</v>
      </c>
      <c r="AA34" s="365" t="s">
        <v>42</v>
      </c>
      <c r="AB34" s="365" t="s">
        <v>43</v>
      </c>
      <c r="AC34" s="365" t="s">
        <v>41</v>
      </c>
      <c r="AD34" s="365" t="s">
        <v>44</v>
      </c>
      <c r="AE34" s="365" t="s">
        <v>42</v>
      </c>
      <c r="AF34" s="365" t="s">
        <v>44</v>
      </c>
      <c r="AG34" s="365" t="s">
        <v>43</v>
      </c>
      <c r="AH34" s="365" t="s">
        <v>43</v>
      </c>
      <c r="AI34" s="365" t="s">
        <v>41</v>
      </c>
      <c r="AJ34" s="365" t="s">
        <v>42</v>
      </c>
      <c r="AK34" s="365" t="s">
        <v>43</v>
      </c>
      <c r="AL34" s="365" t="s">
        <v>42</v>
      </c>
      <c r="AM34" s="365" t="s">
        <v>41</v>
      </c>
      <c r="AN34" s="365" t="s">
        <v>44</v>
      </c>
      <c r="AO34" s="365" t="s">
        <v>42</v>
      </c>
      <c r="AP34" s="365" t="s">
        <v>43</v>
      </c>
      <c r="AQ34" s="365" t="s">
        <v>44</v>
      </c>
      <c r="AR34" s="365" t="s">
        <v>41</v>
      </c>
      <c r="AS34" s="365" t="s">
        <v>41</v>
      </c>
      <c r="AT34" s="365" t="s">
        <v>42</v>
      </c>
      <c r="AU34" s="368"/>
      <c r="AV34" s="369" t="s">
        <v>44</v>
      </c>
      <c r="AW34" s="370">
        <v>3.0</v>
      </c>
      <c r="AX34" s="370">
        <v>3.0</v>
      </c>
      <c r="AY34" s="370">
        <v>3.0</v>
      </c>
      <c r="AZ34" s="370">
        <v>3.0</v>
      </c>
      <c r="BA34" s="371">
        <f t="shared" si="1"/>
        <v>75</v>
      </c>
      <c r="BB34" s="372" t="str">
        <f t="shared" si="2"/>
        <v>Adequado</v>
      </c>
      <c r="BC34" s="373"/>
      <c r="BD34" s="374">
        <f t="shared" si="3"/>
        <v>13</v>
      </c>
      <c r="BE34" s="374">
        <f t="shared" si="4"/>
        <v>333</v>
      </c>
      <c r="BF34" s="375" t="str">
        <f t="shared" si="5"/>
        <v>Adequado</v>
      </c>
      <c r="BG34" s="376">
        <f t="shared" si="6"/>
        <v>19</v>
      </c>
      <c r="BH34" s="374">
        <f t="shared" si="7"/>
        <v>440</v>
      </c>
      <c r="BI34" s="377" t="str">
        <f t="shared" si="8"/>
        <v>Avançado</v>
      </c>
      <c r="BJ34" s="25"/>
      <c r="BK34" s="25"/>
    </row>
    <row r="35" ht="15.75" customHeight="1">
      <c r="A35" s="82">
        <v>6.0</v>
      </c>
      <c r="B35" s="378" t="s">
        <v>219</v>
      </c>
      <c r="C35" s="363" t="s">
        <v>170</v>
      </c>
      <c r="D35" s="379" t="s">
        <v>43</v>
      </c>
      <c r="E35" s="365" t="s">
        <v>42</v>
      </c>
      <c r="F35" s="365" t="s">
        <v>43</v>
      </c>
      <c r="G35" s="365" t="s">
        <v>42</v>
      </c>
      <c r="H35" s="365" t="s">
        <v>42</v>
      </c>
      <c r="I35" s="365" t="s">
        <v>43</v>
      </c>
      <c r="J35" s="365" t="s">
        <v>42</v>
      </c>
      <c r="K35" s="365" t="s">
        <v>41</v>
      </c>
      <c r="L35" s="365" t="s">
        <v>44</v>
      </c>
      <c r="M35" s="365" t="s">
        <v>41</v>
      </c>
      <c r="N35" s="365" t="s">
        <v>42</v>
      </c>
      <c r="O35" s="365" t="s">
        <v>42</v>
      </c>
      <c r="P35" s="365" t="s">
        <v>44</v>
      </c>
      <c r="Q35" s="365" t="s">
        <v>42</v>
      </c>
      <c r="R35" s="365" t="s">
        <v>43</v>
      </c>
      <c r="S35" s="365" t="s">
        <v>44</v>
      </c>
      <c r="T35" s="365" t="s">
        <v>44</v>
      </c>
      <c r="U35" s="365" t="s">
        <v>44</v>
      </c>
      <c r="V35" s="365" t="s">
        <v>41</v>
      </c>
      <c r="W35" s="365" t="s">
        <v>43</v>
      </c>
      <c r="X35" s="366" t="s">
        <v>41</v>
      </c>
      <c r="Y35" s="367" t="s">
        <v>44</v>
      </c>
      <c r="Z35" s="365" t="s">
        <v>43</v>
      </c>
      <c r="AA35" s="365" t="s">
        <v>41</v>
      </c>
      <c r="AB35" s="365" t="s">
        <v>43</v>
      </c>
      <c r="AC35" s="365" t="s">
        <v>41</v>
      </c>
      <c r="AD35" s="365" t="s">
        <v>41</v>
      </c>
      <c r="AE35" s="365" t="s">
        <v>42</v>
      </c>
      <c r="AF35" s="365" t="s">
        <v>44</v>
      </c>
      <c r="AG35" s="365" t="s">
        <v>43</v>
      </c>
      <c r="AH35" s="365" t="s">
        <v>44</v>
      </c>
      <c r="AI35" s="365" t="s">
        <v>41</v>
      </c>
      <c r="AJ35" s="365" t="s">
        <v>43</v>
      </c>
      <c r="AK35" s="365" t="s">
        <v>44</v>
      </c>
      <c r="AL35" s="365" t="s">
        <v>42</v>
      </c>
      <c r="AM35" s="365" t="s">
        <v>44</v>
      </c>
      <c r="AN35" s="365" t="s">
        <v>44</v>
      </c>
      <c r="AO35" s="365" t="s">
        <v>42</v>
      </c>
      <c r="AP35" s="365" t="s">
        <v>43</v>
      </c>
      <c r="AQ35" s="365" t="s">
        <v>44</v>
      </c>
      <c r="AR35" s="365" t="s">
        <v>41</v>
      </c>
      <c r="AS35" s="365" t="s">
        <v>41</v>
      </c>
      <c r="AT35" s="365" t="s">
        <v>44</v>
      </c>
      <c r="AU35" s="368"/>
      <c r="AV35" s="369" t="s">
        <v>44</v>
      </c>
      <c r="AW35" s="370">
        <v>3.0</v>
      </c>
      <c r="AX35" s="370">
        <v>2.0</v>
      </c>
      <c r="AY35" s="370">
        <v>2.0</v>
      </c>
      <c r="AZ35" s="370">
        <v>2.0</v>
      </c>
      <c r="BA35" s="371">
        <f t="shared" si="1"/>
        <v>56.25</v>
      </c>
      <c r="BB35" s="372" t="str">
        <f t="shared" si="2"/>
        <v>Adequado</v>
      </c>
      <c r="BC35" s="373"/>
      <c r="BD35" s="374">
        <f t="shared" si="3"/>
        <v>13</v>
      </c>
      <c r="BE35" s="374">
        <f t="shared" si="4"/>
        <v>342</v>
      </c>
      <c r="BF35" s="375" t="str">
        <f t="shared" si="5"/>
        <v>Adequado</v>
      </c>
      <c r="BG35" s="376">
        <f t="shared" si="6"/>
        <v>18</v>
      </c>
      <c r="BH35" s="374">
        <f t="shared" si="7"/>
        <v>406</v>
      </c>
      <c r="BI35" s="377" t="str">
        <f t="shared" si="8"/>
        <v>Avançado</v>
      </c>
      <c r="BJ35" s="25"/>
      <c r="BK35" s="25"/>
    </row>
    <row r="36" ht="15.75" customHeight="1">
      <c r="A36" s="82">
        <v>7.0</v>
      </c>
      <c r="B36" s="378" t="s">
        <v>220</v>
      </c>
      <c r="C36" s="363" t="s">
        <v>170</v>
      </c>
      <c r="D36" s="379" t="s">
        <v>43</v>
      </c>
      <c r="E36" s="365" t="s">
        <v>42</v>
      </c>
      <c r="F36" s="365" t="s">
        <v>41</v>
      </c>
      <c r="G36" s="365" t="s">
        <v>42</v>
      </c>
      <c r="H36" s="365" t="s">
        <v>43</v>
      </c>
      <c r="I36" s="365" t="s">
        <v>41</v>
      </c>
      <c r="J36" s="365" t="s">
        <v>42</v>
      </c>
      <c r="K36" s="365" t="s">
        <v>43</v>
      </c>
      <c r="L36" s="365" t="s">
        <v>44</v>
      </c>
      <c r="M36" s="365" t="s">
        <v>41</v>
      </c>
      <c r="N36" s="365" t="s">
        <v>42</v>
      </c>
      <c r="O36" s="365" t="s">
        <v>42</v>
      </c>
      <c r="P36" s="365" t="s">
        <v>44</v>
      </c>
      <c r="Q36" s="365" t="s">
        <v>42</v>
      </c>
      <c r="R36" s="365" t="s">
        <v>41</v>
      </c>
      <c r="S36" s="365" t="s">
        <v>44</v>
      </c>
      <c r="T36" s="365" t="s">
        <v>44</v>
      </c>
      <c r="U36" s="365" t="s">
        <v>42</v>
      </c>
      <c r="V36" s="365" t="s">
        <v>42</v>
      </c>
      <c r="W36" s="365" t="s">
        <v>41</v>
      </c>
      <c r="X36" s="366" t="s">
        <v>42</v>
      </c>
      <c r="Y36" s="367" t="s">
        <v>44</v>
      </c>
      <c r="Z36" s="365" t="s">
        <v>173</v>
      </c>
      <c r="AA36" s="365" t="s">
        <v>42</v>
      </c>
      <c r="AB36" s="365" t="s">
        <v>42</v>
      </c>
      <c r="AC36" s="365" t="s">
        <v>42</v>
      </c>
      <c r="AD36" s="365" t="s">
        <v>41</v>
      </c>
      <c r="AE36" s="365" t="s">
        <v>42</v>
      </c>
      <c r="AF36" s="365" t="s">
        <v>44</v>
      </c>
      <c r="AG36" s="365" t="s">
        <v>43</v>
      </c>
      <c r="AH36" s="365" t="s">
        <v>42</v>
      </c>
      <c r="AI36" s="365" t="s">
        <v>41</v>
      </c>
      <c r="AJ36" s="365" t="s">
        <v>42</v>
      </c>
      <c r="AK36" s="365" t="s">
        <v>42</v>
      </c>
      <c r="AL36" s="365" t="s">
        <v>44</v>
      </c>
      <c r="AM36" s="365" t="s">
        <v>41</v>
      </c>
      <c r="AN36" s="365" t="s">
        <v>44</v>
      </c>
      <c r="AO36" s="365" t="s">
        <v>42</v>
      </c>
      <c r="AP36" s="365" t="s">
        <v>42</v>
      </c>
      <c r="AQ36" s="365" t="s">
        <v>44</v>
      </c>
      <c r="AR36" s="365" t="s">
        <v>43</v>
      </c>
      <c r="AS36" s="365" t="s">
        <v>41</v>
      </c>
      <c r="AT36" s="365" t="s">
        <v>44</v>
      </c>
      <c r="AU36" s="368"/>
      <c r="AV36" s="369" t="s">
        <v>44</v>
      </c>
      <c r="AW36" s="370">
        <v>3.0</v>
      </c>
      <c r="AX36" s="370">
        <v>2.0</v>
      </c>
      <c r="AY36" s="370">
        <v>2.0</v>
      </c>
      <c r="AZ36" s="370">
        <v>2.0</v>
      </c>
      <c r="BA36" s="371">
        <f t="shared" si="1"/>
        <v>56.25</v>
      </c>
      <c r="BB36" s="372" t="str">
        <f t="shared" si="2"/>
        <v>Adequado</v>
      </c>
      <c r="BC36" s="373"/>
      <c r="BD36" s="374">
        <f t="shared" si="3"/>
        <v>9</v>
      </c>
      <c r="BE36" s="374">
        <f t="shared" si="4"/>
        <v>207</v>
      </c>
      <c r="BF36" s="375" t="str">
        <f t="shared" si="5"/>
        <v>Básico</v>
      </c>
      <c r="BG36" s="376">
        <f t="shared" si="6"/>
        <v>12</v>
      </c>
      <c r="BH36" s="374">
        <f t="shared" si="7"/>
        <v>274</v>
      </c>
      <c r="BI36" s="377" t="str">
        <f t="shared" si="8"/>
        <v>Adequado</v>
      </c>
      <c r="BJ36" s="25"/>
      <c r="BK36" s="25"/>
    </row>
    <row r="37" ht="15.75" customHeight="1">
      <c r="A37" s="82">
        <v>8.0</v>
      </c>
      <c r="B37" s="378" t="s">
        <v>221</v>
      </c>
      <c r="C37" s="363" t="s">
        <v>199</v>
      </c>
      <c r="D37" s="379" t="s">
        <v>43</v>
      </c>
      <c r="E37" s="365" t="s">
        <v>42</v>
      </c>
      <c r="F37" s="365" t="s">
        <v>43</v>
      </c>
      <c r="G37" s="365" t="s">
        <v>42</v>
      </c>
      <c r="H37" s="365" t="s">
        <v>43</v>
      </c>
      <c r="I37" s="365" t="s">
        <v>44</v>
      </c>
      <c r="J37" s="365" t="s">
        <v>42</v>
      </c>
      <c r="K37" s="365" t="s">
        <v>43</v>
      </c>
      <c r="L37" s="365" t="s">
        <v>42</v>
      </c>
      <c r="M37" s="365" t="s">
        <v>41</v>
      </c>
      <c r="N37" s="365" t="s">
        <v>41</v>
      </c>
      <c r="O37" s="365" t="s">
        <v>42</v>
      </c>
      <c r="P37" s="365" t="s">
        <v>44</v>
      </c>
      <c r="Q37" s="365" t="s">
        <v>42</v>
      </c>
      <c r="R37" s="365" t="s">
        <v>43</v>
      </c>
      <c r="S37" s="365" t="s">
        <v>44</v>
      </c>
      <c r="T37" s="365" t="s">
        <v>44</v>
      </c>
      <c r="U37" s="365" t="s">
        <v>41</v>
      </c>
      <c r="V37" s="365" t="s">
        <v>42</v>
      </c>
      <c r="W37" s="365" t="s">
        <v>41</v>
      </c>
      <c r="X37" s="366" t="s">
        <v>173</v>
      </c>
      <c r="Y37" s="367" t="s">
        <v>44</v>
      </c>
      <c r="Z37" s="365" t="s">
        <v>43</v>
      </c>
      <c r="AA37" s="365" t="s">
        <v>42</v>
      </c>
      <c r="AB37" s="365" t="s">
        <v>42</v>
      </c>
      <c r="AC37" s="365" t="s">
        <v>41</v>
      </c>
      <c r="AD37" s="365" t="s">
        <v>41</v>
      </c>
      <c r="AE37" s="365" t="s">
        <v>42</v>
      </c>
      <c r="AF37" s="365" t="s">
        <v>44</v>
      </c>
      <c r="AG37" s="365" t="s">
        <v>43</v>
      </c>
      <c r="AH37" s="365" t="s">
        <v>41</v>
      </c>
      <c r="AI37" s="365" t="s">
        <v>41</v>
      </c>
      <c r="AJ37" s="365" t="s">
        <v>42</v>
      </c>
      <c r="AK37" s="365" t="s">
        <v>42</v>
      </c>
      <c r="AL37" s="365" t="s">
        <v>42</v>
      </c>
      <c r="AM37" s="365" t="s">
        <v>41</v>
      </c>
      <c r="AN37" s="365" t="s">
        <v>44</v>
      </c>
      <c r="AO37" s="365" t="s">
        <v>43</v>
      </c>
      <c r="AP37" s="365" t="s">
        <v>41</v>
      </c>
      <c r="AQ37" s="365" t="s">
        <v>43</v>
      </c>
      <c r="AR37" s="365" t="s">
        <v>41</v>
      </c>
      <c r="AS37" s="365" t="s">
        <v>41</v>
      </c>
      <c r="AT37" s="365" t="s">
        <v>44</v>
      </c>
      <c r="AU37" s="368"/>
      <c r="AV37" s="369" t="s">
        <v>44</v>
      </c>
      <c r="AW37" s="370">
        <v>2.0</v>
      </c>
      <c r="AX37" s="370">
        <v>2.0</v>
      </c>
      <c r="AY37" s="370">
        <v>2.0</v>
      </c>
      <c r="AZ37" s="370">
        <v>2.0</v>
      </c>
      <c r="BA37" s="371">
        <f t="shared" si="1"/>
        <v>50</v>
      </c>
      <c r="BB37" s="372" t="str">
        <f t="shared" si="2"/>
        <v>Básico</v>
      </c>
      <c r="BC37" s="373"/>
      <c r="BD37" s="374">
        <f t="shared" si="3"/>
        <v>8</v>
      </c>
      <c r="BE37" s="374">
        <f t="shared" si="4"/>
        <v>225</v>
      </c>
      <c r="BF37" s="375" t="str">
        <f t="shared" si="5"/>
        <v>Básico</v>
      </c>
      <c r="BG37" s="376">
        <f t="shared" si="6"/>
        <v>14</v>
      </c>
      <c r="BH37" s="374">
        <f t="shared" si="7"/>
        <v>324</v>
      </c>
      <c r="BI37" s="377" t="str">
        <f t="shared" si="8"/>
        <v>Adequado</v>
      </c>
      <c r="BJ37" s="25"/>
      <c r="BK37" s="25"/>
    </row>
    <row r="38" ht="15.75" customHeight="1">
      <c r="A38" s="82">
        <v>9.0</v>
      </c>
      <c r="B38" s="378" t="s">
        <v>222</v>
      </c>
      <c r="C38" s="363" t="s">
        <v>170</v>
      </c>
      <c r="D38" s="379" t="s">
        <v>42</v>
      </c>
      <c r="E38" s="365" t="s">
        <v>42</v>
      </c>
      <c r="F38" s="365" t="s">
        <v>41</v>
      </c>
      <c r="G38" s="365" t="s">
        <v>44</v>
      </c>
      <c r="H38" s="365" t="s">
        <v>42</v>
      </c>
      <c r="I38" s="365" t="s">
        <v>44</v>
      </c>
      <c r="J38" s="365" t="s">
        <v>44</v>
      </c>
      <c r="K38" s="365" t="s">
        <v>41</v>
      </c>
      <c r="L38" s="365" t="s">
        <v>44</v>
      </c>
      <c r="M38" s="365" t="s">
        <v>44</v>
      </c>
      <c r="N38" s="365" t="s">
        <v>41</v>
      </c>
      <c r="O38" s="365" t="s">
        <v>44</v>
      </c>
      <c r="P38" s="365" t="s">
        <v>44</v>
      </c>
      <c r="Q38" s="365" t="s">
        <v>41</v>
      </c>
      <c r="R38" s="365" t="s">
        <v>43</v>
      </c>
      <c r="S38" s="365" t="s">
        <v>44</v>
      </c>
      <c r="T38" s="365" t="s">
        <v>44</v>
      </c>
      <c r="U38" s="365" t="s">
        <v>44</v>
      </c>
      <c r="V38" s="365" t="s">
        <v>41</v>
      </c>
      <c r="W38" s="365" t="s">
        <v>43</v>
      </c>
      <c r="X38" s="366" t="s">
        <v>42</v>
      </c>
      <c r="Y38" s="367" t="s">
        <v>44</v>
      </c>
      <c r="Z38" s="365" t="s">
        <v>43</v>
      </c>
      <c r="AA38" s="365" t="s">
        <v>42</v>
      </c>
      <c r="AB38" s="365" t="s">
        <v>43</v>
      </c>
      <c r="AC38" s="365" t="s">
        <v>41</v>
      </c>
      <c r="AD38" s="365" t="s">
        <v>44</v>
      </c>
      <c r="AE38" s="365" t="s">
        <v>41</v>
      </c>
      <c r="AF38" s="365" t="s">
        <v>44</v>
      </c>
      <c r="AG38" s="365" t="s">
        <v>43</v>
      </c>
      <c r="AH38" s="365" t="s">
        <v>42</v>
      </c>
      <c r="AI38" s="365" t="s">
        <v>41</v>
      </c>
      <c r="AJ38" s="365" t="s">
        <v>42</v>
      </c>
      <c r="AK38" s="365" t="s">
        <v>41</v>
      </c>
      <c r="AL38" s="365" t="s">
        <v>42</v>
      </c>
      <c r="AM38" s="365" t="s">
        <v>41</v>
      </c>
      <c r="AN38" s="365" t="s">
        <v>44</v>
      </c>
      <c r="AO38" s="365" t="s">
        <v>42</v>
      </c>
      <c r="AP38" s="365" t="s">
        <v>44</v>
      </c>
      <c r="AQ38" s="365" t="s">
        <v>44</v>
      </c>
      <c r="AR38" s="365" t="s">
        <v>41</v>
      </c>
      <c r="AS38" s="365" t="s">
        <v>42</v>
      </c>
      <c r="AT38" s="365" t="s">
        <v>41</v>
      </c>
      <c r="AU38" s="380"/>
      <c r="AV38" s="369" t="s">
        <v>44</v>
      </c>
      <c r="AW38" s="370">
        <v>3.0</v>
      </c>
      <c r="AX38" s="370">
        <v>2.0</v>
      </c>
      <c r="AY38" s="370">
        <v>2.0</v>
      </c>
      <c r="AZ38" s="370">
        <v>2.0</v>
      </c>
      <c r="BA38" s="371">
        <f t="shared" si="1"/>
        <v>56.25</v>
      </c>
      <c r="BB38" s="372" t="str">
        <f t="shared" si="2"/>
        <v>Adequado</v>
      </c>
      <c r="BC38" s="373"/>
      <c r="BD38" s="374">
        <f t="shared" si="3"/>
        <v>12</v>
      </c>
      <c r="BE38" s="374">
        <f t="shared" si="4"/>
        <v>279</v>
      </c>
      <c r="BF38" s="375" t="str">
        <f t="shared" si="5"/>
        <v>Adequado</v>
      </c>
      <c r="BG38" s="376">
        <f t="shared" si="6"/>
        <v>14</v>
      </c>
      <c r="BH38" s="374">
        <f t="shared" si="7"/>
        <v>332</v>
      </c>
      <c r="BI38" s="377" t="str">
        <f t="shared" si="8"/>
        <v>Adequado</v>
      </c>
      <c r="BJ38" s="25"/>
      <c r="BK38" s="25"/>
    </row>
    <row r="39" ht="15.75" customHeight="1">
      <c r="A39" s="82">
        <v>10.0</v>
      </c>
      <c r="B39" s="378" t="s">
        <v>223</v>
      </c>
      <c r="C39" s="363" t="s">
        <v>170</v>
      </c>
      <c r="D39" s="379" t="s">
        <v>44</v>
      </c>
      <c r="E39" s="365" t="s">
        <v>42</v>
      </c>
      <c r="F39" s="365" t="s">
        <v>43</v>
      </c>
      <c r="G39" s="365" t="s">
        <v>42</v>
      </c>
      <c r="H39" s="365" t="s">
        <v>43</v>
      </c>
      <c r="I39" s="365" t="s">
        <v>43</v>
      </c>
      <c r="J39" s="365" t="s">
        <v>44</v>
      </c>
      <c r="K39" s="365" t="s">
        <v>42</v>
      </c>
      <c r="L39" s="365" t="s">
        <v>44</v>
      </c>
      <c r="M39" s="365" t="s">
        <v>42</v>
      </c>
      <c r="N39" s="365" t="s">
        <v>41</v>
      </c>
      <c r="O39" s="365" t="s">
        <v>44</v>
      </c>
      <c r="P39" s="365" t="s">
        <v>44</v>
      </c>
      <c r="Q39" s="365" t="s">
        <v>42</v>
      </c>
      <c r="R39" s="365" t="s">
        <v>43</v>
      </c>
      <c r="S39" s="365" t="s">
        <v>43</v>
      </c>
      <c r="T39" s="365" t="s">
        <v>44</v>
      </c>
      <c r="U39" s="365" t="s">
        <v>44</v>
      </c>
      <c r="V39" s="365" t="s">
        <v>41</v>
      </c>
      <c r="W39" s="365" t="s">
        <v>43</v>
      </c>
      <c r="X39" s="366" t="s">
        <v>42</v>
      </c>
      <c r="Y39" s="367" t="s">
        <v>44</v>
      </c>
      <c r="Z39" s="365" t="s">
        <v>43</v>
      </c>
      <c r="AA39" s="365" t="s">
        <v>42</v>
      </c>
      <c r="AB39" s="365" t="s">
        <v>43</v>
      </c>
      <c r="AC39" s="365" t="s">
        <v>41</v>
      </c>
      <c r="AD39" s="365" t="s">
        <v>43</v>
      </c>
      <c r="AE39" s="365" t="s">
        <v>42</v>
      </c>
      <c r="AF39" s="365" t="s">
        <v>44</v>
      </c>
      <c r="AG39" s="365" t="s">
        <v>43</v>
      </c>
      <c r="AH39" s="365" t="s">
        <v>44</v>
      </c>
      <c r="AI39" s="365" t="s">
        <v>41</v>
      </c>
      <c r="AJ39" s="365" t="s">
        <v>42</v>
      </c>
      <c r="AK39" s="365" t="s">
        <v>43</v>
      </c>
      <c r="AL39" s="365" t="s">
        <v>42</v>
      </c>
      <c r="AM39" s="365" t="s">
        <v>44</v>
      </c>
      <c r="AN39" s="365" t="s">
        <v>44</v>
      </c>
      <c r="AO39" s="365" t="s">
        <v>42</v>
      </c>
      <c r="AP39" s="365" t="s">
        <v>43</v>
      </c>
      <c r="AQ39" s="365" t="s">
        <v>44</v>
      </c>
      <c r="AR39" s="365" t="s">
        <v>41</v>
      </c>
      <c r="AS39" s="365" t="s">
        <v>41</v>
      </c>
      <c r="AT39" s="365" t="s">
        <v>42</v>
      </c>
      <c r="AU39" s="368"/>
      <c r="AV39" s="369" t="s">
        <v>44</v>
      </c>
      <c r="AW39" s="370">
        <v>4.0</v>
      </c>
      <c r="AX39" s="370">
        <v>3.0</v>
      </c>
      <c r="AY39" s="370">
        <v>3.0</v>
      </c>
      <c r="AZ39" s="370">
        <v>3.0</v>
      </c>
      <c r="BA39" s="371">
        <f t="shared" si="1"/>
        <v>81.25</v>
      </c>
      <c r="BB39" s="372" t="str">
        <f t="shared" si="2"/>
        <v>Avançado</v>
      </c>
      <c r="BC39" s="373"/>
      <c r="BD39" s="374">
        <f t="shared" si="3"/>
        <v>14</v>
      </c>
      <c r="BE39" s="374">
        <f t="shared" si="4"/>
        <v>342</v>
      </c>
      <c r="BF39" s="375" t="str">
        <f t="shared" si="5"/>
        <v>Adequado</v>
      </c>
      <c r="BG39" s="376">
        <f t="shared" si="6"/>
        <v>19</v>
      </c>
      <c r="BH39" s="374">
        <f t="shared" si="7"/>
        <v>431</v>
      </c>
      <c r="BI39" s="377" t="str">
        <f t="shared" si="8"/>
        <v>Avançado</v>
      </c>
      <c r="BJ39" s="25"/>
      <c r="BK39" s="25"/>
    </row>
    <row r="40" ht="15.75" customHeight="1">
      <c r="A40" s="82">
        <v>11.0</v>
      </c>
      <c r="B40" s="378" t="s">
        <v>224</v>
      </c>
      <c r="C40" s="363" t="s">
        <v>170</v>
      </c>
      <c r="D40" s="379" t="s">
        <v>44</v>
      </c>
      <c r="E40" s="365" t="s">
        <v>42</v>
      </c>
      <c r="F40" s="365" t="s">
        <v>42</v>
      </c>
      <c r="G40" s="365" t="s">
        <v>41</v>
      </c>
      <c r="H40" s="365" t="s">
        <v>43</v>
      </c>
      <c r="I40" s="365" t="s">
        <v>44</v>
      </c>
      <c r="J40" s="365" t="s">
        <v>42</v>
      </c>
      <c r="K40" s="365" t="s">
        <v>43</v>
      </c>
      <c r="L40" s="365" t="s">
        <v>44</v>
      </c>
      <c r="M40" s="365" t="s">
        <v>43</v>
      </c>
      <c r="N40" s="365" t="s">
        <v>41</v>
      </c>
      <c r="O40" s="365" t="s">
        <v>44</v>
      </c>
      <c r="P40" s="365" t="s">
        <v>44</v>
      </c>
      <c r="Q40" s="365" t="s">
        <v>42</v>
      </c>
      <c r="R40" s="365" t="s">
        <v>43</v>
      </c>
      <c r="S40" s="365" t="s">
        <v>43</v>
      </c>
      <c r="T40" s="365" t="s">
        <v>44</v>
      </c>
      <c r="U40" s="365" t="s">
        <v>44</v>
      </c>
      <c r="V40" s="365" t="s">
        <v>41</v>
      </c>
      <c r="W40" s="365" t="s">
        <v>43</v>
      </c>
      <c r="X40" s="366" t="s">
        <v>42</v>
      </c>
      <c r="Y40" s="367" t="s">
        <v>41</v>
      </c>
      <c r="Z40" s="365" t="s">
        <v>41</v>
      </c>
      <c r="AA40" s="365" t="s">
        <v>42</v>
      </c>
      <c r="AB40" s="365" t="s">
        <v>42</v>
      </c>
      <c r="AC40" s="365" t="s">
        <v>41</v>
      </c>
      <c r="AD40" s="365" t="s">
        <v>42</v>
      </c>
      <c r="AE40" s="365" t="s">
        <v>42</v>
      </c>
      <c r="AF40" s="365" t="s">
        <v>42</v>
      </c>
      <c r="AG40" s="365" t="s">
        <v>44</v>
      </c>
      <c r="AH40" s="365" t="s">
        <v>41</v>
      </c>
      <c r="AI40" s="365" t="s">
        <v>41</v>
      </c>
      <c r="AJ40" s="365" t="s">
        <v>44</v>
      </c>
      <c r="AK40" s="365" t="s">
        <v>41</v>
      </c>
      <c r="AL40" s="365" t="s">
        <v>42</v>
      </c>
      <c r="AM40" s="365" t="s">
        <v>44</v>
      </c>
      <c r="AN40" s="365" t="s">
        <v>43</v>
      </c>
      <c r="AO40" s="365" t="s">
        <v>42</v>
      </c>
      <c r="AP40" s="365" t="s">
        <v>43</v>
      </c>
      <c r="AQ40" s="365" t="s">
        <v>44</v>
      </c>
      <c r="AR40" s="365" t="s">
        <v>41</v>
      </c>
      <c r="AS40" s="365" t="s">
        <v>42</v>
      </c>
      <c r="AT40" s="365" t="s">
        <v>41</v>
      </c>
      <c r="AU40" s="368"/>
      <c r="AV40" s="369" t="s">
        <v>44</v>
      </c>
      <c r="AW40" s="370">
        <v>3.0</v>
      </c>
      <c r="AX40" s="370">
        <v>2.0</v>
      </c>
      <c r="AY40" s="370">
        <v>2.0</v>
      </c>
      <c r="AZ40" s="370">
        <v>2.0</v>
      </c>
      <c r="BA40" s="371">
        <f t="shared" si="1"/>
        <v>56.25</v>
      </c>
      <c r="BB40" s="372" t="str">
        <f t="shared" si="2"/>
        <v>Adequado</v>
      </c>
      <c r="BC40" s="373"/>
      <c r="BD40" s="374">
        <f t="shared" si="3"/>
        <v>11</v>
      </c>
      <c r="BE40" s="374">
        <f t="shared" si="4"/>
        <v>234</v>
      </c>
      <c r="BF40" s="375" t="str">
        <f t="shared" si="5"/>
        <v>Básico</v>
      </c>
      <c r="BG40" s="376">
        <f t="shared" si="6"/>
        <v>8</v>
      </c>
      <c r="BH40" s="374">
        <f t="shared" si="7"/>
        <v>165</v>
      </c>
      <c r="BI40" s="377" t="str">
        <f t="shared" si="8"/>
        <v>Básico</v>
      </c>
      <c r="BJ40" s="25"/>
      <c r="BK40" s="25"/>
    </row>
    <row r="41" ht="15.75" customHeight="1">
      <c r="A41" s="82">
        <v>12.0</v>
      </c>
      <c r="B41" s="378" t="s">
        <v>225</v>
      </c>
      <c r="C41" s="363" t="s">
        <v>170</v>
      </c>
      <c r="D41" s="379" t="s">
        <v>42</v>
      </c>
      <c r="E41" s="365" t="s">
        <v>44</v>
      </c>
      <c r="F41" s="365" t="s">
        <v>41</v>
      </c>
      <c r="G41" s="365" t="s">
        <v>43</v>
      </c>
      <c r="H41" s="365" t="s">
        <v>42</v>
      </c>
      <c r="I41" s="365" t="s">
        <v>44</v>
      </c>
      <c r="J41" s="365" t="s">
        <v>41</v>
      </c>
      <c r="K41" s="365" t="s">
        <v>173</v>
      </c>
      <c r="L41" s="365" t="s">
        <v>42</v>
      </c>
      <c r="M41" s="365" t="s">
        <v>43</v>
      </c>
      <c r="N41" s="365" t="s">
        <v>44</v>
      </c>
      <c r="O41" s="365" t="s">
        <v>44</v>
      </c>
      <c r="P41" s="365" t="s">
        <v>41</v>
      </c>
      <c r="Q41" s="365" t="s">
        <v>42</v>
      </c>
      <c r="R41" s="365" t="s">
        <v>43</v>
      </c>
      <c r="S41" s="365" t="s">
        <v>44</v>
      </c>
      <c r="T41" s="365" t="s">
        <v>41</v>
      </c>
      <c r="U41" s="365" t="s">
        <v>42</v>
      </c>
      <c r="V41" s="365" t="s">
        <v>43</v>
      </c>
      <c r="W41" s="365" t="s">
        <v>44</v>
      </c>
      <c r="X41" s="366" t="s">
        <v>41</v>
      </c>
      <c r="Y41" s="367" t="s">
        <v>44</v>
      </c>
      <c r="Z41" s="365" t="s">
        <v>41</v>
      </c>
      <c r="AA41" s="365" t="s">
        <v>42</v>
      </c>
      <c r="AB41" s="365" t="s">
        <v>43</v>
      </c>
      <c r="AC41" s="365" t="s">
        <v>44</v>
      </c>
      <c r="AD41" s="365" t="s">
        <v>41</v>
      </c>
      <c r="AE41" s="365" t="s">
        <v>173</v>
      </c>
      <c r="AF41" s="365" t="s">
        <v>42</v>
      </c>
      <c r="AG41" s="365" t="s">
        <v>43</v>
      </c>
      <c r="AH41" s="365" t="s">
        <v>41</v>
      </c>
      <c r="AI41" s="365" t="s">
        <v>44</v>
      </c>
      <c r="AJ41" s="365" t="s">
        <v>41</v>
      </c>
      <c r="AK41" s="365" t="s">
        <v>42</v>
      </c>
      <c r="AL41" s="365" t="s">
        <v>43</v>
      </c>
      <c r="AM41" s="365" t="s">
        <v>44</v>
      </c>
      <c r="AN41" s="365" t="s">
        <v>41</v>
      </c>
      <c r="AO41" s="365" t="s">
        <v>42</v>
      </c>
      <c r="AP41" s="365" t="s">
        <v>43</v>
      </c>
      <c r="AQ41" s="365" t="s">
        <v>41</v>
      </c>
      <c r="AR41" s="365" t="s">
        <v>42</v>
      </c>
      <c r="AS41" s="365" t="s">
        <v>44</v>
      </c>
      <c r="AT41" s="365" t="s">
        <v>43</v>
      </c>
      <c r="AU41" s="368"/>
      <c r="AV41" s="369" t="s">
        <v>41</v>
      </c>
      <c r="AW41" s="370" t="s">
        <v>173</v>
      </c>
      <c r="AX41" s="370" t="s">
        <v>173</v>
      </c>
      <c r="AY41" s="370" t="s">
        <v>173</v>
      </c>
      <c r="AZ41" s="370" t="s">
        <v>173</v>
      </c>
      <c r="BA41" s="371">
        <f t="shared" si="1"/>
        <v>0</v>
      </c>
      <c r="BB41" s="372" t="str">
        <f t="shared" si="2"/>
        <v>Abaixo do Básico</v>
      </c>
      <c r="BC41" s="373"/>
      <c r="BD41" s="374">
        <f t="shared" si="3"/>
        <v>5</v>
      </c>
      <c r="BE41" s="374">
        <f t="shared" si="4"/>
        <v>99</v>
      </c>
      <c r="BF41" s="375" t="str">
        <f t="shared" si="5"/>
        <v>Abaixo do Básico</v>
      </c>
      <c r="BG41" s="376">
        <f t="shared" si="6"/>
        <v>6</v>
      </c>
      <c r="BH41" s="374">
        <f t="shared" si="7"/>
        <v>141</v>
      </c>
      <c r="BI41" s="377" t="str">
        <f t="shared" si="8"/>
        <v>Básico</v>
      </c>
      <c r="BJ41" s="25"/>
      <c r="BK41" s="25"/>
    </row>
    <row r="42" ht="15.75" customHeight="1">
      <c r="A42" s="82">
        <v>13.0</v>
      </c>
      <c r="B42" s="378" t="s">
        <v>226</v>
      </c>
      <c r="C42" s="363" t="s">
        <v>170</v>
      </c>
      <c r="D42" s="379" t="s">
        <v>44</v>
      </c>
      <c r="E42" s="365" t="s">
        <v>44</v>
      </c>
      <c r="F42" s="365" t="s">
        <v>43</v>
      </c>
      <c r="G42" s="365" t="s">
        <v>42</v>
      </c>
      <c r="H42" s="365" t="s">
        <v>42</v>
      </c>
      <c r="I42" s="365" t="s">
        <v>44</v>
      </c>
      <c r="J42" s="365" t="s">
        <v>42</v>
      </c>
      <c r="K42" s="365" t="s">
        <v>43</v>
      </c>
      <c r="L42" s="365" t="s">
        <v>42</v>
      </c>
      <c r="M42" s="365" t="s">
        <v>44</v>
      </c>
      <c r="N42" s="365" t="s">
        <v>41</v>
      </c>
      <c r="O42" s="365" t="s">
        <v>42</v>
      </c>
      <c r="P42" s="365" t="s">
        <v>44</v>
      </c>
      <c r="Q42" s="365" t="s">
        <v>42</v>
      </c>
      <c r="R42" s="365" t="s">
        <v>43</v>
      </c>
      <c r="S42" s="365" t="s">
        <v>44</v>
      </c>
      <c r="T42" s="365" t="s">
        <v>44</v>
      </c>
      <c r="U42" s="365" t="s">
        <v>44</v>
      </c>
      <c r="V42" s="365" t="s">
        <v>41</v>
      </c>
      <c r="W42" s="365" t="s">
        <v>43</v>
      </c>
      <c r="X42" s="366" t="s">
        <v>42</v>
      </c>
      <c r="Y42" s="367" t="s">
        <v>44</v>
      </c>
      <c r="Z42" s="365" t="s">
        <v>43</v>
      </c>
      <c r="AA42" s="365" t="s">
        <v>42</v>
      </c>
      <c r="AB42" s="365" t="s">
        <v>43</v>
      </c>
      <c r="AC42" s="365" t="s">
        <v>42</v>
      </c>
      <c r="AD42" s="365" t="s">
        <v>41</v>
      </c>
      <c r="AE42" s="365" t="s">
        <v>41</v>
      </c>
      <c r="AF42" s="365" t="s">
        <v>44</v>
      </c>
      <c r="AG42" s="365" t="s">
        <v>43</v>
      </c>
      <c r="AH42" s="365" t="s">
        <v>44</v>
      </c>
      <c r="AI42" s="365" t="s">
        <v>41</v>
      </c>
      <c r="AJ42" s="365" t="s">
        <v>42</v>
      </c>
      <c r="AK42" s="365" t="s">
        <v>43</v>
      </c>
      <c r="AL42" s="365" t="s">
        <v>44</v>
      </c>
      <c r="AM42" s="365" t="s">
        <v>41</v>
      </c>
      <c r="AN42" s="365" t="s">
        <v>44</v>
      </c>
      <c r="AO42" s="365" t="s">
        <v>42</v>
      </c>
      <c r="AP42" s="365" t="s">
        <v>43</v>
      </c>
      <c r="AQ42" s="365" t="s">
        <v>44</v>
      </c>
      <c r="AR42" s="365" t="s">
        <v>41</v>
      </c>
      <c r="AS42" s="365" t="s">
        <v>41</v>
      </c>
      <c r="AT42" s="365" t="s">
        <v>42</v>
      </c>
      <c r="AU42" s="368"/>
      <c r="AV42" s="369" t="s">
        <v>44</v>
      </c>
      <c r="AW42" s="370">
        <v>2.0</v>
      </c>
      <c r="AX42" s="370">
        <v>2.0</v>
      </c>
      <c r="AY42" s="370">
        <v>2.0</v>
      </c>
      <c r="AZ42" s="370">
        <v>2.0</v>
      </c>
      <c r="BA42" s="371">
        <f t="shared" si="1"/>
        <v>50</v>
      </c>
      <c r="BB42" s="372" t="str">
        <f t="shared" si="2"/>
        <v>Básico</v>
      </c>
      <c r="BC42" s="373"/>
      <c r="BD42" s="374">
        <f t="shared" si="3"/>
        <v>13</v>
      </c>
      <c r="BE42" s="374">
        <f t="shared" si="4"/>
        <v>306</v>
      </c>
      <c r="BF42" s="375" t="str">
        <f t="shared" si="5"/>
        <v>Adequado</v>
      </c>
      <c r="BG42" s="376">
        <f t="shared" si="6"/>
        <v>18</v>
      </c>
      <c r="BH42" s="374">
        <f t="shared" si="7"/>
        <v>432</v>
      </c>
      <c r="BI42" s="377" t="str">
        <f t="shared" si="8"/>
        <v>Avançado</v>
      </c>
      <c r="BJ42" s="25"/>
      <c r="BK42" s="25"/>
    </row>
    <row r="43" ht="15.75" customHeight="1">
      <c r="A43" s="82">
        <v>14.0</v>
      </c>
      <c r="B43" s="378" t="s">
        <v>227</v>
      </c>
      <c r="C43" s="363" t="s">
        <v>170</v>
      </c>
      <c r="D43" s="379" t="s">
        <v>44</v>
      </c>
      <c r="E43" s="365" t="s">
        <v>41</v>
      </c>
      <c r="F43" s="365" t="s">
        <v>43</v>
      </c>
      <c r="G43" s="365" t="s">
        <v>44</v>
      </c>
      <c r="H43" s="365" t="s">
        <v>42</v>
      </c>
      <c r="I43" s="365" t="s">
        <v>43</v>
      </c>
      <c r="J43" s="365" t="s">
        <v>41</v>
      </c>
      <c r="K43" s="365" t="s">
        <v>42</v>
      </c>
      <c r="L43" s="365" t="s">
        <v>44</v>
      </c>
      <c r="M43" s="365" t="s">
        <v>41</v>
      </c>
      <c r="N43" s="365" t="s">
        <v>44</v>
      </c>
      <c r="O43" s="365" t="s">
        <v>44</v>
      </c>
      <c r="P43" s="365" t="s">
        <v>44</v>
      </c>
      <c r="Q43" s="365" t="s">
        <v>42</v>
      </c>
      <c r="R43" s="365" t="s">
        <v>43</v>
      </c>
      <c r="S43" s="365" t="s">
        <v>44</v>
      </c>
      <c r="T43" s="365" t="s">
        <v>44</v>
      </c>
      <c r="U43" s="365" t="s">
        <v>44</v>
      </c>
      <c r="V43" s="365" t="s">
        <v>41</v>
      </c>
      <c r="W43" s="365" t="s">
        <v>43</v>
      </c>
      <c r="X43" s="366" t="s">
        <v>42</v>
      </c>
      <c r="Y43" s="367" t="s">
        <v>44</v>
      </c>
      <c r="Z43" s="365" t="s">
        <v>43</v>
      </c>
      <c r="AA43" s="365" t="s">
        <v>42</v>
      </c>
      <c r="AB43" s="365" t="s">
        <v>43</v>
      </c>
      <c r="AC43" s="365" t="s">
        <v>41</v>
      </c>
      <c r="AD43" s="365" t="s">
        <v>41</v>
      </c>
      <c r="AE43" s="365" t="s">
        <v>42</v>
      </c>
      <c r="AF43" s="365" t="s">
        <v>44</v>
      </c>
      <c r="AG43" s="365" t="s">
        <v>43</v>
      </c>
      <c r="AH43" s="365" t="s">
        <v>44</v>
      </c>
      <c r="AI43" s="365" t="s">
        <v>41</v>
      </c>
      <c r="AJ43" s="365" t="s">
        <v>42</v>
      </c>
      <c r="AK43" s="365" t="s">
        <v>43</v>
      </c>
      <c r="AL43" s="365" t="s">
        <v>42</v>
      </c>
      <c r="AM43" s="365" t="s">
        <v>41</v>
      </c>
      <c r="AN43" s="365" t="s">
        <v>44</v>
      </c>
      <c r="AO43" s="365" t="s">
        <v>42</v>
      </c>
      <c r="AP43" s="365" t="s">
        <v>43</v>
      </c>
      <c r="AQ43" s="365" t="s">
        <v>44</v>
      </c>
      <c r="AR43" s="365" t="s">
        <v>41</v>
      </c>
      <c r="AS43" s="365" t="s">
        <v>41</v>
      </c>
      <c r="AT43" s="365" t="s">
        <v>44</v>
      </c>
      <c r="AU43" s="368"/>
      <c r="AV43" s="369" t="s">
        <v>44</v>
      </c>
      <c r="AW43" s="370">
        <v>3.0</v>
      </c>
      <c r="AX43" s="370">
        <v>2.0</v>
      </c>
      <c r="AY43" s="370">
        <v>2.0</v>
      </c>
      <c r="AZ43" s="370">
        <v>2.0</v>
      </c>
      <c r="BA43" s="371">
        <f t="shared" si="1"/>
        <v>56.25</v>
      </c>
      <c r="BB43" s="372" t="str">
        <f t="shared" si="2"/>
        <v>Adequado</v>
      </c>
      <c r="BC43" s="373"/>
      <c r="BD43" s="374">
        <f t="shared" si="3"/>
        <v>14</v>
      </c>
      <c r="BE43" s="374">
        <f t="shared" si="4"/>
        <v>315</v>
      </c>
      <c r="BF43" s="375" t="str">
        <f t="shared" si="5"/>
        <v>Adequado</v>
      </c>
      <c r="BG43" s="376">
        <f t="shared" si="6"/>
        <v>20</v>
      </c>
      <c r="BH43" s="374">
        <f t="shared" si="7"/>
        <v>456</v>
      </c>
      <c r="BI43" s="377" t="str">
        <f t="shared" si="8"/>
        <v>Avançado</v>
      </c>
      <c r="BJ43" s="25"/>
      <c r="BK43" s="25"/>
    </row>
    <row r="44" ht="15.75" customHeight="1">
      <c r="A44" s="82">
        <v>15.0</v>
      </c>
      <c r="B44" s="378" t="s">
        <v>228</v>
      </c>
      <c r="C44" s="363" t="s">
        <v>170</v>
      </c>
      <c r="D44" s="379" t="s">
        <v>42</v>
      </c>
      <c r="E44" s="365" t="s">
        <v>42</v>
      </c>
      <c r="F44" s="365" t="s">
        <v>41</v>
      </c>
      <c r="G44" s="365" t="s">
        <v>44</v>
      </c>
      <c r="H44" s="365" t="s">
        <v>43</v>
      </c>
      <c r="I44" s="365" t="s">
        <v>44</v>
      </c>
      <c r="J44" s="365" t="s">
        <v>44</v>
      </c>
      <c r="K44" s="365" t="s">
        <v>42</v>
      </c>
      <c r="L44" s="365" t="s">
        <v>44</v>
      </c>
      <c r="M44" s="365" t="s">
        <v>43</v>
      </c>
      <c r="N44" s="365" t="s">
        <v>41</v>
      </c>
      <c r="O44" s="365" t="s">
        <v>42</v>
      </c>
      <c r="P44" s="365" t="s">
        <v>44</v>
      </c>
      <c r="Q44" s="365" t="s">
        <v>41</v>
      </c>
      <c r="R44" s="365" t="s">
        <v>43</v>
      </c>
      <c r="S44" s="365" t="s">
        <v>44</v>
      </c>
      <c r="T44" s="365" t="s">
        <v>41</v>
      </c>
      <c r="U44" s="365" t="s">
        <v>44</v>
      </c>
      <c r="V44" s="365" t="s">
        <v>41</v>
      </c>
      <c r="W44" s="365" t="s">
        <v>43</v>
      </c>
      <c r="X44" s="366" t="s">
        <v>42</v>
      </c>
      <c r="Y44" s="367" t="s">
        <v>44</v>
      </c>
      <c r="Z44" s="365" t="s">
        <v>43</v>
      </c>
      <c r="AA44" s="365" t="s">
        <v>42</v>
      </c>
      <c r="AB44" s="365" t="s">
        <v>43</v>
      </c>
      <c r="AC44" s="365" t="s">
        <v>41</v>
      </c>
      <c r="AD44" s="365" t="s">
        <v>41</v>
      </c>
      <c r="AE44" s="365" t="s">
        <v>41</v>
      </c>
      <c r="AF44" s="365" t="s">
        <v>44</v>
      </c>
      <c r="AG44" s="365" t="s">
        <v>43</v>
      </c>
      <c r="AH44" s="365" t="s">
        <v>41</v>
      </c>
      <c r="AI44" s="365" t="s">
        <v>41</v>
      </c>
      <c r="AJ44" s="365" t="s">
        <v>42</v>
      </c>
      <c r="AK44" s="365" t="s">
        <v>43</v>
      </c>
      <c r="AL44" s="365" t="s">
        <v>42</v>
      </c>
      <c r="AM44" s="365" t="s">
        <v>44</v>
      </c>
      <c r="AN44" s="365" t="s">
        <v>44</v>
      </c>
      <c r="AO44" s="365" t="s">
        <v>42</v>
      </c>
      <c r="AP44" s="365" t="s">
        <v>41</v>
      </c>
      <c r="AQ44" s="365" t="s">
        <v>44</v>
      </c>
      <c r="AR44" s="365" t="s">
        <v>41</v>
      </c>
      <c r="AS44" s="365" t="s">
        <v>41</v>
      </c>
      <c r="AT44" s="365" t="s">
        <v>42</v>
      </c>
      <c r="AU44" s="368"/>
      <c r="AV44" s="369" t="s">
        <v>44</v>
      </c>
      <c r="AW44" s="370">
        <v>3.0</v>
      </c>
      <c r="AX44" s="370">
        <v>3.0</v>
      </c>
      <c r="AY44" s="370">
        <v>3.0</v>
      </c>
      <c r="AZ44" s="370">
        <v>3.0</v>
      </c>
      <c r="BA44" s="371">
        <f t="shared" si="1"/>
        <v>75</v>
      </c>
      <c r="BB44" s="372" t="str">
        <f t="shared" si="2"/>
        <v>Adequado</v>
      </c>
      <c r="BC44" s="373"/>
      <c r="BD44" s="374">
        <f t="shared" si="3"/>
        <v>11</v>
      </c>
      <c r="BE44" s="374">
        <f t="shared" si="4"/>
        <v>225</v>
      </c>
      <c r="BF44" s="375" t="str">
        <f t="shared" si="5"/>
        <v>Básico</v>
      </c>
      <c r="BG44" s="376">
        <f t="shared" si="6"/>
        <v>17</v>
      </c>
      <c r="BH44" s="374">
        <f t="shared" si="7"/>
        <v>407</v>
      </c>
      <c r="BI44" s="377" t="str">
        <f t="shared" si="8"/>
        <v>Avançado</v>
      </c>
      <c r="BJ44" s="25"/>
      <c r="BK44" s="25"/>
    </row>
    <row r="45" ht="15.75" customHeight="1">
      <c r="A45" s="82">
        <v>16.0</v>
      </c>
      <c r="B45" s="378" t="s">
        <v>229</v>
      </c>
      <c r="C45" s="363" t="s">
        <v>170</v>
      </c>
      <c r="D45" s="379" t="s">
        <v>44</v>
      </c>
      <c r="E45" s="365" t="s">
        <v>42</v>
      </c>
      <c r="F45" s="365" t="s">
        <v>43</v>
      </c>
      <c r="G45" s="365" t="s">
        <v>42</v>
      </c>
      <c r="H45" s="365" t="s">
        <v>42</v>
      </c>
      <c r="I45" s="365" t="s">
        <v>41</v>
      </c>
      <c r="J45" s="365" t="s">
        <v>42</v>
      </c>
      <c r="K45" s="365" t="s">
        <v>43</v>
      </c>
      <c r="L45" s="365" t="s">
        <v>44</v>
      </c>
      <c r="M45" s="365" t="s">
        <v>41</v>
      </c>
      <c r="N45" s="365" t="s">
        <v>41</v>
      </c>
      <c r="O45" s="365" t="s">
        <v>173</v>
      </c>
      <c r="P45" s="365" t="s">
        <v>173</v>
      </c>
      <c r="Q45" s="365" t="s">
        <v>173</v>
      </c>
      <c r="R45" s="365" t="s">
        <v>173</v>
      </c>
      <c r="S45" s="365" t="s">
        <v>173</v>
      </c>
      <c r="T45" s="365" t="s">
        <v>173</v>
      </c>
      <c r="U45" s="365" t="s">
        <v>173</v>
      </c>
      <c r="V45" s="365" t="s">
        <v>173</v>
      </c>
      <c r="W45" s="365" t="s">
        <v>173</v>
      </c>
      <c r="X45" s="366" t="s">
        <v>173</v>
      </c>
      <c r="Y45" s="367" t="s">
        <v>44</v>
      </c>
      <c r="Z45" s="365" t="s">
        <v>43</v>
      </c>
      <c r="AA45" s="365" t="s">
        <v>42</v>
      </c>
      <c r="AB45" s="365" t="s">
        <v>43</v>
      </c>
      <c r="AC45" s="365" t="s">
        <v>41</v>
      </c>
      <c r="AD45" s="365" t="s">
        <v>41</v>
      </c>
      <c r="AE45" s="365" t="s">
        <v>41</v>
      </c>
      <c r="AF45" s="365" t="s">
        <v>41</v>
      </c>
      <c r="AG45" s="365" t="s">
        <v>43</v>
      </c>
      <c r="AH45" s="365" t="s">
        <v>42</v>
      </c>
      <c r="AI45" s="365" t="s">
        <v>41</v>
      </c>
      <c r="AJ45" s="365" t="s">
        <v>43</v>
      </c>
      <c r="AK45" s="365" t="s">
        <v>43</v>
      </c>
      <c r="AL45" s="365" t="s">
        <v>42</v>
      </c>
      <c r="AM45" s="365" t="s">
        <v>41</v>
      </c>
      <c r="AN45" s="365" t="s">
        <v>44</v>
      </c>
      <c r="AO45" s="365" t="s">
        <v>41</v>
      </c>
      <c r="AP45" s="365" t="s">
        <v>44</v>
      </c>
      <c r="AQ45" s="365" t="s">
        <v>43</v>
      </c>
      <c r="AR45" s="365" t="s">
        <v>41</v>
      </c>
      <c r="AS45" s="365" t="s">
        <v>41</v>
      </c>
      <c r="AT45" s="365" t="s">
        <v>42</v>
      </c>
      <c r="AU45" s="368"/>
      <c r="AV45" s="369" t="s">
        <v>42</v>
      </c>
      <c r="AW45" s="370" t="s">
        <v>173</v>
      </c>
      <c r="AX45" s="370" t="s">
        <v>173</v>
      </c>
      <c r="AY45" s="370" t="s">
        <v>173</v>
      </c>
      <c r="AZ45" s="370" t="s">
        <v>173</v>
      </c>
      <c r="BA45" s="371">
        <f t="shared" si="1"/>
        <v>0</v>
      </c>
      <c r="BB45" s="372" t="str">
        <f t="shared" si="2"/>
        <v>Abaixo do Básico</v>
      </c>
      <c r="BC45" s="373"/>
      <c r="BD45" s="374">
        <f t="shared" si="3"/>
        <v>5</v>
      </c>
      <c r="BE45" s="374">
        <f t="shared" si="4"/>
        <v>162</v>
      </c>
      <c r="BF45" s="375" t="str">
        <f t="shared" si="5"/>
        <v>Básico</v>
      </c>
      <c r="BG45" s="376">
        <f t="shared" si="6"/>
        <v>14</v>
      </c>
      <c r="BH45" s="374">
        <f t="shared" si="7"/>
        <v>341</v>
      </c>
      <c r="BI45" s="377" t="str">
        <f t="shared" si="8"/>
        <v>Adequado</v>
      </c>
      <c r="BJ45" s="25"/>
      <c r="BK45" s="25"/>
    </row>
    <row r="46" ht="15.75" customHeight="1">
      <c r="A46" s="82">
        <v>17.0</v>
      </c>
      <c r="B46" s="378" t="s">
        <v>230</v>
      </c>
      <c r="C46" s="363" t="s">
        <v>170</v>
      </c>
      <c r="D46" s="379" t="s">
        <v>42</v>
      </c>
      <c r="E46" s="365" t="s">
        <v>42</v>
      </c>
      <c r="F46" s="365" t="s">
        <v>44</v>
      </c>
      <c r="G46" s="365" t="s">
        <v>41</v>
      </c>
      <c r="H46" s="365" t="s">
        <v>44</v>
      </c>
      <c r="I46" s="365" t="s">
        <v>43</v>
      </c>
      <c r="J46" s="365" t="s">
        <v>44</v>
      </c>
      <c r="K46" s="365" t="s">
        <v>42</v>
      </c>
      <c r="L46" s="365" t="s">
        <v>44</v>
      </c>
      <c r="M46" s="365" t="s">
        <v>41</v>
      </c>
      <c r="N46" s="365" t="s">
        <v>42</v>
      </c>
      <c r="O46" s="365" t="s">
        <v>44</v>
      </c>
      <c r="P46" s="365" t="s">
        <v>41</v>
      </c>
      <c r="Q46" s="365" t="s">
        <v>42</v>
      </c>
      <c r="R46" s="365" t="s">
        <v>43</v>
      </c>
      <c r="S46" s="365" t="s">
        <v>42</v>
      </c>
      <c r="T46" s="365" t="s">
        <v>41</v>
      </c>
      <c r="U46" s="365" t="s">
        <v>44</v>
      </c>
      <c r="V46" s="365" t="s">
        <v>42</v>
      </c>
      <c r="W46" s="365" t="s">
        <v>43</v>
      </c>
      <c r="X46" s="366" t="s">
        <v>41</v>
      </c>
      <c r="Y46" s="367" t="s">
        <v>44</v>
      </c>
      <c r="Z46" s="365" t="s">
        <v>42</v>
      </c>
      <c r="AA46" s="365" t="s">
        <v>43</v>
      </c>
      <c r="AB46" s="365" t="s">
        <v>44</v>
      </c>
      <c r="AC46" s="365" t="s">
        <v>43</v>
      </c>
      <c r="AD46" s="365" t="s">
        <v>43</v>
      </c>
      <c r="AE46" s="365" t="s">
        <v>44</v>
      </c>
      <c r="AF46" s="365" t="s">
        <v>44</v>
      </c>
      <c r="AG46" s="365" t="s">
        <v>43</v>
      </c>
      <c r="AH46" s="365" t="s">
        <v>41</v>
      </c>
      <c r="AI46" s="365" t="s">
        <v>44</v>
      </c>
      <c r="AJ46" s="365" t="s">
        <v>42</v>
      </c>
      <c r="AK46" s="365" t="s">
        <v>42</v>
      </c>
      <c r="AL46" s="365" t="s">
        <v>41</v>
      </c>
      <c r="AM46" s="365" t="s">
        <v>43</v>
      </c>
      <c r="AN46" s="365" t="s">
        <v>42</v>
      </c>
      <c r="AO46" s="365" t="s">
        <v>44</v>
      </c>
      <c r="AP46" s="365" t="s">
        <v>41</v>
      </c>
      <c r="AQ46" s="365" t="s">
        <v>41</v>
      </c>
      <c r="AR46" s="365" t="s">
        <v>42</v>
      </c>
      <c r="AS46" s="365" t="s">
        <v>43</v>
      </c>
      <c r="AT46" s="365" t="s">
        <v>44</v>
      </c>
      <c r="AU46" s="368"/>
      <c r="AV46" s="369" t="s">
        <v>41</v>
      </c>
      <c r="AW46" s="370" t="s">
        <v>173</v>
      </c>
      <c r="AX46" s="370" t="s">
        <v>173</v>
      </c>
      <c r="AY46" s="370" t="s">
        <v>173</v>
      </c>
      <c r="AZ46" s="370" t="s">
        <v>173</v>
      </c>
      <c r="BA46" s="371">
        <f t="shared" si="1"/>
        <v>0</v>
      </c>
      <c r="BB46" s="372" t="str">
        <f t="shared" si="2"/>
        <v>Abaixo do Básico</v>
      </c>
      <c r="BC46" s="373"/>
      <c r="BD46" s="374">
        <f t="shared" si="3"/>
        <v>7</v>
      </c>
      <c r="BE46" s="374">
        <f t="shared" si="4"/>
        <v>162</v>
      </c>
      <c r="BF46" s="375" t="str">
        <f t="shared" si="5"/>
        <v>Básico</v>
      </c>
      <c r="BG46" s="376">
        <f t="shared" si="6"/>
        <v>4</v>
      </c>
      <c r="BH46" s="374">
        <f t="shared" si="7"/>
        <v>100</v>
      </c>
      <c r="BI46" s="377" t="str">
        <f t="shared" si="8"/>
        <v>Abaixo do Básico</v>
      </c>
      <c r="BJ46" s="25"/>
      <c r="BK46" s="25"/>
    </row>
    <row r="47" ht="15.75" customHeight="1">
      <c r="A47" s="82">
        <v>18.0</v>
      </c>
      <c r="B47" s="378" t="s">
        <v>231</v>
      </c>
      <c r="C47" s="363" t="s">
        <v>170</v>
      </c>
      <c r="D47" s="379" t="s">
        <v>44</v>
      </c>
      <c r="E47" s="365" t="s">
        <v>42</v>
      </c>
      <c r="F47" s="365" t="s">
        <v>43</v>
      </c>
      <c r="G47" s="365" t="s">
        <v>42</v>
      </c>
      <c r="H47" s="365" t="s">
        <v>43</v>
      </c>
      <c r="I47" s="365" t="s">
        <v>43</v>
      </c>
      <c r="J47" s="365" t="s">
        <v>44</v>
      </c>
      <c r="K47" s="365" t="s">
        <v>42</v>
      </c>
      <c r="L47" s="365" t="s">
        <v>44</v>
      </c>
      <c r="M47" s="365" t="s">
        <v>43</v>
      </c>
      <c r="N47" s="365" t="s">
        <v>44</v>
      </c>
      <c r="O47" s="365" t="s">
        <v>43</v>
      </c>
      <c r="P47" s="365" t="s">
        <v>44</v>
      </c>
      <c r="Q47" s="365" t="s">
        <v>42</v>
      </c>
      <c r="R47" s="365" t="s">
        <v>43</v>
      </c>
      <c r="S47" s="365" t="s">
        <v>44</v>
      </c>
      <c r="T47" s="365" t="s">
        <v>44</v>
      </c>
      <c r="U47" s="365" t="s">
        <v>44</v>
      </c>
      <c r="V47" s="365" t="s">
        <v>41</v>
      </c>
      <c r="W47" s="365" t="s">
        <v>43</v>
      </c>
      <c r="X47" s="366" t="s">
        <v>41</v>
      </c>
      <c r="Y47" s="367" t="s">
        <v>44</v>
      </c>
      <c r="Z47" s="365" t="s">
        <v>44</v>
      </c>
      <c r="AA47" s="365" t="s">
        <v>42</v>
      </c>
      <c r="AB47" s="365" t="s">
        <v>43</v>
      </c>
      <c r="AC47" s="365" t="s">
        <v>41</v>
      </c>
      <c r="AD47" s="365" t="s">
        <v>42</v>
      </c>
      <c r="AE47" s="365" t="s">
        <v>42</v>
      </c>
      <c r="AF47" s="365" t="s">
        <v>44</v>
      </c>
      <c r="AG47" s="365" t="s">
        <v>43</v>
      </c>
      <c r="AH47" s="365" t="s">
        <v>43</v>
      </c>
      <c r="AI47" s="365" t="s">
        <v>41</v>
      </c>
      <c r="AJ47" s="365" t="s">
        <v>42</v>
      </c>
      <c r="AK47" s="365" t="s">
        <v>43</v>
      </c>
      <c r="AL47" s="365" t="s">
        <v>42</v>
      </c>
      <c r="AM47" s="365" t="s">
        <v>41</v>
      </c>
      <c r="AN47" s="365" t="s">
        <v>44</v>
      </c>
      <c r="AO47" s="365" t="s">
        <v>41</v>
      </c>
      <c r="AP47" s="365" t="s">
        <v>41</v>
      </c>
      <c r="AQ47" s="365" t="s">
        <v>44</v>
      </c>
      <c r="AR47" s="365" t="s">
        <v>41</v>
      </c>
      <c r="AS47" s="365" t="s">
        <v>43</v>
      </c>
      <c r="AT47" s="365" t="s">
        <v>44</v>
      </c>
      <c r="AU47" s="368"/>
      <c r="AV47" s="369" t="s">
        <v>44</v>
      </c>
      <c r="AW47" s="370">
        <v>3.0</v>
      </c>
      <c r="AX47" s="370">
        <v>2.0</v>
      </c>
      <c r="AY47" s="370">
        <v>2.0</v>
      </c>
      <c r="AZ47" s="370">
        <v>2.0</v>
      </c>
      <c r="BA47" s="371">
        <f t="shared" si="1"/>
        <v>56.25</v>
      </c>
      <c r="BB47" s="372" t="str">
        <f t="shared" si="2"/>
        <v>Adequado</v>
      </c>
      <c r="BC47" s="373"/>
      <c r="BD47" s="374">
        <f t="shared" si="3"/>
        <v>12</v>
      </c>
      <c r="BE47" s="374">
        <f t="shared" si="4"/>
        <v>306</v>
      </c>
      <c r="BF47" s="375" t="str">
        <f t="shared" si="5"/>
        <v>Adequado</v>
      </c>
      <c r="BG47" s="376">
        <f t="shared" si="6"/>
        <v>14</v>
      </c>
      <c r="BH47" s="374">
        <f t="shared" si="7"/>
        <v>324</v>
      </c>
      <c r="BI47" s="377" t="str">
        <f t="shared" si="8"/>
        <v>Adequado</v>
      </c>
      <c r="BJ47" s="25"/>
      <c r="BK47" s="25"/>
    </row>
    <row r="48" ht="15.75" customHeight="1">
      <c r="A48" s="82">
        <v>19.0</v>
      </c>
      <c r="B48" s="378" t="s">
        <v>232</v>
      </c>
      <c r="C48" s="363" t="s">
        <v>170</v>
      </c>
      <c r="D48" s="379" t="s">
        <v>44</v>
      </c>
      <c r="E48" s="365" t="s">
        <v>42</v>
      </c>
      <c r="F48" s="365" t="s">
        <v>43</v>
      </c>
      <c r="G48" s="365" t="s">
        <v>44</v>
      </c>
      <c r="H48" s="365" t="s">
        <v>42</v>
      </c>
      <c r="I48" s="365" t="s">
        <v>43</v>
      </c>
      <c r="J48" s="365" t="s">
        <v>42</v>
      </c>
      <c r="K48" s="365" t="s">
        <v>43</v>
      </c>
      <c r="L48" s="365" t="s">
        <v>44</v>
      </c>
      <c r="M48" s="365" t="s">
        <v>41</v>
      </c>
      <c r="N48" s="365" t="s">
        <v>43</v>
      </c>
      <c r="O48" s="365" t="s">
        <v>42</v>
      </c>
      <c r="P48" s="365" t="s">
        <v>44</v>
      </c>
      <c r="Q48" s="365" t="s">
        <v>41</v>
      </c>
      <c r="R48" s="365" t="s">
        <v>43</v>
      </c>
      <c r="S48" s="365" t="s">
        <v>44</v>
      </c>
      <c r="T48" s="365" t="s">
        <v>44</v>
      </c>
      <c r="U48" s="365" t="s">
        <v>44</v>
      </c>
      <c r="V48" s="365" t="s">
        <v>42</v>
      </c>
      <c r="W48" s="365" t="s">
        <v>43</v>
      </c>
      <c r="X48" s="366" t="s">
        <v>41</v>
      </c>
      <c r="Y48" s="367" t="s">
        <v>44</v>
      </c>
      <c r="Z48" s="365" t="s">
        <v>43</v>
      </c>
      <c r="AA48" s="365" t="s">
        <v>42</v>
      </c>
      <c r="AB48" s="365" t="s">
        <v>43</v>
      </c>
      <c r="AC48" s="365" t="s">
        <v>41</v>
      </c>
      <c r="AD48" s="365" t="s">
        <v>41</v>
      </c>
      <c r="AE48" s="365" t="s">
        <v>42</v>
      </c>
      <c r="AF48" s="365" t="s">
        <v>43</v>
      </c>
      <c r="AG48" s="365" t="s">
        <v>43</v>
      </c>
      <c r="AH48" s="365" t="s">
        <v>44</v>
      </c>
      <c r="AI48" s="365" t="s">
        <v>41</v>
      </c>
      <c r="AJ48" s="365" t="s">
        <v>42</v>
      </c>
      <c r="AK48" s="365" t="s">
        <v>41</v>
      </c>
      <c r="AL48" s="365" t="s">
        <v>42</v>
      </c>
      <c r="AM48" s="365" t="s">
        <v>41</v>
      </c>
      <c r="AN48" s="365" t="s">
        <v>44</v>
      </c>
      <c r="AO48" s="365" t="s">
        <v>42</v>
      </c>
      <c r="AP48" s="365" t="s">
        <v>43</v>
      </c>
      <c r="AQ48" s="365" t="s">
        <v>44</v>
      </c>
      <c r="AR48" s="365" t="s">
        <v>42</v>
      </c>
      <c r="AS48" s="365" t="s">
        <v>41</v>
      </c>
      <c r="AT48" s="365" t="s">
        <v>44</v>
      </c>
      <c r="AU48" s="368"/>
      <c r="AV48" s="369" t="s">
        <v>44</v>
      </c>
      <c r="AW48" s="370">
        <v>3.0</v>
      </c>
      <c r="AX48" s="370">
        <v>3.0</v>
      </c>
      <c r="AY48" s="370">
        <v>3.0</v>
      </c>
      <c r="AZ48" s="370">
        <v>3.0</v>
      </c>
      <c r="BA48" s="371">
        <f t="shared" si="1"/>
        <v>75</v>
      </c>
      <c r="BB48" s="372" t="str">
        <f t="shared" si="2"/>
        <v>Adequado</v>
      </c>
      <c r="BC48" s="373"/>
      <c r="BD48" s="374">
        <f t="shared" si="3"/>
        <v>10</v>
      </c>
      <c r="BE48" s="374">
        <f t="shared" si="4"/>
        <v>297</v>
      </c>
      <c r="BF48" s="375" t="str">
        <f t="shared" si="5"/>
        <v>Adequado</v>
      </c>
      <c r="BG48" s="376">
        <f t="shared" si="6"/>
        <v>17</v>
      </c>
      <c r="BH48" s="374">
        <f t="shared" si="7"/>
        <v>381</v>
      </c>
      <c r="BI48" s="377" t="str">
        <f t="shared" si="8"/>
        <v>Avançado</v>
      </c>
      <c r="BJ48" s="25"/>
      <c r="BK48" s="25"/>
    </row>
    <row r="49" ht="15.75" customHeight="1">
      <c r="A49" s="82">
        <v>20.0</v>
      </c>
      <c r="B49" s="378" t="s">
        <v>233</v>
      </c>
      <c r="C49" s="363" t="s">
        <v>170</v>
      </c>
      <c r="D49" s="379" t="s">
        <v>42</v>
      </c>
      <c r="E49" s="365" t="s">
        <v>42</v>
      </c>
      <c r="F49" s="365" t="s">
        <v>43</v>
      </c>
      <c r="G49" s="365" t="s">
        <v>42</v>
      </c>
      <c r="H49" s="365" t="s">
        <v>44</v>
      </c>
      <c r="I49" s="365" t="s">
        <v>44</v>
      </c>
      <c r="J49" s="365" t="s">
        <v>42</v>
      </c>
      <c r="K49" s="365" t="s">
        <v>42</v>
      </c>
      <c r="L49" s="365" t="s">
        <v>44</v>
      </c>
      <c r="M49" s="365" t="s">
        <v>41</v>
      </c>
      <c r="N49" s="365" t="s">
        <v>41</v>
      </c>
      <c r="O49" s="365" t="s">
        <v>44</v>
      </c>
      <c r="P49" s="365" t="s">
        <v>44</v>
      </c>
      <c r="Q49" s="365" t="s">
        <v>42</v>
      </c>
      <c r="R49" s="365" t="s">
        <v>43</v>
      </c>
      <c r="S49" s="365" t="s">
        <v>44</v>
      </c>
      <c r="T49" s="365" t="s">
        <v>44</v>
      </c>
      <c r="U49" s="365" t="s">
        <v>44</v>
      </c>
      <c r="V49" s="365" t="s">
        <v>41</v>
      </c>
      <c r="W49" s="365" t="s">
        <v>42</v>
      </c>
      <c r="X49" s="366" t="s">
        <v>42</v>
      </c>
      <c r="Y49" s="367" t="s">
        <v>44</v>
      </c>
      <c r="Z49" s="365" t="s">
        <v>43</v>
      </c>
      <c r="AA49" s="365" t="s">
        <v>42</v>
      </c>
      <c r="AB49" s="365" t="s">
        <v>43</v>
      </c>
      <c r="AC49" s="365" t="s">
        <v>41</v>
      </c>
      <c r="AD49" s="365" t="s">
        <v>42</v>
      </c>
      <c r="AE49" s="365" t="s">
        <v>42</v>
      </c>
      <c r="AF49" s="365" t="s">
        <v>44</v>
      </c>
      <c r="AG49" s="365" t="s">
        <v>43</v>
      </c>
      <c r="AH49" s="365" t="s">
        <v>44</v>
      </c>
      <c r="AI49" s="365" t="s">
        <v>41</v>
      </c>
      <c r="AJ49" s="365" t="s">
        <v>42</v>
      </c>
      <c r="AK49" s="365" t="s">
        <v>43</v>
      </c>
      <c r="AL49" s="365" t="s">
        <v>42</v>
      </c>
      <c r="AM49" s="365" t="s">
        <v>41</v>
      </c>
      <c r="AN49" s="365" t="s">
        <v>44</v>
      </c>
      <c r="AO49" s="365" t="s">
        <v>42</v>
      </c>
      <c r="AP49" s="365" t="s">
        <v>43</v>
      </c>
      <c r="AQ49" s="365" t="s">
        <v>44</v>
      </c>
      <c r="AR49" s="365" t="s">
        <v>41</v>
      </c>
      <c r="AS49" s="365" t="s">
        <v>41</v>
      </c>
      <c r="AT49" s="365" t="s">
        <v>42</v>
      </c>
      <c r="AU49" s="368"/>
      <c r="AV49" s="369" t="s">
        <v>44</v>
      </c>
      <c r="AW49" s="370">
        <v>3.0</v>
      </c>
      <c r="AX49" s="370">
        <v>2.0</v>
      </c>
      <c r="AY49" s="370">
        <v>2.0</v>
      </c>
      <c r="AZ49" s="370">
        <v>2.0</v>
      </c>
      <c r="BA49" s="371">
        <f t="shared" si="1"/>
        <v>56.25</v>
      </c>
      <c r="BB49" s="372" t="str">
        <f t="shared" si="2"/>
        <v>Adequado</v>
      </c>
      <c r="BC49" s="373"/>
      <c r="BD49" s="374">
        <f t="shared" si="3"/>
        <v>13</v>
      </c>
      <c r="BE49" s="374">
        <f t="shared" si="4"/>
        <v>288</v>
      </c>
      <c r="BF49" s="375" t="str">
        <f t="shared" si="5"/>
        <v>Adequado</v>
      </c>
      <c r="BG49" s="376">
        <f t="shared" si="6"/>
        <v>20</v>
      </c>
      <c r="BH49" s="374">
        <f t="shared" si="7"/>
        <v>456</v>
      </c>
      <c r="BI49" s="377" t="str">
        <f t="shared" si="8"/>
        <v>Avançado</v>
      </c>
      <c r="BJ49" s="25"/>
      <c r="BK49" s="25"/>
    </row>
    <row r="50" ht="15.75" customHeight="1">
      <c r="A50" s="82">
        <v>21.0</v>
      </c>
      <c r="B50" s="378" t="s">
        <v>234</v>
      </c>
      <c r="C50" s="363" t="s">
        <v>170</v>
      </c>
      <c r="D50" s="379" t="s">
        <v>44</v>
      </c>
      <c r="E50" s="365" t="s">
        <v>42</v>
      </c>
      <c r="F50" s="365" t="s">
        <v>43</v>
      </c>
      <c r="G50" s="365" t="s">
        <v>42</v>
      </c>
      <c r="H50" s="365" t="s">
        <v>43</v>
      </c>
      <c r="I50" s="365" t="s">
        <v>43</v>
      </c>
      <c r="J50" s="365" t="s">
        <v>44</v>
      </c>
      <c r="K50" s="365" t="s">
        <v>42</v>
      </c>
      <c r="L50" s="365" t="s">
        <v>41</v>
      </c>
      <c r="M50" s="365" t="s">
        <v>41</v>
      </c>
      <c r="N50" s="365" t="s">
        <v>41</v>
      </c>
      <c r="O50" s="365" t="s">
        <v>44</v>
      </c>
      <c r="P50" s="365" t="s">
        <v>41</v>
      </c>
      <c r="Q50" s="365" t="s">
        <v>42</v>
      </c>
      <c r="R50" s="365" t="s">
        <v>43</v>
      </c>
      <c r="S50" s="365" t="s">
        <v>44</v>
      </c>
      <c r="T50" s="365" t="s">
        <v>44</v>
      </c>
      <c r="U50" s="365" t="s">
        <v>44</v>
      </c>
      <c r="V50" s="365" t="s">
        <v>41</v>
      </c>
      <c r="W50" s="365" t="s">
        <v>43</v>
      </c>
      <c r="X50" s="366" t="s">
        <v>42</v>
      </c>
      <c r="Y50" s="367" t="s">
        <v>44</v>
      </c>
      <c r="Z50" s="365" t="s">
        <v>43</v>
      </c>
      <c r="AA50" s="365" t="s">
        <v>42</v>
      </c>
      <c r="AB50" s="365" t="s">
        <v>43</v>
      </c>
      <c r="AC50" s="365" t="s">
        <v>44</v>
      </c>
      <c r="AD50" s="365" t="s">
        <v>43</v>
      </c>
      <c r="AE50" s="365" t="s">
        <v>42</v>
      </c>
      <c r="AF50" s="365" t="s">
        <v>44</v>
      </c>
      <c r="AG50" s="365" t="s">
        <v>43</v>
      </c>
      <c r="AH50" s="365" t="s">
        <v>42</v>
      </c>
      <c r="AI50" s="365" t="s">
        <v>41</v>
      </c>
      <c r="AJ50" s="365" t="s">
        <v>42</v>
      </c>
      <c r="AK50" s="365" t="s">
        <v>43</v>
      </c>
      <c r="AL50" s="365" t="s">
        <v>42</v>
      </c>
      <c r="AM50" s="365" t="s">
        <v>41</v>
      </c>
      <c r="AN50" s="365" t="s">
        <v>44</v>
      </c>
      <c r="AO50" s="365" t="s">
        <v>42</v>
      </c>
      <c r="AP50" s="365" t="s">
        <v>42</v>
      </c>
      <c r="AQ50" s="365" t="s">
        <v>44</v>
      </c>
      <c r="AR50" s="365" t="s">
        <v>41</v>
      </c>
      <c r="AS50" s="365" t="s">
        <v>41</v>
      </c>
      <c r="AT50" s="365" t="s">
        <v>41</v>
      </c>
      <c r="AU50" s="368"/>
      <c r="AV50" s="369" t="s">
        <v>44</v>
      </c>
      <c r="AW50" s="370">
        <v>3.0</v>
      </c>
      <c r="AX50" s="370">
        <v>3.0</v>
      </c>
      <c r="AY50" s="370">
        <v>3.0</v>
      </c>
      <c r="AZ50" s="370">
        <v>3.0</v>
      </c>
      <c r="BA50" s="371">
        <f t="shared" si="1"/>
        <v>75</v>
      </c>
      <c r="BB50" s="372" t="str">
        <f t="shared" si="2"/>
        <v>Adequado</v>
      </c>
      <c r="BC50" s="373"/>
      <c r="BD50" s="374">
        <f t="shared" si="3"/>
        <v>12</v>
      </c>
      <c r="BE50" s="374">
        <f t="shared" si="4"/>
        <v>270</v>
      </c>
      <c r="BF50" s="375" t="str">
        <f t="shared" si="5"/>
        <v>Adequado</v>
      </c>
      <c r="BG50" s="376">
        <f t="shared" si="6"/>
        <v>16</v>
      </c>
      <c r="BH50" s="374">
        <f t="shared" si="7"/>
        <v>374</v>
      </c>
      <c r="BI50" s="377" t="str">
        <f t="shared" si="8"/>
        <v>Adequado</v>
      </c>
      <c r="BJ50" s="25"/>
      <c r="BK50" s="25"/>
    </row>
    <row r="51" ht="15.75" customHeight="1">
      <c r="A51" s="82">
        <v>22.0</v>
      </c>
      <c r="B51" s="378" t="s">
        <v>235</v>
      </c>
      <c r="C51" s="363" t="s">
        <v>170</v>
      </c>
      <c r="D51" s="379" t="s">
        <v>42</v>
      </c>
      <c r="E51" s="365" t="s">
        <v>42</v>
      </c>
      <c r="F51" s="365" t="s">
        <v>41</v>
      </c>
      <c r="G51" s="365" t="s">
        <v>42</v>
      </c>
      <c r="H51" s="365" t="s">
        <v>42</v>
      </c>
      <c r="I51" s="365" t="s">
        <v>44</v>
      </c>
      <c r="J51" s="365" t="s">
        <v>44</v>
      </c>
      <c r="K51" s="365" t="s">
        <v>43</v>
      </c>
      <c r="L51" s="365" t="s">
        <v>42</v>
      </c>
      <c r="M51" s="365" t="s">
        <v>44</v>
      </c>
      <c r="N51" s="365" t="s">
        <v>44</v>
      </c>
      <c r="O51" s="365" t="s">
        <v>42</v>
      </c>
      <c r="P51" s="365" t="s">
        <v>44</v>
      </c>
      <c r="Q51" s="365" t="s">
        <v>42</v>
      </c>
      <c r="R51" s="365" t="s">
        <v>43</v>
      </c>
      <c r="S51" s="365" t="s">
        <v>44</v>
      </c>
      <c r="T51" s="365" t="s">
        <v>44</v>
      </c>
      <c r="U51" s="365" t="s">
        <v>44</v>
      </c>
      <c r="V51" s="365" t="s">
        <v>41</v>
      </c>
      <c r="W51" s="365" t="s">
        <v>43</v>
      </c>
      <c r="X51" s="366" t="s">
        <v>42</v>
      </c>
      <c r="Y51" s="367" t="s">
        <v>44</v>
      </c>
      <c r="Z51" s="365" t="s">
        <v>43</v>
      </c>
      <c r="AA51" s="365" t="s">
        <v>42</v>
      </c>
      <c r="AB51" s="365" t="s">
        <v>43</v>
      </c>
      <c r="AC51" s="365" t="s">
        <v>41</v>
      </c>
      <c r="AD51" s="365" t="s">
        <v>41</v>
      </c>
      <c r="AE51" s="365" t="s">
        <v>42</v>
      </c>
      <c r="AF51" s="365" t="s">
        <v>44</v>
      </c>
      <c r="AG51" s="365" t="s">
        <v>43</v>
      </c>
      <c r="AH51" s="365" t="s">
        <v>44</v>
      </c>
      <c r="AI51" s="365" t="s">
        <v>41</v>
      </c>
      <c r="AJ51" s="365" t="s">
        <v>43</v>
      </c>
      <c r="AK51" s="365" t="s">
        <v>43</v>
      </c>
      <c r="AL51" s="365" t="s">
        <v>42</v>
      </c>
      <c r="AM51" s="365" t="s">
        <v>41</v>
      </c>
      <c r="AN51" s="365" t="s">
        <v>44</v>
      </c>
      <c r="AO51" s="365" t="s">
        <v>42</v>
      </c>
      <c r="AP51" s="365" t="s">
        <v>41</v>
      </c>
      <c r="AQ51" s="365" t="s">
        <v>44</v>
      </c>
      <c r="AR51" s="365" t="s">
        <v>41</v>
      </c>
      <c r="AS51" s="365" t="s">
        <v>41</v>
      </c>
      <c r="AT51" s="365" t="s">
        <v>42</v>
      </c>
      <c r="AU51" s="368"/>
      <c r="AV51" s="369" t="s">
        <v>44</v>
      </c>
      <c r="AW51" s="370">
        <v>3.0</v>
      </c>
      <c r="AX51" s="370">
        <v>3.0</v>
      </c>
      <c r="AY51" s="370">
        <v>2.0</v>
      </c>
      <c r="AZ51" s="370">
        <v>2.0</v>
      </c>
      <c r="BA51" s="371">
        <f t="shared" si="1"/>
        <v>62.5</v>
      </c>
      <c r="BB51" s="372" t="str">
        <f t="shared" si="2"/>
        <v>Adequado</v>
      </c>
      <c r="BC51" s="373"/>
      <c r="BD51" s="374">
        <f t="shared" si="3"/>
        <v>12</v>
      </c>
      <c r="BE51" s="374">
        <f t="shared" si="4"/>
        <v>252</v>
      </c>
      <c r="BF51" s="375" t="str">
        <f t="shared" si="5"/>
        <v>Adequado</v>
      </c>
      <c r="BG51" s="376">
        <f t="shared" si="6"/>
        <v>19</v>
      </c>
      <c r="BH51" s="374">
        <f t="shared" si="7"/>
        <v>431</v>
      </c>
      <c r="BI51" s="377" t="str">
        <f t="shared" si="8"/>
        <v>Avançado</v>
      </c>
      <c r="BJ51" s="25"/>
      <c r="BK51" s="25"/>
    </row>
    <row r="52" ht="15.75" customHeight="1">
      <c r="A52" s="82">
        <v>23.0</v>
      </c>
      <c r="B52" s="378" t="s">
        <v>236</v>
      </c>
      <c r="C52" s="363" t="s">
        <v>170</v>
      </c>
      <c r="D52" s="379" t="s">
        <v>42</v>
      </c>
      <c r="E52" s="365" t="s">
        <v>41</v>
      </c>
      <c r="F52" s="365" t="s">
        <v>41</v>
      </c>
      <c r="G52" s="365" t="s">
        <v>42</v>
      </c>
      <c r="H52" s="365" t="s">
        <v>42</v>
      </c>
      <c r="I52" s="365" t="s">
        <v>43</v>
      </c>
      <c r="J52" s="365" t="s">
        <v>42</v>
      </c>
      <c r="K52" s="365" t="s">
        <v>42</v>
      </c>
      <c r="L52" s="365" t="s">
        <v>44</v>
      </c>
      <c r="M52" s="365" t="s">
        <v>44</v>
      </c>
      <c r="N52" s="365" t="s">
        <v>41</v>
      </c>
      <c r="O52" s="365" t="s">
        <v>44</v>
      </c>
      <c r="P52" s="365" t="s">
        <v>44</v>
      </c>
      <c r="Q52" s="365" t="s">
        <v>42</v>
      </c>
      <c r="R52" s="365" t="s">
        <v>43</v>
      </c>
      <c r="S52" s="365" t="s">
        <v>44</v>
      </c>
      <c r="T52" s="365" t="s">
        <v>44</v>
      </c>
      <c r="U52" s="365" t="s">
        <v>44</v>
      </c>
      <c r="V52" s="365" t="s">
        <v>41</v>
      </c>
      <c r="W52" s="365" t="s">
        <v>43</v>
      </c>
      <c r="X52" s="366" t="s">
        <v>42</v>
      </c>
      <c r="Y52" s="367" t="s">
        <v>44</v>
      </c>
      <c r="Z52" s="365" t="s">
        <v>43</v>
      </c>
      <c r="AA52" s="365" t="s">
        <v>42</v>
      </c>
      <c r="AB52" s="365" t="s">
        <v>43</v>
      </c>
      <c r="AC52" s="365" t="s">
        <v>41</v>
      </c>
      <c r="AD52" s="365" t="s">
        <v>44</v>
      </c>
      <c r="AE52" s="365" t="s">
        <v>42</v>
      </c>
      <c r="AF52" s="365" t="s">
        <v>44</v>
      </c>
      <c r="AG52" s="365" t="s">
        <v>41</v>
      </c>
      <c r="AH52" s="365" t="s">
        <v>41</v>
      </c>
      <c r="AI52" s="365" t="s">
        <v>41</v>
      </c>
      <c r="AJ52" s="365" t="s">
        <v>42</v>
      </c>
      <c r="AK52" s="365" t="s">
        <v>42</v>
      </c>
      <c r="AL52" s="365" t="s">
        <v>42</v>
      </c>
      <c r="AM52" s="365" t="s">
        <v>41</v>
      </c>
      <c r="AN52" s="365" t="s">
        <v>44</v>
      </c>
      <c r="AO52" s="365" t="s">
        <v>42</v>
      </c>
      <c r="AP52" s="365" t="s">
        <v>41</v>
      </c>
      <c r="AQ52" s="365" t="s">
        <v>42</v>
      </c>
      <c r="AR52" s="365" t="s">
        <v>41</v>
      </c>
      <c r="AS52" s="365" t="s">
        <v>41</v>
      </c>
      <c r="AT52" s="365" t="s">
        <v>42</v>
      </c>
      <c r="AU52" s="368"/>
      <c r="AV52" s="369" t="s">
        <v>44</v>
      </c>
      <c r="AW52" s="370">
        <v>2.0</v>
      </c>
      <c r="AX52" s="370">
        <v>2.0</v>
      </c>
      <c r="AY52" s="370">
        <v>2.0</v>
      </c>
      <c r="AZ52" s="370">
        <v>2.0</v>
      </c>
      <c r="BA52" s="371">
        <f t="shared" si="1"/>
        <v>50</v>
      </c>
      <c r="BB52" s="372" t="str">
        <f t="shared" si="2"/>
        <v>Básico</v>
      </c>
      <c r="BC52" s="373"/>
      <c r="BD52" s="374">
        <f t="shared" si="3"/>
        <v>18</v>
      </c>
      <c r="BE52" s="374">
        <f t="shared" si="4"/>
        <v>405</v>
      </c>
      <c r="BF52" s="375" t="str">
        <f t="shared" si="5"/>
        <v>Avançado</v>
      </c>
      <c r="BG52" s="376">
        <f t="shared" si="6"/>
        <v>15</v>
      </c>
      <c r="BH52" s="374">
        <f t="shared" si="7"/>
        <v>340</v>
      </c>
      <c r="BI52" s="377" t="str">
        <f t="shared" si="8"/>
        <v>Adequado</v>
      </c>
      <c r="BJ52" s="25"/>
      <c r="BK52" s="25"/>
    </row>
    <row r="53" ht="15.75" customHeight="1">
      <c r="A53" s="82">
        <v>24.0</v>
      </c>
      <c r="B53" s="378" t="s">
        <v>237</v>
      </c>
      <c r="C53" s="363" t="s">
        <v>170</v>
      </c>
      <c r="D53" s="379" t="s">
        <v>41</v>
      </c>
      <c r="E53" s="365" t="s">
        <v>41</v>
      </c>
      <c r="F53" s="365" t="s">
        <v>41</v>
      </c>
      <c r="G53" s="365" t="s">
        <v>42</v>
      </c>
      <c r="H53" s="365" t="s">
        <v>42</v>
      </c>
      <c r="I53" s="365" t="s">
        <v>43</v>
      </c>
      <c r="J53" s="365" t="s">
        <v>44</v>
      </c>
      <c r="K53" s="365" t="s">
        <v>42</v>
      </c>
      <c r="L53" s="365" t="s">
        <v>44</v>
      </c>
      <c r="M53" s="365" t="s">
        <v>42</v>
      </c>
      <c r="N53" s="365" t="s">
        <v>41</v>
      </c>
      <c r="O53" s="365" t="s">
        <v>42</v>
      </c>
      <c r="P53" s="365" t="s">
        <v>44</v>
      </c>
      <c r="Q53" s="365" t="s">
        <v>42</v>
      </c>
      <c r="R53" s="365" t="s">
        <v>43</v>
      </c>
      <c r="S53" s="365" t="s">
        <v>44</v>
      </c>
      <c r="T53" s="365" t="s">
        <v>44</v>
      </c>
      <c r="U53" s="365" t="s">
        <v>44</v>
      </c>
      <c r="V53" s="365" t="s">
        <v>41</v>
      </c>
      <c r="W53" s="365" t="s">
        <v>43</v>
      </c>
      <c r="X53" s="366" t="s">
        <v>42</v>
      </c>
      <c r="Y53" s="367" t="s">
        <v>44</v>
      </c>
      <c r="Z53" s="365" t="s">
        <v>43</v>
      </c>
      <c r="AA53" s="365" t="s">
        <v>42</v>
      </c>
      <c r="AB53" s="365" t="s">
        <v>43</v>
      </c>
      <c r="AC53" s="365" t="s">
        <v>41</v>
      </c>
      <c r="AD53" s="365" t="s">
        <v>43</v>
      </c>
      <c r="AE53" s="365" t="s">
        <v>42</v>
      </c>
      <c r="AF53" s="365" t="s">
        <v>44</v>
      </c>
      <c r="AG53" s="365" t="s">
        <v>43</v>
      </c>
      <c r="AH53" s="365" t="s">
        <v>44</v>
      </c>
      <c r="AI53" s="365" t="s">
        <v>41</v>
      </c>
      <c r="AJ53" s="365" t="s">
        <v>42</v>
      </c>
      <c r="AK53" s="365" t="s">
        <v>43</v>
      </c>
      <c r="AL53" s="365" t="s">
        <v>42</v>
      </c>
      <c r="AM53" s="365" t="s">
        <v>44</v>
      </c>
      <c r="AN53" s="365" t="s">
        <v>44</v>
      </c>
      <c r="AO53" s="365" t="s">
        <v>42</v>
      </c>
      <c r="AP53" s="365" t="s">
        <v>43</v>
      </c>
      <c r="AQ53" s="365" t="s">
        <v>44</v>
      </c>
      <c r="AR53" s="365" t="s">
        <v>41</v>
      </c>
      <c r="AS53" s="365" t="s">
        <v>41</v>
      </c>
      <c r="AT53" s="365" t="s">
        <v>42</v>
      </c>
      <c r="AU53" s="368"/>
      <c r="AV53" s="369" t="s">
        <v>44</v>
      </c>
      <c r="AW53" s="370">
        <v>3.0</v>
      </c>
      <c r="AX53" s="370">
        <v>2.0</v>
      </c>
      <c r="AY53" s="370">
        <v>2.0</v>
      </c>
      <c r="AZ53" s="370">
        <v>2.0</v>
      </c>
      <c r="BA53" s="371">
        <f t="shared" si="1"/>
        <v>56.25</v>
      </c>
      <c r="BB53" s="372" t="str">
        <f t="shared" si="2"/>
        <v>Adequado</v>
      </c>
      <c r="BC53" s="373"/>
      <c r="BD53" s="374">
        <f t="shared" si="3"/>
        <v>19</v>
      </c>
      <c r="BE53" s="374">
        <f t="shared" si="4"/>
        <v>441</v>
      </c>
      <c r="BF53" s="375" t="str">
        <f t="shared" si="5"/>
        <v>Avançado</v>
      </c>
      <c r="BG53" s="376">
        <f t="shared" si="6"/>
        <v>19</v>
      </c>
      <c r="BH53" s="374">
        <f t="shared" si="7"/>
        <v>431</v>
      </c>
      <c r="BI53" s="377" t="str">
        <f t="shared" si="8"/>
        <v>Avançado</v>
      </c>
      <c r="BJ53" s="25"/>
      <c r="BK53" s="25"/>
    </row>
    <row r="54" ht="15.75" customHeight="1">
      <c r="A54" s="82">
        <v>25.0</v>
      </c>
      <c r="B54" s="378" t="s">
        <v>238</v>
      </c>
      <c r="C54" s="363" t="s">
        <v>170</v>
      </c>
      <c r="D54" s="379" t="s">
        <v>44</v>
      </c>
      <c r="E54" s="365" t="s">
        <v>42</v>
      </c>
      <c r="F54" s="365" t="s">
        <v>41</v>
      </c>
      <c r="G54" s="365" t="s">
        <v>44</v>
      </c>
      <c r="H54" s="365" t="s">
        <v>42</v>
      </c>
      <c r="I54" s="365" t="s">
        <v>43</v>
      </c>
      <c r="J54" s="365" t="s">
        <v>42</v>
      </c>
      <c r="K54" s="365" t="s">
        <v>42</v>
      </c>
      <c r="L54" s="365" t="s">
        <v>44</v>
      </c>
      <c r="M54" s="365" t="s">
        <v>41</v>
      </c>
      <c r="N54" s="365" t="s">
        <v>41</v>
      </c>
      <c r="O54" s="365" t="s">
        <v>42</v>
      </c>
      <c r="P54" s="365" t="s">
        <v>44</v>
      </c>
      <c r="Q54" s="365" t="s">
        <v>42</v>
      </c>
      <c r="R54" s="365" t="s">
        <v>43</v>
      </c>
      <c r="S54" s="365" t="s">
        <v>44</v>
      </c>
      <c r="T54" s="365" t="s">
        <v>44</v>
      </c>
      <c r="U54" s="365" t="s">
        <v>44</v>
      </c>
      <c r="V54" s="365" t="s">
        <v>43</v>
      </c>
      <c r="W54" s="365" t="s">
        <v>42</v>
      </c>
      <c r="X54" s="366" t="s">
        <v>42</v>
      </c>
      <c r="Y54" s="367" t="s">
        <v>44</v>
      </c>
      <c r="Z54" s="365" t="s">
        <v>43</v>
      </c>
      <c r="AA54" s="365" t="s">
        <v>42</v>
      </c>
      <c r="AB54" s="365" t="s">
        <v>43</v>
      </c>
      <c r="AC54" s="365" t="s">
        <v>41</v>
      </c>
      <c r="AD54" s="365" t="s">
        <v>42</v>
      </c>
      <c r="AE54" s="365" t="s">
        <v>41</v>
      </c>
      <c r="AF54" s="365" t="s">
        <v>44</v>
      </c>
      <c r="AG54" s="365" t="s">
        <v>43</v>
      </c>
      <c r="AH54" s="365" t="s">
        <v>44</v>
      </c>
      <c r="AI54" s="365" t="s">
        <v>41</v>
      </c>
      <c r="AJ54" s="365" t="s">
        <v>42</v>
      </c>
      <c r="AK54" s="365" t="s">
        <v>43</v>
      </c>
      <c r="AL54" s="365" t="s">
        <v>42</v>
      </c>
      <c r="AM54" s="365" t="s">
        <v>41</v>
      </c>
      <c r="AN54" s="365" t="s">
        <v>43</v>
      </c>
      <c r="AO54" s="365" t="s">
        <v>42</v>
      </c>
      <c r="AP54" s="365" t="s">
        <v>43</v>
      </c>
      <c r="AQ54" s="365" t="s">
        <v>44</v>
      </c>
      <c r="AR54" s="365" t="s">
        <v>41</v>
      </c>
      <c r="AS54" s="365" t="s">
        <v>41</v>
      </c>
      <c r="AT54" s="365" t="s">
        <v>43</v>
      </c>
      <c r="AU54" s="380"/>
      <c r="AV54" s="369" t="s">
        <v>44</v>
      </c>
      <c r="AW54" s="370">
        <v>3.0</v>
      </c>
      <c r="AX54" s="370">
        <v>3.0</v>
      </c>
      <c r="AY54" s="370">
        <v>2.0</v>
      </c>
      <c r="AZ54" s="370">
        <v>2.0</v>
      </c>
      <c r="BA54" s="371">
        <f t="shared" si="1"/>
        <v>62.5</v>
      </c>
      <c r="BB54" s="372" t="str">
        <f t="shared" si="2"/>
        <v>Adequado</v>
      </c>
      <c r="BC54" s="373"/>
      <c r="BD54" s="374">
        <f t="shared" si="3"/>
        <v>14</v>
      </c>
      <c r="BE54" s="374">
        <f t="shared" si="4"/>
        <v>324</v>
      </c>
      <c r="BF54" s="375" t="str">
        <f t="shared" si="5"/>
        <v>Adequado</v>
      </c>
      <c r="BG54" s="376">
        <f t="shared" si="6"/>
        <v>17</v>
      </c>
      <c r="BH54" s="374">
        <f t="shared" si="7"/>
        <v>398</v>
      </c>
      <c r="BI54" s="377" t="str">
        <f t="shared" si="8"/>
        <v>Avançado</v>
      </c>
      <c r="BJ54" s="25"/>
      <c r="BK54" s="25"/>
    </row>
    <row r="55" ht="15.75" customHeight="1">
      <c r="A55" s="82">
        <v>26.0</v>
      </c>
      <c r="B55" s="378" t="s">
        <v>239</v>
      </c>
      <c r="C55" s="363" t="s">
        <v>170</v>
      </c>
      <c r="D55" s="379" t="s">
        <v>44</v>
      </c>
      <c r="E55" s="365" t="s">
        <v>41</v>
      </c>
      <c r="F55" s="365" t="s">
        <v>43</v>
      </c>
      <c r="G55" s="365" t="s">
        <v>44</v>
      </c>
      <c r="H55" s="365" t="s">
        <v>42</v>
      </c>
      <c r="I55" s="365" t="s">
        <v>43</v>
      </c>
      <c r="J55" s="365" t="s">
        <v>44</v>
      </c>
      <c r="K55" s="365" t="s">
        <v>42</v>
      </c>
      <c r="L55" s="365" t="s">
        <v>41</v>
      </c>
      <c r="M55" s="365" t="s">
        <v>41</v>
      </c>
      <c r="N55" s="365" t="s">
        <v>43</v>
      </c>
      <c r="O55" s="365" t="s">
        <v>42</v>
      </c>
      <c r="P55" s="365" t="s">
        <v>44</v>
      </c>
      <c r="Q55" s="365" t="s">
        <v>42</v>
      </c>
      <c r="R55" s="365" t="s">
        <v>43</v>
      </c>
      <c r="S55" s="365" t="s">
        <v>44</v>
      </c>
      <c r="T55" s="365" t="s">
        <v>44</v>
      </c>
      <c r="U55" s="365" t="s">
        <v>44</v>
      </c>
      <c r="V55" s="365" t="s">
        <v>41</v>
      </c>
      <c r="W55" s="365" t="s">
        <v>43</v>
      </c>
      <c r="X55" s="366" t="s">
        <v>42</v>
      </c>
      <c r="Y55" s="367" t="s">
        <v>44</v>
      </c>
      <c r="Z55" s="365" t="s">
        <v>43</v>
      </c>
      <c r="AA55" s="365" t="s">
        <v>42</v>
      </c>
      <c r="AB55" s="365" t="s">
        <v>43</v>
      </c>
      <c r="AC55" s="365" t="s">
        <v>41</v>
      </c>
      <c r="AD55" s="365" t="s">
        <v>43</v>
      </c>
      <c r="AE55" s="365" t="s">
        <v>41</v>
      </c>
      <c r="AF55" s="365" t="s">
        <v>44</v>
      </c>
      <c r="AG55" s="365" t="s">
        <v>44</v>
      </c>
      <c r="AH55" s="365" t="s">
        <v>44</v>
      </c>
      <c r="AI55" s="365" t="s">
        <v>41</v>
      </c>
      <c r="AJ55" s="365" t="s">
        <v>43</v>
      </c>
      <c r="AK55" s="365" t="s">
        <v>41</v>
      </c>
      <c r="AL55" s="365" t="s">
        <v>42</v>
      </c>
      <c r="AM55" s="365" t="s">
        <v>43</v>
      </c>
      <c r="AN55" s="365" t="s">
        <v>44</v>
      </c>
      <c r="AO55" s="365" t="s">
        <v>42</v>
      </c>
      <c r="AP55" s="365" t="s">
        <v>41</v>
      </c>
      <c r="AQ55" s="365" t="s">
        <v>44</v>
      </c>
      <c r="AR55" s="365" t="s">
        <v>41</v>
      </c>
      <c r="AS55" s="365" t="s">
        <v>41</v>
      </c>
      <c r="AT55" s="365" t="s">
        <v>42</v>
      </c>
      <c r="AU55" s="368"/>
      <c r="AV55" s="369" t="s">
        <v>44</v>
      </c>
      <c r="AW55" s="370">
        <v>4.0</v>
      </c>
      <c r="AX55" s="370">
        <v>3.0</v>
      </c>
      <c r="AY55" s="370">
        <v>3.0</v>
      </c>
      <c r="AZ55" s="370">
        <v>3.0</v>
      </c>
      <c r="BA55" s="371">
        <f t="shared" si="1"/>
        <v>81.25</v>
      </c>
      <c r="BB55" s="372" t="str">
        <f t="shared" si="2"/>
        <v>Avançado</v>
      </c>
      <c r="BC55" s="373"/>
      <c r="BD55" s="374">
        <f t="shared" si="3"/>
        <v>13</v>
      </c>
      <c r="BE55" s="374">
        <f t="shared" si="4"/>
        <v>279</v>
      </c>
      <c r="BF55" s="375" t="str">
        <f t="shared" si="5"/>
        <v>Adequado</v>
      </c>
      <c r="BG55" s="376">
        <f t="shared" si="6"/>
        <v>14</v>
      </c>
      <c r="BH55" s="374">
        <f t="shared" si="7"/>
        <v>323</v>
      </c>
      <c r="BI55" s="377" t="str">
        <f t="shared" si="8"/>
        <v>Adequado</v>
      </c>
      <c r="BJ55" s="25"/>
      <c r="BK55" s="25"/>
    </row>
    <row r="56" ht="15.75" customHeight="1">
      <c r="A56" s="82">
        <v>27.0</v>
      </c>
      <c r="B56" s="378" t="s">
        <v>240</v>
      </c>
      <c r="C56" s="363" t="s">
        <v>170</v>
      </c>
      <c r="D56" s="379" t="s">
        <v>44</v>
      </c>
      <c r="E56" s="365" t="s">
        <v>42</v>
      </c>
      <c r="F56" s="365" t="s">
        <v>43</v>
      </c>
      <c r="G56" s="365" t="s">
        <v>42</v>
      </c>
      <c r="H56" s="365" t="s">
        <v>42</v>
      </c>
      <c r="I56" s="365" t="s">
        <v>43</v>
      </c>
      <c r="J56" s="365" t="s">
        <v>44</v>
      </c>
      <c r="K56" s="365" t="s">
        <v>42</v>
      </c>
      <c r="L56" s="365" t="s">
        <v>42</v>
      </c>
      <c r="M56" s="365" t="s">
        <v>42</v>
      </c>
      <c r="N56" s="365" t="s">
        <v>43</v>
      </c>
      <c r="O56" s="365" t="s">
        <v>43</v>
      </c>
      <c r="P56" s="365" t="s">
        <v>44</v>
      </c>
      <c r="Q56" s="365" t="s">
        <v>42</v>
      </c>
      <c r="R56" s="365" t="s">
        <v>43</v>
      </c>
      <c r="S56" s="365" t="s">
        <v>44</v>
      </c>
      <c r="T56" s="365" t="s">
        <v>44</v>
      </c>
      <c r="U56" s="365" t="s">
        <v>44</v>
      </c>
      <c r="V56" s="365" t="s">
        <v>41</v>
      </c>
      <c r="W56" s="365" t="s">
        <v>41</v>
      </c>
      <c r="X56" s="366" t="s">
        <v>42</v>
      </c>
      <c r="Y56" s="367" t="s">
        <v>44</v>
      </c>
      <c r="Z56" s="365" t="s">
        <v>43</v>
      </c>
      <c r="AA56" s="365" t="s">
        <v>42</v>
      </c>
      <c r="AB56" s="365" t="s">
        <v>43</v>
      </c>
      <c r="AC56" s="365" t="s">
        <v>44</v>
      </c>
      <c r="AD56" s="365" t="s">
        <v>41</v>
      </c>
      <c r="AE56" s="365" t="s">
        <v>42</v>
      </c>
      <c r="AF56" s="365" t="s">
        <v>44</v>
      </c>
      <c r="AG56" s="365" t="s">
        <v>43</v>
      </c>
      <c r="AH56" s="365" t="s">
        <v>43</v>
      </c>
      <c r="AI56" s="365" t="s">
        <v>41</v>
      </c>
      <c r="AJ56" s="365" t="s">
        <v>44</v>
      </c>
      <c r="AK56" s="365" t="s">
        <v>43</v>
      </c>
      <c r="AL56" s="365" t="s">
        <v>42</v>
      </c>
      <c r="AM56" s="365" t="s">
        <v>44</v>
      </c>
      <c r="AN56" s="365" t="s">
        <v>43</v>
      </c>
      <c r="AO56" s="365" t="s">
        <v>41</v>
      </c>
      <c r="AP56" s="365" t="s">
        <v>41</v>
      </c>
      <c r="AQ56" s="365" t="s">
        <v>44</v>
      </c>
      <c r="AR56" s="365" t="s">
        <v>41</v>
      </c>
      <c r="AS56" s="365" t="s">
        <v>41</v>
      </c>
      <c r="AT56" s="365" t="s">
        <v>42</v>
      </c>
      <c r="AU56" s="380"/>
      <c r="AV56" s="369" t="s">
        <v>44</v>
      </c>
      <c r="AW56" s="370">
        <v>3.0</v>
      </c>
      <c r="AX56" s="370">
        <v>3.0</v>
      </c>
      <c r="AY56" s="370">
        <v>3.0</v>
      </c>
      <c r="AZ56" s="370">
        <v>3.0</v>
      </c>
      <c r="BA56" s="371">
        <f t="shared" si="1"/>
        <v>75</v>
      </c>
      <c r="BB56" s="372" t="str">
        <f t="shared" si="2"/>
        <v>Adequado</v>
      </c>
      <c r="BC56" s="373"/>
      <c r="BD56" s="374">
        <f t="shared" si="3"/>
        <v>13</v>
      </c>
      <c r="BE56" s="374">
        <f t="shared" si="4"/>
        <v>306</v>
      </c>
      <c r="BF56" s="375" t="str">
        <f t="shared" si="5"/>
        <v>Adequado</v>
      </c>
      <c r="BG56" s="376">
        <f t="shared" si="6"/>
        <v>14</v>
      </c>
      <c r="BH56" s="374">
        <f t="shared" si="7"/>
        <v>333</v>
      </c>
      <c r="BI56" s="377" t="str">
        <f t="shared" si="8"/>
        <v>Adequado</v>
      </c>
      <c r="BJ56" s="25"/>
      <c r="BK56" s="25"/>
    </row>
    <row r="57" ht="15.75" customHeight="1">
      <c r="A57" s="82">
        <v>28.0</v>
      </c>
      <c r="B57" s="378" t="s">
        <v>241</v>
      </c>
      <c r="C57" s="363" t="s">
        <v>170</v>
      </c>
      <c r="D57" s="379" t="s">
        <v>44</v>
      </c>
      <c r="E57" s="365" t="s">
        <v>42</v>
      </c>
      <c r="F57" s="365" t="s">
        <v>41</v>
      </c>
      <c r="G57" s="365" t="s">
        <v>42</v>
      </c>
      <c r="H57" s="365" t="s">
        <v>44</v>
      </c>
      <c r="I57" s="365" t="s">
        <v>43</v>
      </c>
      <c r="J57" s="365" t="s">
        <v>42</v>
      </c>
      <c r="K57" s="365" t="s">
        <v>42</v>
      </c>
      <c r="L57" s="365" t="s">
        <v>44</v>
      </c>
      <c r="M57" s="365" t="s">
        <v>41</v>
      </c>
      <c r="N57" s="365" t="s">
        <v>41</v>
      </c>
      <c r="O57" s="365" t="s">
        <v>44</v>
      </c>
      <c r="P57" s="365" t="s">
        <v>44</v>
      </c>
      <c r="Q57" s="365" t="s">
        <v>42</v>
      </c>
      <c r="R57" s="365" t="s">
        <v>43</v>
      </c>
      <c r="S57" s="365" t="s">
        <v>44</v>
      </c>
      <c r="T57" s="365" t="s">
        <v>44</v>
      </c>
      <c r="U57" s="365" t="s">
        <v>44</v>
      </c>
      <c r="V57" s="365" t="s">
        <v>41</v>
      </c>
      <c r="W57" s="365" t="s">
        <v>41</v>
      </c>
      <c r="X57" s="366" t="s">
        <v>42</v>
      </c>
      <c r="Y57" s="367" t="s">
        <v>44</v>
      </c>
      <c r="Z57" s="365" t="s">
        <v>43</v>
      </c>
      <c r="AA57" s="365" t="s">
        <v>42</v>
      </c>
      <c r="AB57" s="365" t="s">
        <v>43</v>
      </c>
      <c r="AC57" s="365" t="s">
        <v>41</v>
      </c>
      <c r="AD57" s="365" t="s">
        <v>41</v>
      </c>
      <c r="AE57" s="365" t="s">
        <v>42</v>
      </c>
      <c r="AF57" s="365" t="s">
        <v>44</v>
      </c>
      <c r="AG57" s="365" t="s">
        <v>43</v>
      </c>
      <c r="AH57" s="365" t="s">
        <v>44</v>
      </c>
      <c r="AI57" s="365" t="s">
        <v>41</v>
      </c>
      <c r="AJ57" s="365" t="s">
        <v>42</v>
      </c>
      <c r="AK57" s="365" t="s">
        <v>41</v>
      </c>
      <c r="AL57" s="365" t="s">
        <v>42</v>
      </c>
      <c r="AM57" s="365" t="s">
        <v>41</v>
      </c>
      <c r="AN57" s="365" t="s">
        <v>44</v>
      </c>
      <c r="AO57" s="365" t="s">
        <v>42</v>
      </c>
      <c r="AP57" s="365" t="s">
        <v>41</v>
      </c>
      <c r="AQ57" s="365" t="s">
        <v>44</v>
      </c>
      <c r="AR57" s="365" t="s">
        <v>41</v>
      </c>
      <c r="AS57" s="365" t="s">
        <v>42</v>
      </c>
      <c r="AT57" s="365" t="s">
        <v>44</v>
      </c>
      <c r="AU57" s="368"/>
      <c r="AV57" s="369" t="s">
        <v>44</v>
      </c>
      <c r="AW57" s="370">
        <v>2.0</v>
      </c>
      <c r="AX57" s="370">
        <v>2.0</v>
      </c>
      <c r="AY57" s="370">
        <v>2.0</v>
      </c>
      <c r="AZ57" s="370">
        <v>2.0</v>
      </c>
      <c r="BA57" s="371">
        <f t="shared" si="1"/>
        <v>50</v>
      </c>
      <c r="BB57" s="372" t="str">
        <f t="shared" si="2"/>
        <v>Básico</v>
      </c>
      <c r="BC57" s="373"/>
      <c r="BD57" s="374">
        <f t="shared" si="3"/>
        <v>15</v>
      </c>
      <c r="BE57" s="374">
        <f t="shared" si="4"/>
        <v>324</v>
      </c>
      <c r="BF57" s="375" t="str">
        <f t="shared" si="5"/>
        <v>Adequado</v>
      </c>
      <c r="BG57" s="376">
        <f t="shared" si="6"/>
        <v>17</v>
      </c>
      <c r="BH57" s="374">
        <f t="shared" si="7"/>
        <v>381</v>
      </c>
      <c r="BI57" s="377" t="str">
        <f t="shared" si="8"/>
        <v>Avançado</v>
      </c>
      <c r="BJ57" s="25"/>
      <c r="BK57" s="25"/>
    </row>
    <row r="58" ht="15.75" customHeight="1">
      <c r="A58" s="82">
        <v>29.0</v>
      </c>
      <c r="B58" s="378" t="s">
        <v>242</v>
      </c>
      <c r="C58" s="363" t="s">
        <v>170</v>
      </c>
      <c r="D58" s="379" t="s">
        <v>42</v>
      </c>
      <c r="E58" s="365" t="s">
        <v>42</v>
      </c>
      <c r="F58" s="365" t="s">
        <v>43</v>
      </c>
      <c r="G58" s="365" t="s">
        <v>43</v>
      </c>
      <c r="H58" s="365" t="s">
        <v>42</v>
      </c>
      <c r="I58" s="365" t="s">
        <v>44</v>
      </c>
      <c r="J58" s="365" t="s">
        <v>44</v>
      </c>
      <c r="K58" s="365" t="s">
        <v>43</v>
      </c>
      <c r="L58" s="365" t="s">
        <v>44</v>
      </c>
      <c r="M58" s="365" t="s">
        <v>41</v>
      </c>
      <c r="N58" s="365" t="s">
        <v>41</v>
      </c>
      <c r="O58" s="365" t="s">
        <v>42</v>
      </c>
      <c r="P58" s="365" t="s">
        <v>44</v>
      </c>
      <c r="Q58" s="365" t="s">
        <v>42</v>
      </c>
      <c r="R58" s="365" t="s">
        <v>43</v>
      </c>
      <c r="S58" s="365" t="s">
        <v>44</v>
      </c>
      <c r="T58" s="365" t="s">
        <v>44</v>
      </c>
      <c r="U58" s="365" t="s">
        <v>44</v>
      </c>
      <c r="V58" s="365" t="s">
        <v>42</v>
      </c>
      <c r="W58" s="365" t="s">
        <v>43</v>
      </c>
      <c r="X58" s="366" t="s">
        <v>42</v>
      </c>
      <c r="Y58" s="367" t="s">
        <v>44</v>
      </c>
      <c r="Z58" s="365" t="s">
        <v>43</v>
      </c>
      <c r="AA58" s="365" t="s">
        <v>42</v>
      </c>
      <c r="AB58" s="365" t="s">
        <v>43</v>
      </c>
      <c r="AC58" s="365" t="s">
        <v>41</v>
      </c>
      <c r="AD58" s="365" t="s">
        <v>44</v>
      </c>
      <c r="AE58" s="365" t="s">
        <v>42</v>
      </c>
      <c r="AF58" s="365" t="s">
        <v>44</v>
      </c>
      <c r="AG58" s="365" t="s">
        <v>43</v>
      </c>
      <c r="AH58" s="365" t="s">
        <v>43</v>
      </c>
      <c r="AI58" s="365" t="s">
        <v>44</v>
      </c>
      <c r="AJ58" s="365" t="s">
        <v>42</v>
      </c>
      <c r="AK58" s="365" t="s">
        <v>43</v>
      </c>
      <c r="AL58" s="365" t="s">
        <v>42</v>
      </c>
      <c r="AM58" s="365" t="s">
        <v>41</v>
      </c>
      <c r="AN58" s="365" t="s">
        <v>44</v>
      </c>
      <c r="AO58" s="365" t="s">
        <v>42</v>
      </c>
      <c r="AP58" s="365" t="s">
        <v>42</v>
      </c>
      <c r="AQ58" s="365" t="s">
        <v>44</v>
      </c>
      <c r="AR58" s="365" t="s">
        <v>41</v>
      </c>
      <c r="AS58" s="365" t="s">
        <v>43</v>
      </c>
      <c r="AT58" s="365" t="s">
        <v>42</v>
      </c>
      <c r="AU58" s="368"/>
      <c r="AV58" s="369" t="s">
        <v>44</v>
      </c>
      <c r="AW58" s="370">
        <v>3.0</v>
      </c>
      <c r="AX58" s="370">
        <v>2.0</v>
      </c>
      <c r="AY58" s="370">
        <v>2.0</v>
      </c>
      <c r="AZ58" s="370">
        <v>2.0</v>
      </c>
      <c r="BA58" s="371">
        <f t="shared" si="1"/>
        <v>56.25</v>
      </c>
      <c r="BB58" s="372" t="str">
        <f t="shared" si="2"/>
        <v>Adequado</v>
      </c>
      <c r="BC58" s="373"/>
      <c r="BD58" s="374">
        <f t="shared" si="3"/>
        <v>11</v>
      </c>
      <c r="BE58" s="374">
        <f t="shared" si="4"/>
        <v>288</v>
      </c>
      <c r="BF58" s="375" t="str">
        <f t="shared" si="5"/>
        <v>Adequado</v>
      </c>
      <c r="BG58" s="376">
        <f t="shared" si="6"/>
        <v>16</v>
      </c>
      <c r="BH58" s="374">
        <f t="shared" si="7"/>
        <v>365</v>
      </c>
      <c r="BI58" s="377" t="str">
        <f t="shared" si="8"/>
        <v>Adequado</v>
      </c>
      <c r="BJ58" s="25"/>
      <c r="BK58" s="25"/>
    </row>
    <row r="59" ht="15.75" customHeight="1">
      <c r="A59" s="441">
        <v>30.0</v>
      </c>
      <c r="B59" s="378"/>
      <c r="C59" s="383"/>
      <c r="D59" s="384"/>
      <c r="E59" s="365"/>
      <c r="F59" s="365"/>
      <c r="G59" s="365"/>
      <c r="H59" s="365"/>
      <c r="I59" s="365"/>
      <c r="J59" s="365"/>
      <c r="K59" s="365"/>
      <c r="L59" s="365"/>
      <c r="M59" s="365"/>
      <c r="N59" s="365"/>
      <c r="O59" s="365"/>
      <c r="P59" s="365"/>
      <c r="Q59" s="365"/>
      <c r="R59" s="365"/>
      <c r="S59" s="365"/>
      <c r="T59" s="365"/>
      <c r="U59" s="365"/>
      <c r="V59" s="365"/>
      <c r="W59" s="365"/>
      <c r="X59" s="366"/>
      <c r="Y59" s="367"/>
      <c r="Z59" s="365"/>
      <c r="AA59" s="365"/>
      <c r="AB59" s="365"/>
      <c r="AC59" s="365"/>
      <c r="AD59" s="365"/>
      <c r="AE59" s="365"/>
      <c r="AF59" s="365"/>
      <c r="AG59" s="365"/>
      <c r="AH59" s="365"/>
      <c r="AI59" s="365"/>
      <c r="AJ59" s="365"/>
      <c r="AK59" s="365"/>
      <c r="AL59" s="365"/>
      <c r="AM59" s="365"/>
      <c r="AN59" s="365"/>
      <c r="AO59" s="365"/>
      <c r="AP59" s="365"/>
      <c r="AQ59" s="365"/>
      <c r="AR59" s="365"/>
      <c r="AS59" s="365"/>
      <c r="AT59" s="365"/>
      <c r="AU59" s="368"/>
      <c r="AV59" s="369"/>
      <c r="AW59" s="385"/>
      <c r="AX59" s="385"/>
      <c r="AY59" s="385"/>
      <c r="AZ59" s="385"/>
      <c r="BA59" s="371"/>
      <c r="BB59" s="372"/>
      <c r="BC59" s="373"/>
      <c r="BD59" s="374"/>
      <c r="BE59" s="374"/>
      <c r="BF59" s="375"/>
      <c r="BG59" s="376"/>
      <c r="BH59" s="374"/>
      <c r="BI59" s="377"/>
      <c r="BJ59" s="25"/>
      <c r="BK59" s="25"/>
    </row>
    <row r="60" ht="15.75" customHeight="1">
      <c r="A60" s="441">
        <v>31.0</v>
      </c>
      <c r="B60" s="378"/>
      <c r="C60" s="383"/>
      <c r="D60" s="384"/>
      <c r="E60" s="365"/>
      <c r="F60" s="365"/>
      <c r="G60" s="365"/>
      <c r="H60" s="365"/>
      <c r="I60" s="365"/>
      <c r="J60" s="365"/>
      <c r="K60" s="365"/>
      <c r="L60" s="365"/>
      <c r="M60" s="365"/>
      <c r="N60" s="365"/>
      <c r="O60" s="365"/>
      <c r="P60" s="365"/>
      <c r="Q60" s="365"/>
      <c r="R60" s="365"/>
      <c r="S60" s="365"/>
      <c r="T60" s="365"/>
      <c r="U60" s="365"/>
      <c r="V60" s="365"/>
      <c r="W60" s="365"/>
      <c r="X60" s="366"/>
      <c r="Y60" s="367"/>
      <c r="Z60" s="365"/>
      <c r="AA60" s="365"/>
      <c r="AB60" s="365"/>
      <c r="AC60" s="365"/>
      <c r="AD60" s="365"/>
      <c r="AE60" s="365"/>
      <c r="AF60" s="365"/>
      <c r="AG60" s="365"/>
      <c r="AH60" s="365"/>
      <c r="AI60" s="365"/>
      <c r="AJ60" s="365"/>
      <c r="AK60" s="365"/>
      <c r="AL60" s="365"/>
      <c r="AM60" s="365"/>
      <c r="AN60" s="365"/>
      <c r="AO60" s="365"/>
      <c r="AP60" s="365"/>
      <c r="AQ60" s="365"/>
      <c r="AR60" s="365"/>
      <c r="AS60" s="365"/>
      <c r="AT60" s="365"/>
      <c r="AU60" s="368"/>
      <c r="AV60" s="369"/>
      <c r="AW60" s="385"/>
      <c r="AX60" s="385"/>
      <c r="AY60" s="385"/>
      <c r="AZ60" s="385"/>
      <c r="BA60" s="371"/>
      <c r="BB60" s="372"/>
      <c r="BC60" s="373"/>
      <c r="BD60" s="374"/>
      <c r="BE60" s="374"/>
      <c r="BF60" s="375"/>
      <c r="BG60" s="376"/>
      <c r="BH60" s="374"/>
      <c r="BI60" s="377"/>
      <c r="BJ60" s="25"/>
      <c r="BK60" s="25"/>
    </row>
    <row r="61" ht="15.75" customHeight="1">
      <c r="A61" s="441">
        <v>32.0</v>
      </c>
      <c r="B61" s="378"/>
      <c r="C61" s="383"/>
      <c r="D61" s="384"/>
      <c r="E61" s="365"/>
      <c r="F61" s="365"/>
      <c r="G61" s="365"/>
      <c r="H61" s="365"/>
      <c r="I61" s="365"/>
      <c r="J61" s="365"/>
      <c r="K61" s="365"/>
      <c r="L61" s="365"/>
      <c r="M61" s="365"/>
      <c r="N61" s="365"/>
      <c r="O61" s="365"/>
      <c r="P61" s="365"/>
      <c r="Q61" s="365"/>
      <c r="R61" s="365"/>
      <c r="S61" s="365"/>
      <c r="T61" s="365"/>
      <c r="U61" s="365"/>
      <c r="V61" s="365"/>
      <c r="W61" s="365"/>
      <c r="X61" s="366"/>
      <c r="Y61" s="367"/>
      <c r="Z61" s="365"/>
      <c r="AA61" s="365"/>
      <c r="AB61" s="365"/>
      <c r="AC61" s="365"/>
      <c r="AD61" s="365"/>
      <c r="AE61" s="365"/>
      <c r="AF61" s="365"/>
      <c r="AG61" s="365"/>
      <c r="AH61" s="365"/>
      <c r="AI61" s="365"/>
      <c r="AJ61" s="365"/>
      <c r="AK61" s="365"/>
      <c r="AL61" s="365"/>
      <c r="AM61" s="365"/>
      <c r="AN61" s="365"/>
      <c r="AO61" s="365"/>
      <c r="AP61" s="365"/>
      <c r="AQ61" s="365"/>
      <c r="AR61" s="365"/>
      <c r="AS61" s="365"/>
      <c r="AT61" s="365"/>
      <c r="AU61" s="368"/>
      <c r="AV61" s="369"/>
      <c r="AW61" s="385"/>
      <c r="AX61" s="385"/>
      <c r="AY61" s="385"/>
      <c r="AZ61" s="385"/>
      <c r="BA61" s="371"/>
      <c r="BB61" s="372"/>
      <c r="BC61" s="373"/>
      <c r="BD61" s="374"/>
      <c r="BE61" s="374"/>
      <c r="BF61" s="375"/>
      <c r="BG61" s="376"/>
      <c r="BH61" s="374"/>
      <c r="BI61" s="377"/>
      <c r="BJ61" s="25"/>
      <c r="BK61" s="25"/>
    </row>
    <row r="62" ht="15.75" customHeight="1">
      <c r="A62" s="441">
        <v>33.0</v>
      </c>
      <c r="B62" s="378"/>
      <c r="C62" s="383"/>
      <c r="D62" s="384"/>
      <c r="E62" s="365"/>
      <c r="F62" s="365"/>
      <c r="G62" s="365"/>
      <c r="H62" s="365"/>
      <c r="I62" s="365"/>
      <c r="J62" s="365"/>
      <c r="K62" s="365"/>
      <c r="L62" s="365"/>
      <c r="M62" s="365"/>
      <c r="N62" s="365"/>
      <c r="O62" s="365"/>
      <c r="P62" s="365"/>
      <c r="Q62" s="365"/>
      <c r="R62" s="365"/>
      <c r="S62" s="365"/>
      <c r="T62" s="365"/>
      <c r="U62" s="365"/>
      <c r="V62" s="365"/>
      <c r="W62" s="365"/>
      <c r="X62" s="366"/>
      <c r="Y62" s="367"/>
      <c r="Z62" s="365"/>
      <c r="AA62" s="365"/>
      <c r="AB62" s="365"/>
      <c r="AC62" s="365"/>
      <c r="AD62" s="365"/>
      <c r="AE62" s="365"/>
      <c r="AF62" s="365"/>
      <c r="AG62" s="365"/>
      <c r="AH62" s="365"/>
      <c r="AI62" s="365"/>
      <c r="AJ62" s="365"/>
      <c r="AK62" s="365"/>
      <c r="AL62" s="365"/>
      <c r="AM62" s="365"/>
      <c r="AN62" s="365"/>
      <c r="AO62" s="365"/>
      <c r="AP62" s="365"/>
      <c r="AQ62" s="365"/>
      <c r="AR62" s="365"/>
      <c r="AS62" s="365"/>
      <c r="AT62" s="365"/>
      <c r="AU62" s="368"/>
      <c r="AV62" s="369"/>
      <c r="AW62" s="385"/>
      <c r="AX62" s="385"/>
      <c r="AY62" s="385"/>
      <c r="AZ62" s="385"/>
      <c r="BA62" s="371"/>
      <c r="BB62" s="372"/>
      <c r="BC62" s="373"/>
      <c r="BD62" s="374"/>
      <c r="BE62" s="374"/>
      <c r="BF62" s="375"/>
      <c r="BG62" s="376"/>
      <c r="BH62" s="374"/>
      <c r="BI62" s="377"/>
      <c r="BJ62" s="25"/>
      <c r="BK62" s="25"/>
    </row>
    <row r="63" ht="15.75" customHeight="1">
      <c r="A63" s="441">
        <v>34.0</v>
      </c>
      <c r="B63" s="378"/>
      <c r="C63" s="383"/>
      <c r="D63" s="384"/>
      <c r="E63" s="365"/>
      <c r="F63" s="365"/>
      <c r="G63" s="365"/>
      <c r="H63" s="365"/>
      <c r="I63" s="365"/>
      <c r="J63" s="365"/>
      <c r="K63" s="365"/>
      <c r="L63" s="365"/>
      <c r="M63" s="365"/>
      <c r="N63" s="365"/>
      <c r="O63" s="365"/>
      <c r="P63" s="365"/>
      <c r="Q63" s="365"/>
      <c r="R63" s="365"/>
      <c r="S63" s="365"/>
      <c r="T63" s="365"/>
      <c r="U63" s="365"/>
      <c r="V63" s="365"/>
      <c r="W63" s="365"/>
      <c r="X63" s="366"/>
      <c r="Y63" s="367"/>
      <c r="Z63" s="365"/>
      <c r="AA63" s="365"/>
      <c r="AB63" s="365"/>
      <c r="AC63" s="365"/>
      <c r="AD63" s="365"/>
      <c r="AE63" s="365"/>
      <c r="AF63" s="365"/>
      <c r="AG63" s="365"/>
      <c r="AH63" s="365"/>
      <c r="AI63" s="365"/>
      <c r="AJ63" s="365"/>
      <c r="AK63" s="365"/>
      <c r="AL63" s="365"/>
      <c r="AM63" s="365"/>
      <c r="AN63" s="365"/>
      <c r="AO63" s="365"/>
      <c r="AP63" s="365"/>
      <c r="AQ63" s="365"/>
      <c r="AR63" s="365"/>
      <c r="AS63" s="365"/>
      <c r="AT63" s="365"/>
      <c r="AU63" s="368"/>
      <c r="AV63" s="369"/>
      <c r="AW63" s="385"/>
      <c r="AX63" s="385"/>
      <c r="AY63" s="385"/>
      <c r="AZ63" s="385"/>
      <c r="BA63" s="371"/>
      <c r="BB63" s="372"/>
      <c r="BC63" s="373"/>
      <c r="BD63" s="374"/>
      <c r="BE63" s="374"/>
      <c r="BF63" s="375"/>
      <c r="BG63" s="376"/>
      <c r="BH63" s="374"/>
      <c r="BI63" s="377"/>
      <c r="BJ63" s="25"/>
      <c r="BK63" s="25"/>
    </row>
    <row r="64" ht="15.75" customHeight="1">
      <c r="A64" s="441">
        <v>35.0</v>
      </c>
      <c r="B64" s="378"/>
      <c r="C64" s="383"/>
      <c r="D64" s="384"/>
      <c r="E64" s="365"/>
      <c r="F64" s="365"/>
      <c r="G64" s="365"/>
      <c r="H64" s="365"/>
      <c r="I64" s="365"/>
      <c r="J64" s="365"/>
      <c r="K64" s="365"/>
      <c r="L64" s="365"/>
      <c r="M64" s="365"/>
      <c r="N64" s="365"/>
      <c r="O64" s="365"/>
      <c r="P64" s="365"/>
      <c r="Q64" s="365"/>
      <c r="R64" s="365"/>
      <c r="S64" s="365"/>
      <c r="T64" s="365"/>
      <c r="U64" s="365"/>
      <c r="V64" s="365"/>
      <c r="W64" s="365"/>
      <c r="X64" s="366"/>
      <c r="Y64" s="367"/>
      <c r="Z64" s="365"/>
      <c r="AA64" s="365"/>
      <c r="AB64" s="365"/>
      <c r="AC64" s="365"/>
      <c r="AD64" s="365"/>
      <c r="AE64" s="365"/>
      <c r="AF64" s="365"/>
      <c r="AG64" s="365"/>
      <c r="AH64" s="365"/>
      <c r="AI64" s="365"/>
      <c r="AJ64" s="365"/>
      <c r="AK64" s="365"/>
      <c r="AL64" s="365"/>
      <c r="AM64" s="365"/>
      <c r="AN64" s="365"/>
      <c r="AO64" s="365"/>
      <c r="AP64" s="365"/>
      <c r="AQ64" s="365"/>
      <c r="AR64" s="365"/>
      <c r="AS64" s="365"/>
      <c r="AT64" s="365"/>
      <c r="AU64" s="368"/>
      <c r="AV64" s="369"/>
      <c r="AW64" s="385"/>
      <c r="AX64" s="385"/>
      <c r="AY64" s="385"/>
      <c r="AZ64" s="385"/>
      <c r="BA64" s="371"/>
      <c r="BB64" s="372"/>
      <c r="BC64" s="373"/>
      <c r="BD64" s="374"/>
      <c r="BE64" s="374"/>
      <c r="BF64" s="375"/>
      <c r="BG64" s="376"/>
      <c r="BH64" s="374"/>
      <c r="BI64" s="377"/>
      <c r="BJ64" s="25"/>
      <c r="BK64" s="25"/>
    </row>
    <row r="65" ht="15.75" customHeight="1">
      <c r="A65" s="441">
        <v>36.0</v>
      </c>
      <c r="B65" s="378"/>
      <c r="C65" s="383"/>
      <c r="D65" s="384"/>
      <c r="E65" s="365"/>
      <c r="F65" s="365"/>
      <c r="G65" s="365"/>
      <c r="H65" s="365"/>
      <c r="I65" s="365"/>
      <c r="J65" s="365"/>
      <c r="K65" s="365"/>
      <c r="L65" s="365"/>
      <c r="M65" s="365"/>
      <c r="N65" s="365"/>
      <c r="O65" s="365"/>
      <c r="P65" s="365"/>
      <c r="Q65" s="365"/>
      <c r="R65" s="365"/>
      <c r="S65" s="365"/>
      <c r="T65" s="365"/>
      <c r="U65" s="365"/>
      <c r="V65" s="365"/>
      <c r="W65" s="365"/>
      <c r="X65" s="366"/>
      <c r="Y65" s="367"/>
      <c r="Z65" s="365"/>
      <c r="AA65" s="365"/>
      <c r="AB65" s="365"/>
      <c r="AC65" s="365"/>
      <c r="AD65" s="365"/>
      <c r="AE65" s="365"/>
      <c r="AF65" s="365"/>
      <c r="AG65" s="365"/>
      <c r="AH65" s="365"/>
      <c r="AI65" s="365"/>
      <c r="AJ65" s="365"/>
      <c r="AK65" s="365"/>
      <c r="AL65" s="365"/>
      <c r="AM65" s="365"/>
      <c r="AN65" s="365"/>
      <c r="AO65" s="365"/>
      <c r="AP65" s="365"/>
      <c r="AQ65" s="365"/>
      <c r="AR65" s="365"/>
      <c r="AS65" s="365"/>
      <c r="AT65" s="365"/>
      <c r="AU65" s="368"/>
      <c r="AV65" s="369"/>
      <c r="AW65" s="385"/>
      <c r="AX65" s="385"/>
      <c r="AY65" s="385"/>
      <c r="AZ65" s="385"/>
      <c r="BA65" s="371"/>
      <c r="BB65" s="372"/>
      <c r="BC65" s="373"/>
      <c r="BD65" s="374"/>
      <c r="BE65" s="374"/>
      <c r="BF65" s="375"/>
      <c r="BG65" s="376"/>
      <c r="BH65" s="374"/>
      <c r="BI65" s="377"/>
      <c r="BJ65" s="25"/>
      <c r="BK65" s="25"/>
    </row>
    <row r="66" ht="15.75" customHeight="1">
      <c r="A66" s="441">
        <v>37.0</v>
      </c>
      <c r="B66" s="378"/>
      <c r="C66" s="383"/>
      <c r="D66" s="384"/>
      <c r="E66" s="365"/>
      <c r="F66" s="365"/>
      <c r="G66" s="365"/>
      <c r="H66" s="365"/>
      <c r="I66" s="365"/>
      <c r="J66" s="365"/>
      <c r="K66" s="365"/>
      <c r="L66" s="365"/>
      <c r="M66" s="365"/>
      <c r="N66" s="365"/>
      <c r="O66" s="365"/>
      <c r="P66" s="365"/>
      <c r="Q66" s="365"/>
      <c r="R66" s="365"/>
      <c r="S66" s="365"/>
      <c r="T66" s="365"/>
      <c r="U66" s="365"/>
      <c r="V66" s="365"/>
      <c r="W66" s="365"/>
      <c r="X66" s="366"/>
      <c r="Y66" s="367"/>
      <c r="Z66" s="365"/>
      <c r="AA66" s="365"/>
      <c r="AB66" s="365"/>
      <c r="AC66" s="365"/>
      <c r="AD66" s="365"/>
      <c r="AE66" s="365"/>
      <c r="AF66" s="365"/>
      <c r="AG66" s="365"/>
      <c r="AH66" s="365"/>
      <c r="AI66" s="365"/>
      <c r="AJ66" s="365"/>
      <c r="AK66" s="365"/>
      <c r="AL66" s="365"/>
      <c r="AM66" s="365"/>
      <c r="AN66" s="365"/>
      <c r="AO66" s="365"/>
      <c r="AP66" s="365"/>
      <c r="AQ66" s="365"/>
      <c r="AR66" s="365"/>
      <c r="AS66" s="365"/>
      <c r="AT66" s="365"/>
      <c r="AU66" s="368"/>
      <c r="AV66" s="369"/>
      <c r="AW66" s="385"/>
      <c r="AX66" s="385"/>
      <c r="AY66" s="385"/>
      <c r="AZ66" s="385"/>
      <c r="BA66" s="371"/>
      <c r="BB66" s="372"/>
      <c r="BC66" s="373"/>
      <c r="BD66" s="374"/>
      <c r="BE66" s="374"/>
      <c r="BF66" s="375"/>
      <c r="BG66" s="376"/>
      <c r="BH66" s="374"/>
      <c r="BI66" s="377"/>
      <c r="BJ66" s="25"/>
      <c r="BK66" s="25"/>
    </row>
    <row r="67" ht="15.75" customHeight="1">
      <c r="A67" s="441">
        <v>38.0</v>
      </c>
      <c r="B67" s="378"/>
      <c r="C67" s="383"/>
      <c r="D67" s="384"/>
      <c r="E67" s="365"/>
      <c r="F67" s="365"/>
      <c r="G67" s="365"/>
      <c r="H67" s="365"/>
      <c r="I67" s="365"/>
      <c r="J67" s="365"/>
      <c r="K67" s="365"/>
      <c r="L67" s="365"/>
      <c r="M67" s="365"/>
      <c r="N67" s="365"/>
      <c r="O67" s="365"/>
      <c r="P67" s="365"/>
      <c r="Q67" s="365"/>
      <c r="R67" s="365"/>
      <c r="S67" s="365"/>
      <c r="T67" s="365"/>
      <c r="U67" s="365"/>
      <c r="V67" s="365"/>
      <c r="W67" s="365"/>
      <c r="X67" s="366"/>
      <c r="Y67" s="367"/>
      <c r="Z67" s="365"/>
      <c r="AA67" s="365"/>
      <c r="AB67" s="365"/>
      <c r="AC67" s="365"/>
      <c r="AD67" s="365"/>
      <c r="AE67" s="365"/>
      <c r="AF67" s="365"/>
      <c r="AG67" s="365"/>
      <c r="AH67" s="365"/>
      <c r="AI67" s="365"/>
      <c r="AJ67" s="365"/>
      <c r="AK67" s="365"/>
      <c r="AL67" s="365"/>
      <c r="AM67" s="365"/>
      <c r="AN67" s="365"/>
      <c r="AO67" s="365"/>
      <c r="AP67" s="365"/>
      <c r="AQ67" s="365"/>
      <c r="AR67" s="365"/>
      <c r="AS67" s="365"/>
      <c r="AT67" s="365"/>
      <c r="AU67" s="368"/>
      <c r="AV67" s="369"/>
      <c r="AW67" s="385"/>
      <c r="AX67" s="385"/>
      <c r="AY67" s="385"/>
      <c r="AZ67" s="385"/>
      <c r="BA67" s="371"/>
      <c r="BB67" s="372"/>
      <c r="BC67" s="373"/>
      <c r="BD67" s="374"/>
      <c r="BE67" s="374"/>
      <c r="BF67" s="375"/>
      <c r="BG67" s="376"/>
      <c r="BH67" s="374"/>
      <c r="BI67" s="377"/>
      <c r="BJ67" s="25"/>
      <c r="BK67" s="25"/>
    </row>
    <row r="68" ht="15.75" customHeight="1">
      <c r="A68" s="441">
        <v>39.0</v>
      </c>
      <c r="B68" s="378"/>
      <c r="C68" s="383"/>
      <c r="D68" s="384"/>
      <c r="E68" s="365"/>
      <c r="F68" s="365"/>
      <c r="G68" s="365"/>
      <c r="H68" s="365"/>
      <c r="I68" s="365"/>
      <c r="J68" s="365"/>
      <c r="K68" s="365"/>
      <c r="L68" s="365"/>
      <c r="M68" s="365"/>
      <c r="N68" s="365"/>
      <c r="O68" s="365"/>
      <c r="P68" s="365"/>
      <c r="Q68" s="365"/>
      <c r="R68" s="365"/>
      <c r="S68" s="365"/>
      <c r="T68" s="365"/>
      <c r="U68" s="365"/>
      <c r="V68" s="365"/>
      <c r="W68" s="365"/>
      <c r="X68" s="366"/>
      <c r="Y68" s="367"/>
      <c r="Z68" s="365"/>
      <c r="AA68" s="365"/>
      <c r="AB68" s="365"/>
      <c r="AC68" s="365"/>
      <c r="AD68" s="365"/>
      <c r="AE68" s="365"/>
      <c r="AF68" s="365"/>
      <c r="AG68" s="365"/>
      <c r="AH68" s="365"/>
      <c r="AI68" s="365"/>
      <c r="AJ68" s="365"/>
      <c r="AK68" s="365"/>
      <c r="AL68" s="365"/>
      <c r="AM68" s="365"/>
      <c r="AN68" s="365"/>
      <c r="AO68" s="365"/>
      <c r="AP68" s="365"/>
      <c r="AQ68" s="365"/>
      <c r="AR68" s="365"/>
      <c r="AS68" s="365"/>
      <c r="AT68" s="365"/>
      <c r="AU68" s="368"/>
      <c r="AV68" s="369"/>
      <c r="AW68" s="385"/>
      <c r="AX68" s="385"/>
      <c r="AY68" s="385"/>
      <c r="AZ68" s="385"/>
      <c r="BA68" s="371"/>
      <c r="BB68" s="372"/>
      <c r="BC68" s="373"/>
      <c r="BD68" s="374"/>
      <c r="BE68" s="374"/>
      <c r="BF68" s="375"/>
      <c r="BG68" s="376"/>
      <c r="BH68" s="374"/>
      <c r="BI68" s="377"/>
      <c r="BJ68" s="25"/>
      <c r="BK68" s="25"/>
    </row>
    <row r="69" ht="15.75" customHeight="1">
      <c r="A69" s="441">
        <v>40.0</v>
      </c>
      <c r="B69" s="378"/>
      <c r="C69" s="383"/>
      <c r="D69" s="384"/>
      <c r="E69" s="365"/>
      <c r="F69" s="365"/>
      <c r="G69" s="365"/>
      <c r="H69" s="365"/>
      <c r="I69" s="365"/>
      <c r="J69" s="365"/>
      <c r="K69" s="365"/>
      <c r="L69" s="365"/>
      <c r="M69" s="365"/>
      <c r="N69" s="365"/>
      <c r="O69" s="365"/>
      <c r="P69" s="365"/>
      <c r="Q69" s="365"/>
      <c r="R69" s="365"/>
      <c r="S69" s="365"/>
      <c r="T69" s="365"/>
      <c r="U69" s="365"/>
      <c r="V69" s="365"/>
      <c r="W69" s="365"/>
      <c r="X69" s="366"/>
      <c r="Y69" s="367"/>
      <c r="Z69" s="365"/>
      <c r="AA69" s="365"/>
      <c r="AB69" s="365"/>
      <c r="AC69" s="365"/>
      <c r="AD69" s="365"/>
      <c r="AE69" s="365"/>
      <c r="AF69" s="365"/>
      <c r="AG69" s="365"/>
      <c r="AH69" s="365"/>
      <c r="AI69" s="365"/>
      <c r="AJ69" s="365"/>
      <c r="AK69" s="365"/>
      <c r="AL69" s="365"/>
      <c r="AM69" s="365"/>
      <c r="AN69" s="365"/>
      <c r="AO69" s="365"/>
      <c r="AP69" s="365"/>
      <c r="AQ69" s="365"/>
      <c r="AR69" s="365"/>
      <c r="AS69" s="365"/>
      <c r="AT69" s="365"/>
      <c r="AU69" s="368"/>
      <c r="AV69" s="369"/>
      <c r="AW69" s="385"/>
      <c r="AX69" s="385"/>
      <c r="AY69" s="385"/>
      <c r="AZ69" s="385"/>
      <c r="BA69" s="371"/>
      <c r="BB69" s="372"/>
      <c r="BC69" s="373"/>
      <c r="BD69" s="374"/>
      <c r="BE69" s="374"/>
      <c r="BF69" s="375"/>
      <c r="BG69" s="376"/>
      <c r="BH69" s="374"/>
      <c r="BI69" s="377"/>
      <c r="BJ69" s="25"/>
      <c r="BK69" s="25"/>
    </row>
    <row r="70" ht="15.75" customHeight="1">
      <c r="A70" s="442" t="s">
        <v>202</v>
      </c>
      <c r="B70" s="29"/>
      <c r="C70" s="41"/>
      <c r="D70" s="387">
        <f>COUNTIF(D30:D69,"D")</f>
        <v>4</v>
      </c>
      <c r="E70" s="387">
        <f>COUNTIF(E30:E69,"C")</f>
        <v>4</v>
      </c>
      <c r="F70" s="387">
        <f>COUNTIF(F30:F69,"D")</f>
        <v>14</v>
      </c>
      <c r="G70" s="387">
        <f>COUNTIF(G30:G69,"A")</f>
        <v>8</v>
      </c>
      <c r="H70" s="387">
        <f>COUNTIF(H30:H69,"B")</f>
        <v>19</v>
      </c>
      <c r="I70" s="387">
        <f>COUNTIF(I30:I69,"A")</f>
        <v>10</v>
      </c>
      <c r="J70" s="387">
        <f>COUNTIF(J30:J69,"C")</f>
        <v>2</v>
      </c>
      <c r="K70" s="387">
        <f t="shared" ref="K70:L70" si="9">COUNTIF(K30:K69,"D")</f>
        <v>8</v>
      </c>
      <c r="L70" s="387">
        <f t="shared" si="9"/>
        <v>0</v>
      </c>
      <c r="M70" s="387">
        <f>COUNTIF(M30:M69,"C")</f>
        <v>15</v>
      </c>
      <c r="N70" s="387">
        <f>COUNTIF(N30:N69,"B")</f>
        <v>3</v>
      </c>
      <c r="O70" s="387">
        <f>COUNTIF(O30:O69,"C")</f>
        <v>0</v>
      </c>
      <c r="P70" s="387">
        <f>COUNTIF(P30:P69,"B")</f>
        <v>0</v>
      </c>
      <c r="Q70" s="387">
        <f>COUNTIF(Q30:Q69,"C")</f>
        <v>3</v>
      </c>
      <c r="R70" s="387">
        <f>COUNTIF(R30:R69,"B")</f>
        <v>0</v>
      </c>
      <c r="S70" s="387">
        <f>COUNTIF(S30:S69,"D")</f>
        <v>2</v>
      </c>
      <c r="T70" s="387">
        <f t="shared" ref="T70:U70" si="10">COUNTIF(T30:T69,"C")</f>
        <v>3</v>
      </c>
      <c r="U70" s="387">
        <f t="shared" si="10"/>
        <v>1</v>
      </c>
      <c r="V70" s="387">
        <f t="shared" ref="V70:W70" si="11">COUNTIF(V30:V69,"A")</f>
        <v>0</v>
      </c>
      <c r="W70" s="387">
        <f t="shared" si="11"/>
        <v>1</v>
      </c>
      <c r="X70" s="388">
        <f>COUNTIF(X30:X69,"B")</f>
        <v>21</v>
      </c>
      <c r="Y70" s="389">
        <f>COUNTIF(Y30:Y69,"C")</f>
        <v>1</v>
      </c>
      <c r="Z70" s="390">
        <f>COUNTIF(Z30:Z69,"A")</f>
        <v>1</v>
      </c>
      <c r="AA70" s="390">
        <f>COUNTIF(AA30:AA69,"B")</f>
        <v>27</v>
      </c>
      <c r="AB70" s="390">
        <f>COUNTIF(AB30:AB69,"D")</f>
        <v>25</v>
      </c>
      <c r="AC70" s="390">
        <f>COUNTIF(AC30:AC69,"A")</f>
        <v>4</v>
      </c>
      <c r="AD70" s="390">
        <f>COUNTIF(AD30:AD69,"D")</f>
        <v>6</v>
      </c>
      <c r="AE70" s="390">
        <f>COUNTIF(AE30:AE69,"B")</f>
        <v>21</v>
      </c>
      <c r="AF70" s="390">
        <f>COUNTIF(AF30:AF69,"C")</f>
        <v>1</v>
      </c>
      <c r="AG70" s="390">
        <f>COUNTIF(AG30:AG69,"A")</f>
        <v>3</v>
      </c>
      <c r="AH70" s="390">
        <f>COUNTIF(AH30:AH69,"C")</f>
        <v>7</v>
      </c>
      <c r="AI70" s="390">
        <f>COUNTIF(AI30:AI69,"B")</f>
        <v>0</v>
      </c>
      <c r="AJ70" s="390">
        <f>COUNTIF(AJ30:AJ69,"C")</f>
        <v>1</v>
      </c>
      <c r="AK70" s="390">
        <f>COUNTIF(AK30:AK69,"A")</f>
        <v>1</v>
      </c>
      <c r="AL70" s="390">
        <f t="shared" ref="AL70:AM70" si="12">COUNTIF(AL30:AL69,"D")</f>
        <v>1</v>
      </c>
      <c r="AM70" s="390">
        <f t="shared" si="12"/>
        <v>2</v>
      </c>
      <c r="AN70" s="390">
        <f t="shared" ref="AN70:AO70" si="13">COUNTIF(AN30:AN69,"C")</f>
        <v>2</v>
      </c>
      <c r="AO70" s="390">
        <f t="shared" si="13"/>
        <v>3</v>
      </c>
      <c r="AP70" s="390">
        <f>COUNTIF(AP30:AP69,"A")</f>
        <v>2</v>
      </c>
      <c r="AQ70" s="390">
        <f>COUNTIF(AQ30:AQ69,"D")</f>
        <v>2</v>
      </c>
      <c r="AR70" s="390">
        <f>COUNTIF(AR30:AR69,"B")</f>
        <v>3</v>
      </c>
      <c r="AS70" s="390">
        <f>COUNTIF(AS30:AS69,"D")</f>
        <v>3</v>
      </c>
      <c r="AT70" s="390">
        <f>COUNTIF(AT30:AT69,"A")</f>
        <v>8</v>
      </c>
      <c r="AU70" s="368"/>
      <c r="AV70" s="368"/>
      <c r="AW70" s="368"/>
      <c r="AX70" s="368"/>
      <c r="AY70" s="368"/>
      <c r="AZ70" s="368"/>
      <c r="BA70" s="368"/>
      <c r="BB70" s="368"/>
      <c r="BC70" s="368"/>
      <c r="BD70" s="368"/>
      <c r="BE70" s="368"/>
      <c r="BF70" s="368"/>
      <c r="BG70" s="368"/>
      <c r="BH70" s="368"/>
      <c r="BI70" s="368"/>
    </row>
    <row r="71" ht="64.5" customHeight="1">
      <c r="AU71" s="88"/>
    </row>
    <row r="72" ht="12.0" customHeight="1">
      <c r="A72" s="89"/>
      <c r="B72" s="90"/>
      <c r="C72" s="90"/>
      <c r="D72" s="391" t="s">
        <v>51</v>
      </c>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c r="AE72" s="392"/>
      <c r="AF72" s="392"/>
      <c r="AG72" s="392"/>
      <c r="AH72" s="392"/>
      <c r="AI72" s="393"/>
      <c r="AJ72" s="93"/>
      <c r="AK72" s="394" t="s">
        <v>87</v>
      </c>
      <c r="AL72" s="395"/>
      <c r="AM72" s="395"/>
      <c r="AN72" s="395"/>
      <c r="AO72" s="395"/>
      <c r="AP72" s="395"/>
      <c r="AQ72" s="395"/>
      <c r="AR72" s="395"/>
      <c r="AS72" s="395"/>
      <c r="AT72" s="396"/>
    </row>
    <row r="73" ht="12.0" customHeight="1">
      <c r="A73" s="94"/>
      <c r="B73" s="95"/>
      <c r="C73" s="95"/>
      <c r="D73" s="397" t="s">
        <v>52</v>
      </c>
      <c r="E73" s="14"/>
      <c r="F73" s="398" t="s">
        <v>53</v>
      </c>
      <c r="G73" s="399" t="s">
        <v>54</v>
      </c>
      <c r="H73" s="400" t="s">
        <v>55</v>
      </c>
      <c r="AI73" s="14"/>
      <c r="AJ73" s="101"/>
      <c r="AK73" s="401"/>
      <c r="AL73" s="402"/>
      <c r="AM73" s="402"/>
      <c r="AN73" s="402"/>
      <c r="AO73" s="402"/>
      <c r="AP73" s="402"/>
      <c r="AQ73" s="402"/>
      <c r="AR73" s="402"/>
      <c r="AS73" s="402"/>
      <c r="AT73" s="403"/>
    </row>
    <row r="74">
      <c r="A74" s="94"/>
      <c r="B74" s="95"/>
      <c r="C74" s="95"/>
      <c r="D74" s="102"/>
      <c r="E74" s="24"/>
      <c r="F74" s="65"/>
      <c r="G74" s="65"/>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4"/>
      <c r="AJ74" s="101"/>
      <c r="AK74" s="404"/>
      <c r="AL74" s="405"/>
      <c r="AM74" s="406" t="s">
        <v>10</v>
      </c>
      <c r="AN74" s="407" t="s">
        <v>44</v>
      </c>
      <c r="AO74" s="408" t="s">
        <v>10</v>
      </c>
      <c r="AP74" s="409" t="s">
        <v>42</v>
      </c>
      <c r="AQ74" s="408" t="s">
        <v>10</v>
      </c>
      <c r="AR74" s="409" t="s">
        <v>41</v>
      </c>
      <c r="AS74" s="408" t="s">
        <v>10</v>
      </c>
      <c r="AT74" s="409" t="s">
        <v>43</v>
      </c>
    </row>
    <row r="75">
      <c r="A75" s="94"/>
      <c r="B75" s="95"/>
      <c r="C75" s="103"/>
      <c r="D75" s="104" t="s">
        <v>16</v>
      </c>
      <c r="E75" s="105">
        <v>1.0</v>
      </c>
      <c r="F75" s="106">
        <f>D70</f>
        <v>4</v>
      </c>
      <c r="G75" s="107">
        <f t="shared" ref="G75:G117" si="14">SUM(F75/C$18*100)</f>
        <v>13.79310345</v>
      </c>
      <c r="H75" s="108" t="s">
        <v>56</v>
      </c>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10"/>
      <c r="AJ75" s="111"/>
      <c r="AK75" s="156" t="s">
        <v>16</v>
      </c>
      <c r="AL75" s="112">
        <v>1.0</v>
      </c>
      <c r="AM75" s="113">
        <f>COUNTIF(D30:D69,"A")</f>
        <v>15</v>
      </c>
      <c r="AN75" s="410">
        <f>SUM(AM75/C18*100)</f>
        <v>51.72413793</v>
      </c>
      <c r="AO75" s="208">
        <f>COUNTIF(D30:D69,"B")</f>
        <v>8</v>
      </c>
      <c r="AP75" s="410">
        <f>SUM(AO75/C18*100)</f>
        <v>27.5862069</v>
      </c>
      <c r="AQ75" s="208">
        <f>COUNTIF(D30:D69,"C")</f>
        <v>2</v>
      </c>
      <c r="AR75" s="410">
        <f>SUM(AQ75/C18*100)</f>
        <v>6.896551724</v>
      </c>
      <c r="AS75" s="208">
        <f>COUNTIF(D30:D69,"D")</f>
        <v>4</v>
      </c>
      <c r="AT75" s="411">
        <f>SUM(AS75/C18*100)</f>
        <v>13.79310345</v>
      </c>
    </row>
    <row r="76">
      <c r="A76" s="94"/>
      <c r="B76" s="95"/>
      <c r="C76" s="103"/>
      <c r="D76" s="47"/>
      <c r="E76" s="112">
        <v>2.0</v>
      </c>
      <c r="F76" s="113">
        <f>E70</f>
        <v>4</v>
      </c>
      <c r="G76" s="107">
        <f t="shared" si="14"/>
        <v>13.79310345</v>
      </c>
      <c r="H76" s="108" t="s">
        <v>57</v>
      </c>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10"/>
      <c r="AJ76" s="111"/>
      <c r="AL76" s="112">
        <v>2.0</v>
      </c>
      <c r="AM76" s="113">
        <f>COUNTIF(E30:E69,"A")</f>
        <v>2</v>
      </c>
      <c r="AN76" s="410">
        <f>SUM(AM76/C18*100)</f>
        <v>6.896551724</v>
      </c>
      <c r="AO76" s="208">
        <f>COUNTIF(E30:E69,"B")</f>
        <v>23</v>
      </c>
      <c r="AP76" s="410">
        <f>SUM(AO76/C18*100)</f>
        <v>79.31034483</v>
      </c>
      <c r="AQ76" s="208">
        <f>COUNTIF(E30:E69,"C")</f>
        <v>4</v>
      </c>
      <c r="AR76" s="410">
        <f>SUM(AQ76/C18*100)</f>
        <v>13.79310345</v>
      </c>
      <c r="AS76" s="208">
        <f>COUNTIF(E30:E69,"D")</f>
        <v>0</v>
      </c>
      <c r="AT76" s="411">
        <f>SUM(AS76/C18*100)</f>
        <v>0</v>
      </c>
    </row>
    <row r="77">
      <c r="A77" s="94"/>
      <c r="B77" s="95"/>
      <c r="C77" s="103"/>
      <c r="D77" s="47"/>
      <c r="E77" s="112">
        <v>3.0</v>
      </c>
      <c r="F77" s="114">
        <f>F70</f>
        <v>14</v>
      </c>
      <c r="G77" s="107">
        <f t="shared" si="14"/>
        <v>48.27586207</v>
      </c>
      <c r="H77" s="108" t="s">
        <v>58</v>
      </c>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10"/>
      <c r="AJ77" s="111"/>
      <c r="AL77" s="112">
        <v>3.0</v>
      </c>
      <c r="AM77" s="113">
        <f>COUNTIF(F30:F69,"A")</f>
        <v>1</v>
      </c>
      <c r="AN77" s="410">
        <f>SUM(AM77/C18*100)</f>
        <v>3.448275862</v>
      </c>
      <c r="AO77" s="208">
        <f>COUNTIF(F30:F69,"B")</f>
        <v>2</v>
      </c>
      <c r="AP77" s="410">
        <f>SUM(AO77/C18*100)</f>
        <v>6.896551724</v>
      </c>
      <c r="AQ77" s="208">
        <f>COUNTIF(F30:F69,"C")</f>
        <v>12</v>
      </c>
      <c r="AR77" s="410">
        <f>SUM(AQ77/C18*100)</f>
        <v>41.37931034</v>
      </c>
      <c r="AS77" s="208">
        <f>COUNTIF(F30:F69,"D")</f>
        <v>14</v>
      </c>
      <c r="AT77" s="411">
        <f>SUM(AS77/C18*100)</f>
        <v>48.27586207</v>
      </c>
    </row>
    <row r="78">
      <c r="A78" s="94"/>
      <c r="B78" s="95"/>
      <c r="C78" s="103"/>
      <c r="D78" s="47"/>
      <c r="E78" s="112">
        <v>4.0</v>
      </c>
      <c r="F78" s="113">
        <f>G70</f>
        <v>8</v>
      </c>
      <c r="G78" s="107">
        <f t="shared" si="14"/>
        <v>27.5862069</v>
      </c>
      <c r="H78" s="412" t="s">
        <v>57</v>
      </c>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10"/>
      <c r="AJ78" s="111"/>
      <c r="AL78" s="112">
        <v>4.0</v>
      </c>
      <c r="AM78" s="113">
        <f>COUNTIF(G30:G69,"A")</f>
        <v>8</v>
      </c>
      <c r="AN78" s="410">
        <f>SUM(AM78/C18*100)</f>
        <v>27.5862069</v>
      </c>
      <c r="AO78" s="208">
        <f>COUNTIF(G30:G69,"B")</f>
        <v>16</v>
      </c>
      <c r="AP78" s="410">
        <f>SUM(AO78/C18*100)</f>
        <v>55.17241379</v>
      </c>
      <c r="AQ78" s="208">
        <f>COUNTIF(G30:G69,"C")</f>
        <v>3</v>
      </c>
      <c r="AR78" s="410">
        <f>SUM(AQ78/C18*100)</f>
        <v>10.34482759</v>
      </c>
      <c r="AS78" s="208">
        <f>COUNTIF(G30:G69,"D")</f>
        <v>2</v>
      </c>
      <c r="AT78" s="411">
        <f>SUM(AS78/C18*100)</f>
        <v>6.896551724</v>
      </c>
    </row>
    <row r="79">
      <c r="A79" s="94"/>
      <c r="B79" s="95"/>
      <c r="C79" s="103"/>
      <c r="D79" s="47"/>
      <c r="E79" s="112">
        <v>5.0</v>
      </c>
      <c r="F79" s="113">
        <f>H70</f>
        <v>19</v>
      </c>
      <c r="G79" s="107">
        <f t="shared" si="14"/>
        <v>65.51724138</v>
      </c>
      <c r="H79" s="412" t="s">
        <v>59</v>
      </c>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10"/>
      <c r="AJ79" s="111"/>
      <c r="AL79" s="112">
        <v>5.0</v>
      </c>
      <c r="AM79" s="113">
        <f>COUNTIF(H30:H69,"A")</f>
        <v>3</v>
      </c>
      <c r="AN79" s="410">
        <f>SUM(AM79/C18*100)</f>
        <v>10.34482759</v>
      </c>
      <c r="AO79" s="208">
        <f>COUNTIF(H30:H69,"B")</f>
        <v>19</v>
      </c>
      <c r="AP79" s="410">
        <f>SUM(AO79/C18*100)</f>
        <v>65.51724138</v>
      </c>
      <c r="AQ79" s="208">
        <f>COUNTIF(H30:H69,"C")</f>
        <v>0</v>
      </c>
      <c r="AR79" s="410">
        <f>SUM(AQ79/C18*100)</f>
        <v>0</v>
      </c>
      <c r="AS79" s="208">
        <f>COUNTIF(H30:H69,"D")</f>
        <v>7</v>
      </c>
      <c r="AT79" s="411">
        <f>SUM(AS79/C18*100)</f>
        <v>24.13793103</v>
      </c>
    </row>
    <row r="80">
      <c r="A80" s="94"/>
      <c r="B80" s="95"/>
      <c r="C80" s="103"/>
      <c r="D80" s="47"/>
      <c r="E80" s="112">
        <v>6.0</v>
      </c>
      <c r="F80" s="113">
        <f>I70</f>
        <v>10</v>
      </c>
      <c r="G80" s="107">
        <f t="shared" si="14"/>
        <v>34.48275862</v>
      </c>
      <c r="H80" s="412" t="s">
        <v>57</v>
      </c>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10"/>
      <c r="AJ80" s="111"/>
      <c r="AL80" s="112">
        <v>6.0</v>
      </c>
      <c r="AM80" s="113">
        <f>COUNTIF(I30:I69,"A")</f>
        <v>10</v>
      </c>
      <c r="AN80" s="410">
        <f>SUM(AM80/C18*100)</f>
        <v>34.48275862</v>
      </c>
      <c r="AO80" s="208">
        <f>COUNTIF(I30:I69,"B")</f>
        <v>0</v>
      </c>
      <c r="AP80" s="410">
        <f>SUM(AO80/C18*100)</f>
        <v>0</v>
      </c>
      <c r="AQ80" s="208">
        <f>COUNTIF(I30:I69,"C")</f>
        <v>3</v>
      </c>
      <c r="AR80" s="410">
        <f>SUM(AQ80/C18*100)</f>
        <v>10.34482759</v>
      </c>
      <c r="AS80" s="208">
        <f>COUNTIF(I30:I69,"D")</f>
        <v>16</v>
      </c>
      <c r="AT80" s="411">
        <f>SUM(AS80/C18*100)</f>
        <v>55.17241379</v>
      </c>
    </row>
    <row r="81">
      <c r="A81" s="94"/>
      <c r="B81" s="95"/>
      <c r="C81" s="103"/>
      <c r="D81" s="47"/>
      <c r="E81" s="112">
        <v>7.0</v>
      </c>
      <c r="F81" s="113">
        <f>J70</f>
        <v>2</v>
      </c>
      <c r="G81" s="107">
        <f t="shared" si="14"/>
        <v>6.896551724</v>
      </c>
      <c r="H81" s="412" t="s">
        <v>60</v>
      </c>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10"/>
      <c r="AJ81" s="111"/>
      <c r="AL81" s="112">
        <v>7.0</v>
      </c>
      <c r="AM81" s="113">
        <f>COUNTIF(J30:J69,"A")</f>
        <v>12</v>
      </c>
      <c r="AN81" s="410">
        <f>SUM(AM81/C18*100)</f>
        <v>41.37931034</v>
      </c>
      <c r="AO81" s="208">
        <f>COUNTIF(J30:J69,"B")</f>
        <v>14</v>
      </c>
      <c r="AP81" s="410">
        <f>SUM(AO81/C18*100)</f>
        <v>48.27586207</v>
      </c>
      <c r="AQ81" s="208">
        <f>COUNTIF(J30:J69,"C")</f>
        <v>2</v>
      </c>
      <c r="AR81" s="410">
        <f>SUM(AQ81/C18*100)</f>
        <v>6.896551724</v>
      </c>
      <c r="AS81" s="208">
        <f>COUNTIF(J30:J69,"D")</f>
        <v>1</v>
      </c>
      <c r="AT81" s="411">
        <f>SUM(AS81/C18*100)</f>
        <v>3.448275862</v>
      </c>
    </row>
    <row r="82">
      <c r="A82" s="94"/>
      <c r="B82" s="95"/>
      <c r="C82" s="103"/>
      <c r="D82" s="47"/>
      <c r="E82" s="112">
        <v>8.0</v>
      </c>
      <c r="F82" s="113">
        <f>K70</f>
        <v>8</v>
      </c>
      <c r="G82" s="107">
        <f t="shared" si="14"/>
        <v>27.5862069</v>
      </c>
      <c r="H82" s="412" t="s">
        <v>61</v>
      </c>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10"/>
      <c r="AJ82" s="115"/>
      <c r="AL82" s="112">
        <v>8.0</v>
      </c>
      <c r="AM82" s="113">
        <f>COUNTIF(K30:K69,"A")</f>
        <v>1</v>
      </c>
      <c r="AN82" s="410">
        <f>SUM(AM82/C18*100)</f>
        <v>3.448275862</v>
      </c>
      <c r="AO82" s="208">
        <f>COUNTIF(K30:K69,"B")</f>
        <v>17</v>
      </c>
      <c r="AP82" s="410">
        <f>SUM(AO82/C18*100)</f>
        <v>58.62068966</v>
      </c>
      <c r="AQ82" s="208">
        <f>COUNTIF(K30:K69,"C")</f>
        <v>2</v>
      </c>
      <c r="AR82" s="410">
        <f>SUM(AQ82/C18*100)</f>
        <v>6.896551724</v>
      </c>
      <c r="AS82" s="208">
        <f>COUNTIF(K30:K69,"D")</f>
        <v>8</v>
      </c>
      <c r="AT82" s="411">
        <f>SUM(AS82/C18*100)</f>
        <v>27.5862069</v>
      </c>
    </row>
    <row r="83">
      <c r="A83" s="94"/>
      <c r="B83" s="95"/>
      <c r="C83" s="103"/>
      <c r="D83" s="47"/>
      <c r="E83" s="112">
        <v>9.0</v>
      </c>
      <c r="F83" s="113">
        <f>L70</f>
        <v>0</v>
      </c>
      <c r="G83" s="107">
        <f t="shared" si="14"/>
        <v>0</v>
      </c>
      <c r="H83" s="412" t="s">
        <v>62</v>
      </c>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10"/>
      <c r="AJ83" s="111"/>
      <c r="AL83" s="112">
        <v>9.0</v>
      </c>
      <c r="AM83" s="413">
        <f>COUNTIF(L30:L69,"A")</f>
        <v>19</v>
      </c>
      <c r="AN83" s="410">
        <f>SUM(AM83/C18*100)</f>
        <v>65.51724138</v>
      </c>
      <c r="AO83" s="414">
        <f>COUNTIF(L30:L69,"B")</f>
        <v>8</v>
      </c>
      <c r="AP83" s="410">
        <f>SUM(AO83/C18*100)</f>
        <v>27.5862069</v>
      </c>
      <c r="AQ83" s="414">
        <f>COUNTIF(L30:L69,"C")</f>
        <v>2</v>
      </c>
      <c r="AR83" s="410">
        <f>SUM(AQ83/C18*100)</f>
        <v>6.896551724</v>
      </c>
      <c r="AS83" s="414">
        <f>COUNTIF(L30:L69,"D")</f>
        <v>0</v>
      </c>
      <c r="AT83" s="411">
        <f>SUM(AS83/C18*100)</f>
        <v>0</v>
      </c>
    </row>
    <row r="84">
      <c r="A84" s="94"/>
      <c r="B84" s="95"/>
      <c r="C84" s="103"/>
      <c r="D84" s="47"/>
      <c r="E84" s="112">
        <v>10.0</v>
      </c>
      <c r="F84" s="113">
        <f>M70</f>
        <v>15</v>
      </c>
      <c r="G84" s="107">
        <f t="shared" si="14"/>
        <v>51.72413793</v>
      </c>
      <c r="H84" s="412" t="s">
        <v>58</v>
      </c>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10"/>
      <c r="AJ84" s="111"/>
      <c r="AL84" s="112">
        <v>10.0</v>
      </c>
      <c r="AM84" s="113">
        <f>COUNTIF(M30:M69,"A")</f>
        <v>5</v>
      </c>
      <c r="AN84" s="410">
        <f>SUM(AM84/C18*100)</f>
        <v>17.24137931</v>
      </c>
      <c r="AO84" s="208">
        <f>COUNTIF(M30:M69,"B")</f>
        <v>4</v>
      </c>
      <c r="AP84" s="410">
        <f>SUM(AO84/C18*100)</f>
        <v>13.79310345</v>
      </c>
      <c r="AQ84" s="208">
        <f>COUNTIF(M30:M69,"C")</f>
        <v>15</v>
      </c>
      <c r="AR84" s="410">
        <f>SUM(AQ84/C18*100)</f>
        <v>51.72413793</v>
      </c>
      <c r="AS84" s="208">
        <f>COUNTIF(M30:M69,"D")</f>
        <v>5</v>
      </c>
      <c r="AT84" s="411">
        <f>SUM(AS84/C18*100)</f>
        <v>17.24137931</v>
      </c>
    </row>
    <row r="85">
      <c r="A85" s="94"/>
      <c r="B85" s="95"/>
      <c r="C85" s="103"/>
      <c r="D85" s="47"/>
      <c r="E85" s="112">
        <v>11.0</v>
      </c>
      <c r="F85" s="113">
        <f>N70</f>
        <v>3</v>
      </c>
      <c r="G85" s="107">
        <f t="shared" si="14"/>
        <v>10.34482759</v>
      </c>
      <c r="H85" s="412" t="s">
        <v>63</v>
      </c>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10"/>
      <c r="AJ85" s="111"/>
      <c r="AL85" s="112">
        <v>11.0</v>
      </c>
      <c r="AM85" s="113">
        <f>COUNTIF(N30:N69,"A")</f>
        <v>6</v>
      </c>
      <c r="AN85" s="410">
        <f>SUM(AM85/C18*100)</f>
        <v>20.68965517</v>
      </c>
      <c r="AO85" s="208">
        <f>COUNTIF(N30:N69,"B")</f>
        <v>3</v>
      </c>
      <c r="AP85" s="410">
        <f>SUM(AO85/C18*100)</f>
        <v>10.34482759</v>
      </c>
      <c r="AQ85" s="208">
        <f>COUNTIF(N30:N69,"C")</f>
        <v>17</v>
      </c>
      <c r="AR85" s="410">
        <f>SUM(AQ85/C18*100)</f>
        <v>58.62068966</v>
      </c>
      <c r="AS85" s="208">
        <f>COUNTIF(N30:N69,"D")</f>
        <v>3</v>
      </c>
      <c r="AT85" s="411">
        <f>SUM(AS85/C18*100)</f>
        <v>10.34482759</v>
      </c>
    </row>
    <row r="86">
      <c r="A86" s="94"/>
      <c r="B86" s="95"/>
      <c r="C86" s="103"/>
      <c r="D86" s="47"/>
      <c r="E86" s="112">
        <v>12.0</v>
      </c>
      <c r="F86" s="113">
        <f>O70</f>
        <v>0</v>
      </c>
      <c r="G86" s="107">
        <f t="shared" si="14"/>
        <v>0</v>
      </c>
      <c r="H86" s="108" t="s">
        <v>64</v>
      </c>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10"/>
      <c r="AJ86" s="116"/>
      <c r="AL86" s="112">
        <v>12.0</v>
      </c>
      <c r="AM86" s="113">
        <f>COUNTIF(O30:O69,"A")</f>
        <v>12</v>
      </c>
      <c r="AN86" s="410">
        <f>SUM(AM86/C18*100)</f>
        <v>41.37931034</v>
      </c>
      <c r="AO86" s="208">
        <f>COUNTIF(O30:O69,"B")</f>
        <v>14</v>
      </c>
      <c r="AP86" s="410">
        <f>SUM(AO86/C18*100)</f>
        <v>48.27586207</v>
      </c>
      <c r="AQ86" s="208">
        <f>COUNTIF(O30:O69,"C")</f>
        <v>0</v>
      </c>
      <c r="AR86" s="410">
        <f>SUM(AQ86/C18*100)</f>
        <v>0</v>
      </c>
      <c r="AS86" s="208">
        <f>COUNTIF(O30:O69,"D")</f>
        <v>2</v>
      </c>
      <c r="AT86" s="411">
        <f>SUM(AS86/C18*100)</f>
        <v>6.896551724</v>
      </c>
    </row>
    <row r="87">
      <c r="A87" s="94"/>
      <c r="B87" s="95"/>
      <c r="C87" s="103"/>
      <c r="D87" s="47"/>
      <c r="E87" s="112">
        <v>13.0</v>
      </c>
      <c r="F87" s="113">
        <f>P70</f>
        <v>0</v>
      </c>
      <c r="G87" s="107">
        <f t="shared" si="14"/>
        <v>0</v>
      </c>
      <c r="H87" s="412" t="s">
        <v>63</v>
      </c>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10"/>
      <c r="AJ87" s="111"/>
      <c r="AL87" s="112">
        <v>13.0</v>
      </c>
      <c r="AM87" s="113">
        <f>COUNTIF(P30:P69,"A")</f>
        <v>25</v>
      </c>
      <c r="AN87" s="410">
        <f>SUM(AM87/C18*100)</f>
        <v>86.20689655</v>
      </c>
      <c r="AO87" s="208">
        <f>COUNTIF(P30:P69,"B")</f>
        <v>0</v>
      </c>
      <c r="AP87" s="410">
        <f>SUM(AO87/C18*100)</f>
        <v>0</v>
      </c>
      <c r="AQ87" s="208">
        <f>COUNTIF(P30:P69,"C")</f>
        <v>3</v>
      </c>
      <c r="AR87" s="410">
        <f>SUM(AQ87/C18*100)</f>
        <v>10.34482759</v>
      </c>
      <c r="AS87" s="208">
        <f>COUNTIF(P30:P69,"D")</f>
        <v>0</v>
      </c>
      <c r="AT87" s="411">
        <f>SUM(AS87/C18*100)</f>
        <v>0</v>
      </c>
    </row>
    <row r="88">
      <c r="A88" s="94"/>
      <c r="B88" s="95"/>
      <c r="C88" s="103"/>
      <c r="D88" s="47"/>
      <c r="E88" s="112">
        <v>14.0</v>
      </c>
      <c r="F88" s="113">
        <f>Q70</f>
        <v>3</v>
      </c>
      <c r="G88" s="107">
        <f t="shared" si="14"/>
        <v>10.34482759</v>
      </c>
      <c r="H88" s="108" t="s">
        <v>65</v>
      </c>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10"/>
      <c r="AJ88" s="111"/>
      <c r="AL88" s="112">
        <v>14.0</v>
      </c>
      <c r="AM88" s="113">
        <f>COUNTIF(Q30:Q69,"A")</f>
        <v>0</v>
      </c>
      <c r="AN88" s="410">
        <f>SUM(AM88/C18*100)</f>
        <v>0</v>
      </c>
      <c r="AO88" s="208">
        <f>COUNTIF(Q30:Q69,"B")</f>
        <v>24</v>
      </c>
      <c r="AP88" s="410">
        <f>SUM(AO88/C18*100)</f>
        <v>82.75862069</v>
      </c>
      <c r="AQ88" s="208">
        <f>COUNTIF(Q30:Q69,"C")</f>
        <v>3</v>
      </c>
      <c r="AR88" s="410">
        <f>SUM(AQ88/C18*100)</f>
        <v>10.34482759</v>
      </c>
      <c r="AS88" s="208">
        <f>COUNTIF(Q30:Q69,"D")</f>
        <v>1</v>
      </c>
      <c r="AT88" s="411">
        <f>SUM(AS88/C18*100)</f>
        <v>3.448275862</v>
      </c>
    </row>
    <row r="89">
      <c r="A89" s="94"/>
      <c r="B89" s="95"/>
      <c r="C89" s="103"/>
      <c r="D89" s="47"/>
      <c r="E89" s="112">
        <v>15.0</v>
      </c>
      <c r="F89" s="113">
        <f>R70</f>
        <v>0</v>
      </c>
      <c r="G89" s="107">
        <f t="shared" si="14"/>
        <v>0</v>
      </c>
      <c r="H89" s="412" t="s">
        <v>66</v>
      </c>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10"/>
      <c r="AJ89" s="111"/>
      <c r="AL89" s="112">
        <v>15.0</v>
      </c>
      <c r="AM89" s="113">
        <f>COUNTIF(R30:R69,"A")</f>
        <v>0</v>
      </c>
      <c r="AN89" s="410">
        <f>SUM(AM89/C18*100)</f>
        <v>0</v>
      </c>
      <c r="AO89" s="208">
        <f>COUNTIF(R30:R69,"B")</f>
        <v>0</v>
      </c>
      <c r="AP89" s="410">
        <f>SUM(AO89/C18*100)</f>
        <v>0</v>
      </c>
      <c r="AQ89" s="208">
        <f>COUNTIF(R30:R69,"C")</f>
        <v>1</v>
      </c>
      <c r="AR89" s="410">
        <f>SUM(AQ89/C18*100)</f>
        <v>3.448275862</v>
      </c>
      <c r="AS89" s="208">
        <f>COUNTIF(R30:R69,"D")</f>
        <v>27</v>
      </c>
      <c r="AT89" s="411">
        <f>SUM(AS89/C18*100)</f>
        <v>93.10344828</v>
      </c>
    </row>
    <row r="90">
      <c r="A90" s="94"/>
      <c r="B90" s="95"/>
      <c r="C90" s="103"/>
      <c r="D90" s="47"/>
      <c r="E90" s="112">
        <v>16.0</v>
      </c>
      <c r="F90" s="113">
        <f>S70</f>
        <v>2</v>
      </c>
      <c r="G90" s="107">
        <f t="shared" si="14"/>
        <v>6.896551724</v>
      </c>
      <c r="H90" s="412" t="s">
        <v>66</v>
      </c>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10"/>
      <c r="AJ90" s="111"/>
      <c r="AL90" s="112">
        <v>16.0</v>
      </c>
      <c r="AM90" s="113">
        <f>COUNTIF(S30:S69,"A")</f>
        <v>25</v>
      </c>
      <c r="AN90" s="410">
        <f>SUM(AM90/C18*100)</f>
        <v>86.20689655</v>
      </c>
      <c r="AO90" s="208">
        <f>COUNTIF(S30:S69,"B")</f>
        <v>1</v>
      </c>
      <c r="AP90" s="410">
        <f>SUM(AO90/C18*100)</f>
        <v>3.448275862</v>
      </c>
      <c r="AQ90" s="208">
        <f>COUNTIF(S30:S69,"C")</f>
        <v>0</v>
      </c>
      <c r="AR90" s="410">
        <f>SUM(AQ90/C18*100)</f>
        <v>0</v>
      </c>
      <c r="AS90" s="208">
        <f>COUNTIF(S30:S69,"D")</f>
        <v>2</v>
      </c>
      <c r="AT90" s="411">
        <f>SUM(AS90/C18*100)</f>
        <v>6.896551724</v>
      </c>
    </row>
    <row r="91">
      <c r="A91" s="94"/>
      <c r="B91" s="95"/>
      <c r="C91" s="103"/>
      <c r="D91" s="47"/>
      <c r="E91" s="112">
        <v>17.0</v>
      </c>
      <c r="F91" s="113">
        <f>T70</f>
        <v>3</v>
      </c>
      <c r="G91" s="107">
        <f t="shared" si="14"/>
        <v>10.34482759</v>
      </c>
      <c r="H91" s="108" t="s">
        <v>67</v>
      </c>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10"/>
      <c r="AJ91" s="111"/>
      <c r="AL91" s="112">
        <v>17.0</v>
      </c>
      <c r="AM91" s="113">
        <f>COUNTIF(T30:T69,"A")</f>
        <v>25</v>
      </c>
      <c r="AN91" s="410">
        <f>SUM(AM91/C18*100)</f>
        <v>86.20689655</v>
      </c>
      <c r="AO91" s="208">
        <f>COUNTIF(T30:T69,"B")</f>
        <v>0</v>
      </c>
      <c r="AP91" s="410">
        <f>SUM(AO91/C18*100)</f>
        <v>0</v>
      </c>
      <c r="AQ91" s="208">
        <f>COUNTIF(T30:T69,"C")</f>
        <v>3</v>
      </c>
      <c r="AR91" s="410">
        <f>SUM(AQ91/C18*100)</f>
        <v>10.34482759</v>
      </c>
      <c r="AS91" s="208">
        <f>COUNTIF(T30:T69,"D")</f>
        <v>0</v>
      </c>
      <c r="AT91" s="411">
        <f>SUM(AS91/C18*100)</f>
        <v>0</v>
      </c>
    </row>
    <row r="92">
      <c r="A92" s="94"/>
      <c r="B92" s="95"/>
      <c r="C92" s="103"/>
      <c r="D92" s="47"/>
      <c r="E92" s="112">
        <v>18.0</v>
      </c>
      <c r="F92" s="113">
        <f>U70</f>
        <v>1</v>
      </c>
      <c r="G92" s="107">
        <f t="shared" si="14"/>
        <v>3.448275862</v>
      </c>
      <c r="H92" s="412" t="s">
        <v>68</v>
      </c>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10"/>
      <c r="AJ92" s="111"/>
      <c r="AL92" s="112">
        <v>18.0</v>
      </c>
      <c r="AM92" s="113">
        <f>COUNTIF(U30:U69,"A")</f>
        <v>25</v>
      </c>
      <c r="AN92" s="410">
        <f>SUM(AM92/C18*100)</f>
        <v>86.20689655</v>
      </c>
      <c r="AO92" s="208">
        <f>COUNTIF(U30:U69,"B")</f>
        <v>2</v>
      </c>
      <c r="AP92" s="410">
        <f>SUM(AO92/C18*100)</f>
        <v>6.896551724</v>
      </c>
      <c r="AQ92" s="208">
        <f>COUNTIF(U30:U69,"C")</f>
        <v>1</v>
      </c>
      <c r="AR92" s="410">
        <f>SUM(AQ92/C18*100)</f>
        <v>3.448275862</v>
      </c>
      <c r="AS92" s="208">
        <f>COUNTIF(U30:U69,"D")</f>
        <v>0</v>
      </c>
      <c r="AT92" s="411">
        <f>SUM(AS92/C18*100)</f>
        <v>0</v>
      </c>
    </row>
    <row r="93">
      <c r="A93" s="94"/>
      <c r="B93" s="95"/>
      <c r="C93" s="103"/>
      <c r="D93" s="47"/>
      <c r="E93" s="112">
        <v>19.0</v>
      </c>
      <c r="F93" s="113">
        <f>V70</f>
        <v>0</v>
      </c>
      <c r="G93" s="107">
        <f t="shared" si="14"/>
        <v>0</v>
      </c>
      <c r="H93" s="412" t="s">
        <v>67</v>
      </c>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10"/>
      <c r="AJ93" s="111"/>
      <c r="AL93" s="112">
        <v>19.0</v>
      </c>
      <c r="AM93" s="113">
        <f>COUNTIF(V30:V69,"A")</f>
        <v>0</v>
      </c>
      <c r="AN93" s="410">
        <f>SUM(AM93/C18*100)</f>
        <v>0</v>
      </c>
      <c r="AO93" s="208">
        <f>COUNTIF(V30:V69,"B")</f>
        <v>5</v>
      </c>
      <c r="AP93" s="410">
        <f>SUM(AO93/C18*100)</f>
        <v>17.24137931</v>
      </c>
      <c r="AQ93" s="208">
        <f>COUNTIF(V30:V69,"C")</f>
        <v>21</v>
      </c>
      <c r="AR93" s="410">
        <f>SUM(AQ93/C18*100)</f>
        <v>72.4137931</v>
      </c>
      <c r="AS93" s="208">
        <f>COUNTIF(V30:V69,"D")</f>
        <v>2</v>
      </c>
      <c r="AT93" s="411">
        <f>SUM(AS93/C18*100)</f>
        <v>6.896551724</v>
      </c>
    </row>
    <row r="94">
      <c r="A94" s="94"/>
      <c r="B94" s="95"/>
      <c r="C94" s="103"/>
      <c r="D94" s="47"/>
      <c r="E94" s="112">
        <v>20.0</v>
      </c>
      <c r="F94" s="113">
        <f>W70</f>
        <v>1</v>
      </c>
      <c r="G94" s="107">
        <f t="shared" si="14"/>
        <v>3.448275862</v>
      </c>
      <c r="H94" s="412" t="s">
        <v>69</v>
      </c>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10"/>
      <c r="AJ94" s="111"/>
      <c r="AL94" s="112">
        <v>20.0</v>
      </c>
      <c r="AM94" s="113">
        <f>COUNTIF(W30:W69,"A")</f>
        <v>1</v>
      </c>
      <c r="AN94" s="410">
        <f>SUM(AM94/C18*100)</f>
        <v>3.448275862</v>
      </c>
      <c r="AO94" s="208">
        <f>COUNTIF(W30:W69,"B")</f>
        <v>2</v>
      </c>
      <c r="AP94" s="410">
        <f>SUM(AO94/C18*100)</f>
        <v>6.896551724</v>
      </c>
      <c r="AQ94" s="208">
        <f>COUNTIF(W30:W69,"C")</f>
        <v>5</v>
      </c>
      <c r="AR94" s="410">
        <f>SUM(AQ94/C18*100)</f>
        <v>17.24137931</v>
      </c>
      <c r="AS94" s="208">
        <f>COUNTIF(W30:W69,"D")</f>
        <v>20</v>
      </c>
      <c r="AT94" s="411">
        <f>SUM(AS94/C18*100)</f>
        <v>68.96551724</v>
      </c>
    </row>
    <row r="95">
      <c r="A95" s="94"/>
      <c r="B95" s="95"/>
      <c r="C95" s="103"/>
      <c r="D95" s="117"/>
      <c r="E95" s="118">
        <v>21.0</v>
      </c>
      <c r="F95" s="119">
        <f>X70</f>
        <v>21</v>
      </c>
      <c r="G95" s="120">
        <f t="shared" si="14"/>
        <v>72.4137931</v>
      </c>
      <c r="H95" s="415" t="s">
        <v>70</v>
      </c>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3"/>
      <c r="AJ95" s="111"/>
      <c r="AL95" s="112">
        <v>21.0</v>
      </c>
      <c r="AM95" s="113">
        <f>COUNTIF(X30:X69,"A")</f>
        <v>0</v>
      </c>
      <c r="AN95" s="410">
        <f>SUM(AM95/C18*100)</f>
        <v>0</v>
      </c>
      <c r="AO95" s="208">
        <f>COUNTIF(X30:X69,"B")</f>
        <v>21</v>
      </c>
      <c r="AP95" s="410">
        <f>SUM(AO95/C18*100)</f>
        <v>72.4137931</v>
      </c>
      <c r="AQ95" s="208">
        <f>COUNTIF(X30:X69,"C")</f>
        <v>6</v>
      </c>
      <c r="AR95" s="410">
        <f>SUM(AQ95/C18*100)</f>
        <v>20.68965517</v>
      </c>
      <c r="AS95" s="208">
        <f>COUNTIF(X30:X69,"D")</f>
        <v>0</v>
      </c>
      <c r="AT95" s="411">
        <f>SUM(AS95/C18*100)</f>
        <v>0</v>
      </c>
    </row>
    <row r="96">
      <c r="A96" s="94"/>
      <c r="B96" s="95"/>
      <c r="C96" s="103"/>
      <c r="D96" s="124" t="s">
        <v>17</v>
      </c>
      <c r="E96" s="125">
        <v>1.0</v>
      </c>
      <c r="F96" s="106">
        <f>Y70</f>
        <v>1</v>
      </c>
      <c r="G96" s="107">
        <f t="shared" si="14"/>
        <v>3.448275862</v>
      </c>
      <c r="H96" s="126" t="s">
        <v>71</v>
      </c>
      <c r="I96" s="416"/>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8"/>
      <c r="AJ96" s="129"/>
      <c r="AK96" s="164" t="s">
        <v>17</v>
      </c>
      <c r="AL96" s="130">
        <v>1.0</v>
      </c>
      <c r="AM96" s="113">
        <f>COUNTIF(Y30:Y69,"A")</f>
        <v>28</v>
      </c>
      <c r="AN96" s="410">
        <f>SUM(AM96/C18*100)</f>
        <v>96.55172414</v>
      </c>
      <c r="AO96" s="208">
        <f>COUNTIF(Y30:Y69,"B")</f>
        <v>0</v>
      </c>
      <c r="AP96" s="410">
        <f>SUM(AO96/C18*100)</f>
        <v>0</v>
      </c>
      <c r="AQ96" s="208">
        <f>COUNTIF(Y30:Y69,"C")</f>
        <v>1</v>
      </c>
      <c r="AR96" s="410">
        <f>SUM(AQ96/C18*100)</f>
        <v>3.448275862</v>
      </c>
      <c r="AS96" s="208">
        <f>COUNTIF(Y30:Y69,"D")</f>
        <v>0</v>
      </c>
      <c r="AT96" s="411">
        <f>SUM(AS96/C18*100)</f>
        <v>0</v>
      </c>
    </row>
    <row r="97">
      <c r="A97" s="94"/>
      <c r="B97" s="95"/>
      <c r="C97" s="103"/>
      <c r="D97" s="47"/>
      <c r="E97" s="130">
        <v>2.0</v>
      </c>
      <c r="F97" s="113">
        <f>Z70</f>
        <v>1</v>
      </c>
      <c r="G97" s="107">
        <f t="shared" si="14"/>
        <v>3.448275862</v>
      </c>
      <c r="H97" s="131" t="s">
        <v>72</v>
      </c>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3"/>
      <c r="AJ97" s="134"/>
      <c r="AL97" s="130">
        <v>2.0</v>
      </c>
      <c r="AM97" s="113">
        <f>COUNTIF(Z30:Z69,"A")</f>
        <v>1</v>
      </c>
      <c r="AN97" s="410">
        <f>SUM(AM97/C18*100)</f>
        <v>3.448275862</v>
      </c>
      <c r="AO97" s="208">
        <f>COUNTIF(Z30:Z69,"B")</f>
        <v>1</v>
      </c>
      <c r="AP97" s="410">
        <f>SUM(AO97/C18*100)</f>
        <v>3.448275862</v>
      </c>
      <c r="AQ97" s="208">
        <f>COUNTIF(Z30:Z69,"C")</f>
        <v>2</v>
      </c>
      <c r="AR97" s="410">
        <f>SUM(AQ97/C18*100)</f>
        <v>6.896551724</v>
      </c>
      <c r="AS97" s="208">
        <f>COUNTIF(Z30:Z69,"D")</f>
        <v>24</v>
      </c>
      <c r="AT97" s="411">
        <f>SUM(AS97/C18*100)</f>
        <v>82.75862069</v>
      </c>
    </row>
    <row r="98">
      <c r="A98" s="94"/>
      <c r="B98" s="95"/>
      <c r="C98" s="103"/>
      <c r="D98" s="47"/>
      <c r="E98" s="130">
        <v>3.0</v>
      </c>
      <c r="F98" s="113">
        <f>AA70</f>
        <v>27</v>
      </c>
      <c r="G98" s="107">
        <f t="shared" si="14"/>
        <v>93.10344828</v>
      </c>
      <c r="H98" s="131" t="s">
        <v>73</v>
      </c>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3"/>
      <c r="AJ98" s="134"/>
      <c r="AL98" s="130">
        <v>3.0</v>
      </c>
      <c r="AM98" s="113">
        <f>COUNTIF(AA30:AA69,"A")</f>
        <v>0</v>
      </c>
      <c r="AN98" s="410">
        <f>SUM(AM98/C18*100)</f>
        <v>0</v>
      </c>
      <c r="AO98" s="208">
        <f>COUNTIF(AA30:AA69,"B")</f>
        <v>27</v>
      </c>
      <c r="AP98" s="410">
        <f>SUM(AO98/C18*100)</f>
        <v>93.10344828</v>
      </c>
      <c r="AQ98" s="208">
        <f>COUNTIF(AA30:AA69,"C")</f>
        <v>1</v>
      </c>
      <c r="AR98" s="410">
        <f>SUM(AQ98/C18*100)</f>
        <v>3.448275862</v>
      </c>
      <c r="AS98" s="208">
        <f>COUNTIF(AA30:AA69,"D")</f>
        <v>1</v>
      </c>
      <c r="AT98" s="411">
        <f>SUM(AS98/C18*100)</f>
        <v>3.448275862</v>
      </c>
    </row>
    <row r="99">
      <c r="A99" s="94"/>
      <c r="B99" s="95"/>
      <c r="C99" s="103"/>
      <c r="D99" s="47"/>
      <c r="E99" s="130">
        <v>4.0</v>
      </c>
      <c r="F99" s="113">
        <f>AB70</f>
        <v>25</v>
      </c>
      <c r="G99" s="107">
        <f t="shared" si="14"/>
        <v>86.20689655</v>
      </c>
      <c r="H99" s="135" t="s">
        <v>74</v>
      </c>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3"/>
      <c r="AJ99" s="134"/>
      <c r="AL99" s="130">
        <v>4.0</v>
      </c>
      <c r="AM99" s="113">
        <f>COUNTIF(AB30:AB69,"A")</f>
        <v>1</v>
      </c>
      <c r="AN99" s="410">
        <f>SUM(AM99/C18*100)</f>
        <v>3.448275862</v>
      </c>
      <c r="AO99" s="208">
        <f>COUNTIF(AB30:AB69,"B")</f>
        <v>3</v>
      </c>
      <c r="AP99" s="410">
        <f>SUM(AO99/C18*100)</f>
        <v>10.34482759</v>
      </c>
      <c r="AQ99" s="208">
        <f>COUNTIF(AB30:AB69,"C")</f>
        <v>0</v>
      </c>
      <c r="AR99" s="410">
        <f>SUM(AQ99/C18*100)</f>
        <v>0</v>
      </c>
      <c r="AS99" s="208">
        <f>COUNTIF(AB30:AB69,"D")</f>
        <v>25</v>
      </c>
      <c r="AT99" s="411">
        <f>SUM(AS99/C18*100)</f>
        <v>86.20689655</v>
      </c>
    </row>
    <row r="100">
      <c r="A100" s="94"/>
      <c r="B100" s="95"/>
      <c r="C100" s="103"/>
      <c r="D100" s="47"/>
      <c r="E100" s="130">
        <v>5.0</v>
      </c>
      <c r="F100" s="113">
        <f>AC70</f>
        <v>4</v>
      </c>
      <c r="G100" s="107">
        <f t="shared" si="14"/>
        <v>13.79310345</v>
      </c>
      <c r="H100" s="136" t="s">
        <v>71</v>
      </c>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3"/>
      <c r="AJ100" s="134"/>
      <c r="AL100" s="130">
        <v>5.0</v>
      </c>
      <c r="AM100" s="113">
        <f>COUNTIF(AC30:AC69,"A")</f>
        <v>4</v>
      </c>
      <c r="AN100" s="410">
        <f>SUM(AM100/C18*100)</f>
        <v>13.79310345</v>
      </c>
      <c r="AO100" s="208">
        <f>COUNTIF(AC30:AC69,"B")</f>
        <v>2</v>
      </c>
      <c r="AP100" s="410">
        <f>SUM(AO100/C18*100)</f>
        <v>6.896551724</v>
      </c>
      <c r="AQ100" s="208">
        <f>COUNTIF(AC30:AC69,"C")</f>
        <v>22</v>
      </c>
      <c r="AR100" s="410">
        <f>SUM(AQ100/C18*100)</f>
        <v>75.86206897</v>
      </c>
      <c r="AS100" s="208">
        <f>COUNTIF(AC30:AC69,"D")</f>
        <v>1</v>
      </c>
      <c r="AT100" s="411">
        <f>SUM(AS100/C18*100)</f>
        <v>3.448275862</v>
      </c>
    </row>
    <row r="101">
      <c r="A101" s="94"/>
      <c r="B101" s="95"/>
      <c r="C101" s="103"/>
      <c r="D101" s="47"/>
      <c r="E101" s="130">
        <v>6.0</v>
      </c>
      <c r="F101" s="113">
        <f>AD70</f>
        <v>6</v>
      </c>
      <c r="G101" s="107">
        <f t="shared" si="14"/>
        <v>20.68965517</v>
      </c>
      <c r="H101" s="137" t="s">
        <v>75</v>
      </c>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3"/>
      <c r="AJ101" s="134"/>
      <c r="AL101" s="130">
        <v>6.0</v>
      </c>
      <c r="AM101" s="113">
        <f>COUNTIF(AD30:AD69,"A")</f>
        <v>4</v>
      </c>
      <c r="AN101" s="410">
        <f>SUM(AM101/C18*100)</f>
        <v>13.79310345</v>
      </c>
      <c r="AO101" s="208">
        <f>COUNTIF(AD30:AD69,"B")</f>
        <v>6</v>
      </c>
      <c r="AP101" s="410">
        <f>SUM(AO101/C18*100)</f>
        <v>20.68965517</v>
      </c>
      <c r="AQ101" s="208">
        <f>COUNTIF(AD30:AD69,"C")</f>
        <v>13</v>
      </c>
      <c r="AR101" s="410">
        <f>SUM(AQ101/C18*100)</f>
        <v>44.82758621</v>
      </c>
      <c r="AS101" s="208">
        <f>COUNTIF(AD30:AD69,"D")</f>
        <v>6</v>
      </c>
      <c r="AT101" s="411">
        <f>SUM(AS101/C18*100)</f>
        <v>20.68965517</v>
      </c>
    </row>
    <row r="102">
      <c r="A102" s="94"/>
      <c r="B102" s="95"/>
      <c r="C102" s="103"/>
      <c r="D102" s="47"/>
      <c r="E102" s="130">
        <v>7.0</v>
      </c>
      <c r="F102" s="113">
        <f>AE70</f>
        <v>21</v>
      </c>
      <c r="G102" s="107">
        <f t="shared" si="14"/>
        <v>72.4137931</v>
      </c>
      <c r="H102" s="135" t="s">
        <v>76</v>
      </c>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3"/>
      <c r="AJ102" s="134"/>
      <c r="AL102" s="130">
        <v>7.0</v>
      </c>
      <c r="AM102" s="113">
        <f>COUNTIF(AE30:AE69,"A")</f>
        <v>1</v>
      </c>
      <c r="AN102" s="410">
        <f>SUM(AM102/C18*100)</f>
        <v>3.448275862</v>
      </c>
      <c r="AO102" s="208">
        <f>COUNTIF(AE30:AE69,"B")</f>
        <v>21</v>
      </c>
      <c r="AP102" s="410">
        <f>SUM(AO102/C18*100)</f>
        <v>72.4137931</v>
      </c>
      <c r="AQ102" s="208">
        <f>COUNTIF(AE30:AE69,"C")</f>
        <v>6</v>
      </c>
      <c r="AR102" s="410">
        <f>SUM(AQ102/C18*100)</f>
        <v>20.68965517</v>
      </c>
      <c r="AS102" s="208">
        <f>COUNTIF(AE30:AE69,"D")</f>
        <v>0</v>
      </c>
      <c r="AT102" s="411">
        <f>SUM(AS102/C18*100)</f>
        <v>0</v>
      </c>
    </row>
    <row r="103">
      <c r="A103" s="94"/>
      <c r="B103" s="95"/>
      <c r="C103" s="103"/>
      <c r="D103" s="47"/>
      <c r="E103" s="130">
        <v>8.0</v>
      </c>
      <c r="F103" s="113">
        <f>AF70</f>
        <v>1</v>
      </c>
      <c r="G103" s="107">
        <f t="shared" si="14"/>
        <v>3.448275862</v>
      </c>
      <c r="H103" s="131" t="s">
        <v>77</v>
      </c>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9"/>
      <c r="AJ103" s="134"/>
      <c r="AL103" s="130">
        <v>8.0</v>
      </c>
      <c r="AM103" s="113">
        <f>COUNTIF(AF30:AF69,"A")</f>
        <v>25</v>
      </c>
      <c r="AN103" s="410">
        <f>SUM(AM103/C18*100)</f>
        <v>86.20689655</v>
      </c>
      <c r="AO103" s="208">
        <f>COUNTIF(AF30:AF69,"B")</f>
        <v>2</v>
      </c>
      <c r="AP103" s="410">
        <f>SUM(AO103/C18*100)</f>
        <v>6.896551724</v>
      </c>
      <c r="AQ103" s="208">
        <f>COUNTIF(AF30:AF69,"C")</f>
        <v>1</v>
      </c>
      <c r="AR103" s="410">
        <f>SUM(AQ103/C18*100)</f>
        <v>3.448275862</v>
      </c>
      <c r="AS103" s="208">
        <f>COUNTIF(AF30:AF69,"D")</f>
        <v>1</v>
      </c>
      <c r="AT103" s="411">
        <f>SUM(AS103/C18*100)</f>
        <v>3.448275862</v>
      </c>
    </row>
    <row r="104">
      <c r="A104" s="94"/>
      <c r="B104" s="95"/>
      <c r="C104" s="103"/>
      <c r="D104" s="47"/>
      <c r="E104" s="130">
        <v>9.0</v>
      </c>
      <c r="F104" s="113">
        <f>AG70</f>
        <v>3</v>
      </c>
      <c r="G104" s="107">
        <f t="shared" si="14"/>
        <v>10.34482759</v>
      </c>
      <c r="H104" s="135" t="s">
        <v>78</v>
      </c>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3"/>
      <c r="AJ104" s="134"/>
      <c r="AL104" s="130">
        <v>9.0</v>
      </c>
      <c r="AM104" s="113">
        <f>COUNTIF(AG30:AG69,"A")</f>
        <v>3</v>
      </c>
      <c r="AN104" s="410">
        <f>SUM(AM104/C18*100)</f>
        <v>10.34482759</v>
      </c>
      <c r="AO104" s="208">
        <f>COUNTIF(AG30:AG69,"B")</f>
        <v>1</v>
      </c>
      <c r="AP104" s="410">
        <f>SUM(AO104/C18*100)</f>
        <v>3.448275862</v>
      </c>
      <c r="AQ104" s="208">
        <f>COUNTIF(AG30:AG69,"C")</f>
        <v>1</v>
      </c>
      <c r="AR104" s="410">
        <f>SUM(AQ104/C18*100)</f>
        <v>3.448275862</v>
      </c>
      <c r="AS104" s="208">
        <f>COUNTIF(AG30:AG69,"D")</f>
        <v>24</v>
      </c>
      <c r="AT104" s="411">
        <f>SUM(AS104/C18*100)</f>
        <v>82.75862069</v>
      </c>
    </row>
    <row r="105" ht="15.75" customHeight="1">
      <c r="A105" s="94"/>
      <c r="B105" s="95"/>
      <c r="C105" s="103"/>
      <c r="D105" s="47"/>
      <c r="E105" s="130">
        <v>10.0</v>
      </c>
      <c r="F105" s="113">
        <f>AH70</f>
        <v>7</v>
      </c>
      <c r="G105" s="107">
        <f t="shared" si="14"/>
        <v>24.13793103</v>
      </c>
      <c r="H105" s="137" t="s">
        <v>75</v>
      </c>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3"/>
      <c r="AJ105" s="134"/>
      <c r="AL105" s="130">
        <v>10.0</v>
      </c>
      <c r="AM105" s="113">
        <f>COUNTIF(AH30:AH69,"A")</f>
        <v>14</v>
      </c>
      <c r="AN105" s="410">
        <f>SUM(AM105/C18*100)</f>
        <v>48.27586207</v>
      </c>
      <c r="AO105" s="208">
        <f>COUNTIF(AH30:AH69,"B")</f>
        <v>4</v>
      </c>
      <c r="AP105" s="410">
        <f>SUM(AO105/C18*100)</f>
        <v>13.79310345</v>
      </c>
      <c r="AQ105" s="208">
        <f>COUNTIF(AH30:AH69,"C")</f>
        <v>7</v>
      </c>
      <c r="AR105" s="410">
        <f>SUM(AQ105/C18*100)</f>
        <v>24.13793103</v>
      </c>
      <c r="AS105" s="208">
        <f>COUNTIF(AH30:AH69,"D")</f>
        <v>4</v>
      </c>
      <c r="AT105" s="411">
        <f>SUM(AS105/C18*100)</f>
        <v>13.79310345</v>
      </c>
    </row>
    <row r="106">
      <c r="A106" s="94"/>
      <c r="B106" s="95"/>
      <c r="C106" s="103"/>
      <c r="D106" s="47"/>
      <c r="E106" s="130">
        <v>11.0</v>
      </c>
      <c r="F106" s="113">
        <f>AI70</f>
        <v>0</v>
      </c>
      <c r="G106" s="107">
        <f t="shared" si="14"/>
        <v>0</v>
      </c>
      <c r="H106" s="135" t="s">
        <v>79</v>
      </c>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3"/>
      <c r="AJ106" s="134"/>
      <c r="AL106" s="130">
        <v>11.0</v>
      </c>
      <c r="AM106" s="113">
        <f>COUNTIF(AI30:AI69,"A")</f>
        <v>3</v>
      </c>
      <c r="AN106" s="410">
        <f>SUM(AM106/C18*100)</f>
        <v>10.34482759</v>
      </c>
      <c r="AO106" s="208">
        <f>COUNTIF(AI30:AI69,"B")</f>
        <v>0</v>
      </c>
      <c r="AP106" s="410">
        <f>SUM(AO106/C18*100)</f>
        <v>0</v>
      </c>
      <c r="AQ106" s="208">
        <f>COUNTIF(AI30:AI69,"C")</f>
        <v>26</v>
      </c>
      <c r="AR106" s="410">
        <f>SUM(AQ106/C18*100)</f>
        <v>89.65517241</v>
      </c>
      <c r="AS106" s="208">
        <f>COUNTIF(AI30:AI69,"D")</f>
        <v>0</v>
      </c>
      <c r="AT106" s="411">
        <f>SUM(AS106/C18*100)</f>
        <v>0</v>
      </c>
    </row>
    <row r="107">
      <c r="A107" s="94"/>
      <c r="B107" s="95"/>
      <c r="C107" s="103"/>
      <c r="D107" s="47"/>
      <c r="E107" s="130">
        <v>12.0</v>
      </c>
      <c r="F107" s="114">
        <f>AJ70</f>
        <v>1</v>
      </c>
      <c r="G107" s="107">
        <f t="shared" si="14"/>
        <v>3.448275862</v>
      </c>
      <c r="H107" s="131" t="s">
        <v>80</v>
      </c>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1"/>
      <c r="AJ107" s="142"/>
      <c r="AL107" s="130">
        <v>12.0</v>
      </c>
      <c r="AM107" s="113">
        <f>COUNTIF(AJ30:AJ69,"A")</f>
        <v>2</v>
      </c>
      <c r="AN107" s="410">
        <f>SUM(AM107/C18*100)</f>
        <v>6.896551724</v>
      </c>
      <c r="AO107" s="208">
        <f>COUNTIF(AJ30:AJ69,"B")</f>
        <v>22</v>
      </c>
      <c r="AP107" s="410">
        <f>SUM(AO107/C18*100)</f>
        <v>75.86206897</v>
      </c>
      <c r="AQ107" s="208">
        <f>COUNTIF(AJ30:AJ69,"C")</f>
        <v>1</v>
      </c>
      <c r="AR107" s="410">
        <f>SUM(AQ107/C18*100)</f>
        <v>3.448275862</v>
      </c>
      <c r="AS107" s="208">
        <f>COUNTIF(AJ30:AJ69,"D")</f>
        <v>4</v>
      </c>
      <c r="AT107" s="411">
        <f>SUM(AS107/C18*100)</f>
        <v>13.79310345</v>
      </c>
    </row>
    <row r="108">
      <c r="A108" s="94"/>
      <c r="B108" s="95"/>
      <c r="C108" s="103"/>
      <c r="D108" s="47"/>
      <c r="E108" s="130">
        <v>13.0</v>
      </c>
      <c r="F108" s="113">
        <f>AK70</f>
        <v>1</v>
      </c>
      <c r="G108" s="107">
        <f t="shared" si="14"/>
        <v>3.448275862</v>
      </c>
      <c r="H108" s="137" t="s">
        <v>81</v>
      </c>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1"/>
      <c r="AJ108" s="143"/>
      <c r="AL108" s="130">
        <v>13.0</v>
      </c>
      <c r="AM108" s="113">
        <f>COUNTIF(AK30:AK69,"A")</f>
        <v>1</v>
      </c>
      <c r="AN108" s="410">
        <f>SUM(AM108/C18*100)</f>
        <v>3.448275862</v>
      </c>
      <c r="AO108" s="208">
        <f>COUNTIF(AK30:AK69,"B")</f>
        <v>5</v>
      </c>
      <c r="AP108" s="410">
        <f>SUM(AO108/C18*100)</f>
        <v>17.24137931</v>
      </c>
      <c r="AQ108" s="208">
        <f>COUNTIF(AK30:AK69,"C")</f>
        <v>6</v>
      </c>
      <c r="AR108" s="410">
        <f>SUM(AQ108/C18*100)</f>
        <v>20.68965517</v>
      </c>
      <c r="AS108" s="208">
        <f>COUNTIF(AK30:AK69,"D")</f>
        <v>17</v>
      </c>
      <c r="AT108" s="411">
        <f>SUM(AS108/C18*100)</f>
        <v>58.62068966</v>
      </c>
    </row>
    <row r="109">
      <c r="A109" s="94"/>
      <c r="B109" s="95"/>
      <c r="C109" s="103"/>
      <c r="D109" s="47"/>
      <c r="E109" s="130">
        <v>14.0</v>
      </c>
      <c r="F109" s="113">
        <f>AL70</f>
        <v>1</v>
      </c>
      <c r="G109" s="107">
        <f t="shared" si="14"/>
        <v>3.448275862</v>
      </c>
      <c r="H109" s="135" t="s">
        <v>79</v>
      </c>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3"/>
      <c r="AJ109" s="134"/>
      <c r="AL109" s="130">
        <v>14.0</v>
      </c>
      <c r="AM109" s="113">
        <f>COUNTIF(AL30:AL69,"A")</f>
        <v>2</v>
      </c>
      <c r="AN109" s="410">
        <f>SUM(AM109/C18*100)</f>
        <v>6.896551724</v>
      </c>
      <c r="AO109" s="208">
        <f>COUNTIF(AL30:AL69,"B")</f>
        <v>25</v>
      </c>
      <c r="AP109" s="410">
        <f>SUM(AO109/C18*100)</f>
        <v>86.20689655</v>
      </c>
      <c r="AQ109" s="208">
        <f>COUNTIF(AL30:AL69,"C")</f>
        <v>1</v>
      </c>
      <c r="AR109" s="410">
        <f>SUM(AQ109/C18*100)</f>
        <v>3.448275862</v>
      </c>
      <c r="AS109" s="208">
        <f>COUNTIF(AL30:AL69,"D")</f>
        <v>1</v>
      </c>
      <c r="AT109" s="411">
        <f>SUM(AS109/C18*100)</f>
        <v>3.448275862</v>
      </c>
    </row>
    <row r="110">
      <c r="A110" s="94"/>
      <c r="B110" s="95"/>
      <c r="C110" s="103"/>
      <c r="D110" s="47"/>
      <c r="E110" s="130">
        <v>15.0</v>
      </c>
      <c r="F110" s="113">
        <f>AM70</f>
        <v>2</v>
      </c>
      <c r="G110" s="107">
        <f t="shared" si="14"/>
        <v>6.896551724</v>
      </c>
      <c r="H110" s="145" t="s">
        <v>82</v>
      </c>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3"/>
      <c r="AJ110" s="134"/>
      <c r="AL110" s="130">
        <v>15.0</v>
      </c>
      <c r="AM110" s="113">
        <f>COUNTIF(AM30:AM69,"A")</f>
        <v>8</v>
      </c>
      <c r="AN110" s="410">
        <f>SUM(AM110/C18*100)</f>
        <v>27.5862069</v>
      </c>
      <c r="AO110" s="208">
        <f>COUNTIF(AM30:AM69,"B")</f>
        <v>0</v>
      </c>
      <c r="AP110" s="410">
        <f>SUM(AO110/C18*100)</f>
        <v>0</v>
      </c>
      <c r="AQ110" s="208">
        <f>COUNTIF(AM30:AM69,"C")</f>
        <v>19</v>
      </c>
      <c r="AR110" s="410">
        <f>SUM(AQ110/C18*100)</f>
        <v>65.51724138</v>
      </c>
      <c r="AS110" s="208">
        <f>COUNTIF(AM30:AM69,"D")</f>
        <v>2</v>
      </c>
      <c r="AT110" s="411">
        <f>SUM(AS110/C18*100)</f>
        <v>6.896551724</v>
      </c>
    </row>
    <row r="111">
      <c r="A111" s="94"/>
      <c r="B111" s="95"/>
      <c r="C111" s="103"/>
      <c r="D111" s="47"/>
      <c r="E111" s="130">
        <v>16.0</v>
      </c>
      <c r="F111" s="113">
        <f>AN70</f>
        <v>2</v>
      </c>
      <c r="G111" s="107">
        <f t="shared" si="14"/>
        <v>6.896551724</v>
      </c>
      <c r="H111" s="135" t="s">
        <v>83</v>
      </c>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3"/>
      <c r="AJ111" s="134"/>
      <c r="AL111" s="130">
        <v>16.0</v>
      </c>
      <c r="AM111" s="113">
        <f>COUNTIF(AN30:AN69,"A")</f>
        <v>22</v>
      </c>
      <c r="AN111" s="410">
        <f>SUM(AM111/C18*100)</f>
        <v>75.86206897</v>
      </c>
      <c r="AO111" s="208">
        <f>COUNTIF(AN30:AN69,"B")</f>
        <v>1</v>
      </c>
      <c r="AP111" s="410">
        <f>SUM(AO111/C18*100)</f>
        <v>3.448275862</v>
      </c>
      <c r="AQ111" s="208">
        <f>COUNTIF(AN30:AN69,"C")</f>
        <v>2</v>
      </c>
      <c r="AR111" s="410">
        <f>SUM(AQ111/C18*100)</f>
        <v>6.896551724</v>
      </c>
      <c r="AS111" s="208">
        <f>COUNTIF(AN30:AN69,"D")</f>
        <v>4</v>
      </c>
      <c r="AT111" s="411">
        <f>SUM(AS111/C18*100)</f>
        <v>13.79310345</v>
      </c>
    </row>
    <row r="112" ht="15.75" customHeight="1">
      <c r="A112" s="94"/>
      <c r="B112" s="95"/>
      <c r="C112" s="103"/>
      <c r="D112" s="47"/>
      <c r="E112" s="130">
        <v>17.0</v>
      </c>
      <c r="F112" s="113">
        <f>AO70</f>
        <v>3</v>
      </c>
      <c r="G112" s="107">
        <f t="shared" si="14"/>
        <v>10.34482759</v>
      </c>
      <c r="H112" s="144" t="s">
        <v>84</v>
      </c>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3"/>
      <c r="AJ112" s="134"/>
      <c r="AL112" s="130">
        <v>17.0</v>
      </c>
      <c r="AM112" s="113">
        <f>COUNTIF(AO30:AO69,"A")</f>
        <v>1</v>
      </c>
      <c r="AN112" s="410">
        <f>SUM(AM112/C18*100)</f>
        <v>3.448275862</v>
      </c>
      <c r="AO112" s="208">
        <f>COUNTIF(AO30:AO69,"B")</f>
        <v>24</v>
      </c>
      <c r="AP112" s="410">
        <f>SUM(AO112/C18*100)</f>
        <v>82.75862069</v>
      </c>
      <c r="AQ112" s="208">
        <f>COUNTIF(AO30:AO69,"C")</f>
        <v>3</v>
      </c>
      <c r="AR112" s="410">
        <f>SUM(AQ112/C18*100)</f>
        <v>10.34482759</v>
      </c>
      <c r="AS112" s="208">
        <f>COUNTIF(AO30:AO69,"D")</f>
        <v>1</v>
      </c>
      <c r="AT112" s="411">
        <f>SUM(AS112/C18*100)</f>
        <v>3.448275862</v>
      </c>
    </row>
    <row r="113" ht="15.75" customHeight="1">
      <c r="A113" s="94"/>
      <c r="B113" s="95"/>
      <c r="C113" s="103"/>
      <c r="D113" s="47"/>
      <c r="E113" s="130">
        <v>18.0</v>
      </c>
      <c r="F113" s="113">
        <f>AP70</f>
        <v>2</v>
      </c>
      <c r="G113" s="107">
        <f t="shared" si="14"/>
        <v>6.896551724</v>
      </c>
      <c r="H113" s="135" t="s">
        <v>83</v>
      </c>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3"/>
      <c r="AJ113" s="134"/>
      <c r="AL113" s="130">
        <v>18.0</v>
      </c>
      <c r="AM113" s="113">
        <f>COUNTIF(AP30:AP69,"A")</f>
        <v>2</v>
      </c>
      <c r="AN113" s="410">
        <f>SUM(AM113/C18*100)</f>
        <v>6.896551724</v>
      </c>
      <c r="AO113" s="208">
        <f>COUNTIF(AP30:AP69,"B")</f>
        <v>3</v>
      </c>
      <c r="AP113" s="410">
        <f>SUM(AO113/C18*100)</f>
        <v>10.34482759</v>
      </c>
      <c r="AQ113" s="208">
        <f>COUNTIF(AP30:AP69,"C")</f>
        <v>9</v>
      </c>
      <c r="AR113" s="410">
        <f>SUM(AQ113/C18*100)</f>
        <v>31.03448276</v>
      </c>
      <c r="AS113" s="208">
        <f>COUNTIF(AP30:AP69,"D")</f>
        <v>15</v>
      </c>
      <c r="AT113" s="411">
        <f>SUM(AS113/C18*100)</f>
        <v>51.72413793</v>
      </c>
    </row>
    <row r="114" ht="15.75" customHeight="1">
      <c r="A114" s="94"/>
      <c r="B114" s="95"/>
      <c r="C114" s="103"/>
      <c r="D114" s="47"/>
      <c r="E114" s="130">
        <v>19.0</v>
      </c>
      <c r="F114" s="113">
        <f>AQ70</f>
        <v>2</v>
      </c>
      <c r="G114" s="107">
        <f t="shared" si="14"/>
        <v>6.896551724</v>
      </c>
      <c r="H114" s="145" t="s">
        <v>85</v>
      </c>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3"/>
      <c r="AJ114" s="134"/>
      <c r="AL114" s="130">
        <v>19.0</v>
      </c>
      <c r="AM114" s="113">
        <f>COUNTIF(AQ30:AQ69,"A")</f>
        <v>24</v>
      </c>
      <c r="AN114" s="410">
        <f>SUM(AM114/C18*100)</f>
        <v>82.75862069</v>
      </c>
      <c r="AO114" s="208">
        <f>COUNTIF(AQ30:AQ69,"B")</f>
        <v>1</v>
      </c>
      <c r="AP114" s="410">
        <f>SUM(AO114/C18*100)</f>
        <v>3.448275862</v>
      </c>
      <c r="AQ114" s="208">
        <f>COUNTIF(AQ30:AQ69,"C")</f>
        <v>2</v>
      </c>
      <c r="AR114" s="410">
        <f>SUM(AQ114/C18*100)</f>
        <v>6.896551724</v>
      </c>
      <c r="AS114" s="208">
        <f>COUNTIF(AQ30:AQ69,"D")</f>
        <v>2</v>
      </c>
      <c r="AT114" s="411">
        <f>SUM(AS114/C18*100)</f>
        <v>6.896551724</v>
      </c>
    </row>
    <row r="115" ht="15.75" customHeight="1">
      <c r="A115" s="94"/>
      <c r="B115" s="95"/>
      <c r="C115" s="103"/>
      <c r="D115" s="47"/>
      <c r="E115" s="130">
        <v>20.0</v>
      </c>
      <c r="F115" s="113">
        <f>AR70</f>
        <v>3</v>
      </c>
      <c r="G115" s="107">
        <f t="shared" si="14"/>
        <v>10.34482759</v>
      </c>
      <c r="H115" s="135" t="s">
        <v>83</v>
      </c>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3"/>
      <c r="AJ115" s="134"/>
      <c r="AL115" s="130">
        <v>20.0</v>
      </c>
      <c r="AM115" s="113">
        <f>COUNTIF(AR30:AR69,"A")</f>
        <v>0</v>
      </c>
      <c r="AN115" s="410">
        <f>SUM(AM115/C18*100)</f>
        <v>0</v>
      </c>
      <c r="AO115" s="208">
        <f>COUNTIF(AR30:AR69,"B")</f>
        <v>3</v>
      </c>
      <c r="AP115" s="410">
        <f>SUM(AO115/C18*100)</f>
        <v>10.34482759</v>
      </c>
      <c r="AQ115" s="208">
        <f>COUNTIF(AR30:AR69,"C")</f>
        <v>25</v>
      </c>
      <c r="AR115" s="410">
        <f>SUM(AQ115/C18*100)</f>
        <v>86.20689655</v>
      </c>
      <c r="AS115" s="208">
        <f>COUNTIF(AR30:AR69,"D")</f>
        <v>1</v>
      </c>
      <c r="AT115" s="411">
        <f>SUM(AS115/C18*100)</f>
        <v>3.448275862</v>
      </c>
    </row>
    <row r="116" ht="15.75" customHeight="1">
      <c r="A116" s="94"/>
      <c r="B116" s="95"/>
      <c r="C116" s="103"/>
      <c r="D116" s="47"/>
      <c r="E116" s="130">
        <v>21.0</v>
      </c>
      <c r="F116" s="113">
        <f>AS70</f>
        <v>3</v>
      </c>
      <c r="G116" s="107">
        <f t="shared" si="14"/>
        <v>10.34482759</v>
      </c>
      <c r="H116" s="135" t="s">
        <v>78</v>
      </c>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3"/>
      <c r="AJ116" s="134"/>
      <c r="AL116" s="130">
        <v>21.0</v>
      </c>
      <c r="AM116" s="113">
        <f>COUNTIF(AS30:AS69,"A")</f>
        <v>1</v>
      </c>
      <c r="AN116" s="410">
        <f>SUM(AM116/C18*100)</f>
        <v>3.448275862</v>
      </c>
      <c r="AO116" s="208">
        <f>COUNTIF(AS30:AS69,"B")</f>
        <v>4</v>
      </c>
      <c r="AP116" s="410">
        <f>SUM(AO116/C18*100)</f>
        <v>13.79310345</v>
      </c>
      <c r="AQ116" s="208">
        <f>COUNTIF(AS30:AS69,"C")</f>
        <v>21</v>
      </c>
      <c r="AR116" s="410">
        <f>SUM(AQ116/C18*100)</f>
        <v>72.4137931</v>
      </c>
      <c r="AS116" s="208">
        <f>COUNTIF(AS30:AS69,"D")</f>
        <v>3</v>
      </c>
      <c r="AT116" s="411">
        <f>SUM(AS116/C18*100)</f>
        <v>10.34482759</v>
      </c>
    </row>
    <row r="117" ht="15.75" customHeight="1">
      <c r="A117" s="85"/>
      <c r="B117" s="85"/>
      <c r="C117" s="146"/>
      <c r="D117" s="65"/>
      <c r="E117" s="130">
        <v>22.0</v>
      </c>
      <c r="F117" s="113">
        <f>AT70</f>
        <v>8</v>
      </c>
      <c r="G117" s="107">
        <f t="shared" si="14"/>
        <v>27.5862069</v>
      </c>
      <c r="H117" s="137" t="s">
        <v>86</v>
      </c>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8"/>
      <c r="AJ117" s="134"/>
      <c r="AL117" s="165">
        <v>22.0</v>
      </c>
      <c r="AM117" s="113">
        <f>COUNTIF(AT30:AT69,"A")</f>
        <v>8</v>
      </c>
      <c r="AN117" s="410">
        <f>SUM(AM117/C18*100)</f>
        <v>27.5862069</v>
      </c>
      <c r="AO117" s="208">
        <f>COUNTIF(AT30:AT69,"B")</f>
        <v>16</v>
      </c>
      <c r="AP117" s="410">
        <f>SUM(AO117/C18*100)</f>
        <v>55.17241379</v>
      </c>
      <c r="AQ117" s="208">
        <f>COUNTIF(AT30:AT69,"C")</f>
        <v>3</v>
      </c>
      <c r="AR117" s="410">
        <f>SUM(AQ117/C18*100)</f>
        <v>10.34482759</v>
      </c>
      <c r="AS117" s="208">
        <f>COUNTIF(AT30:AT69,"D")</f>
        <v>2</v>
      </c>
      <c r="AT117" s="411">
        <f>SUM(AS117/C18*100)</f>
        <v>6.896551724</v>
      </c>
    </row>
    <row r="118" ht="82.5" customHeight="1"/>
    <row r="119" ht="15.75" customHeight="1">
      <c r="A119" s="90"/>
      <c r="B119" s="90"/>
      <c r="C119" s="91"/>
      <c r="D119" s="417" t="s">
        <v>89</v>
      </c>
      <c r="E119" s="418"/>
      <c r="F119" s="418"/>
      <c r="G119" s="418"/>
      <c r="H119" s="418"/>
      <c r="I119" s="419"/>
      <c r="K119" s="170"/>
      <c r="L119" s="171"/>
      <c r="M119" s="171"/>
      <c r="N119" s="171"/>
      <c r="O119" s="171"/>
      <c r="P119" s="171"/>
      <c r="Q119" s="171"/>
      <c r="R119" s="171"/>
      <c r="S119" s="171"/>
      <c r="T119" s="171"/>
      <c r="U119" s="171"/>
      <c r="V119" s="171"/>
      <c r="W119" s="171"/>
      <c r="X119" s="171"/>
      <c r="Y119" s="171"/>
      <c r="Z119" s="171"/>
      <c r="AA119" s="171"/>
      <c r="AB119" s="171"/>
      <c r="AC119" s="171"/>
      <c r="AD119" s="171"/>
      <c r="AE119" s="171"/>
      <c r="AF119" s="171"/>
      <c r="AG119" s="171"/>
      <c r="AH119" s="171"/>
      <c r="AI119" s="171"/>
      <c r="AJ119" s="171"/>
      <c r="AK119" s="171"/>
      <c r="AL119" s="171"/>
      <c r="AM119" s="171"/>
      <c r="AN119" s="171"/>
      <c r="AO119" s="171"/>
      <c r="AP119" s="171"/>
      <c r="AQ119" s="171"/>
      <c r="AR119" s="171"/>
      <c r="AS119" s="171"/>
      <c r="AT119" s="171"/>
      <c r="AU119" s="171"/>
      <c r="AV119" s="171"/>
      <c r="AW119" s="171"/>
      <c r="AX119" s="171"/>
      <c r="AY119" s="171"/>
      <c r="AZ119" s="171"/>
      <c r="BA119" s="171"/>
      <c r="BB119" s="171"/>
      <c r="BC119" s="171"/>
      <c r="BD119" s="171"/>
      <c r="BE119" s="171"/>
      <c r="BF119" s="171"/>
      <c r="BG119" s="171"/>
      <c r="BH119" s="171"/>
      <c r="BI119" s="171"/>
      <c r="BJ119" s="337"/>
    </row>
    <row r="120" ht="15.75" customHeight="1">
      <c r="A120" s="94"/>
      <c r="B120" s="95"/>
      <c r="C120" s="103"/>
      <c r="D120" s="420" t="s">
        <v>10</v>
      </c>
      <c r="E120" s="421" t="s">
        <v>54</v>
      </c>
      <c r="F120" s="422" t="s">
        <v>90</v>
      </c>
      <c r="G120" s="423"/>
      <c r="H120" s="423"/>
      <c r="I120" s="424"/>
      <c r="K120" s="178"/>
      <c r="BJ120" s="338"/>
    </row>
    <row r="121" ht="15.75" customHeight="1">
      <c r="A121" s="94"/>
      <c r="B121" s="95"/>
      <c r="C121" s="103"/>
      <c r="D121" s="193">
        <f>COUNTIF(BB30:BB69,"ABAIXO DO BÁSICO")</f>
        <v>3</v>
      </c>
      <c r="E121" s="425">
        <f>SUM(D121/C18*100)</f>
        <v>10.34482759</v>
      </c>
      <c r="F121" s="426" t="s">
        <v>91</v>
      </c>
      <c r="G121" s="427"/>
      <c r="H121" s="427"/>
      <c r="I121" s="428"/>
      <c r="K121" s="178"/>
      <c r="BJ121" s="338"/>
    </row>
    <row r="122" ht="15.75" customHeight="1">
      <c r="A122" s="94"/>
      <c r="B122" s="95"/>
      <c r="C122" s="103"/>
      <c r="D122" s="193">
        <f>COUNTIF(BB30:BB69,"BÁSICO")</f>
        <v>5</v>
      </c>
      <c r="E122" s="425">
        <f>SUM(D122/C18*100)</f>
        <v>17.24137931</v>
      </c>
      <c r="F122" s="429" t="s">
        <v>92</v>
      </c>
      <c r="G122" s="427"/>
      <c r="H122" s="427"/>
      <c r="I122" s="428"/>
      <c r="K122" s="178"/>
      <c r="L122" s="192" t="s">
        <v>93</v>
      </c>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338"/>
    </row>
    <row r="123" ht="15.75" customHeight="1">
      <c r="A123" s="94"/>
      <c r="B123" s="95"/>
      <c r="C123" s="103"/>
      <c r="D123" s="193">
        <f>COUNTIF(BB30:BB69,"ADEQUADO")</f>
        <v>18</v>
      </c>
      <c r="E123" s="425">
        <f>SUM(D123/C18*100)</f>
        <v>62.06896552</v>
      </c>
      <c r="F123" s="430" t="s">
        <v>94</v>
      </c>
      <c r="G123" s="427"/>
      <c r="H123" s="427"/>
      <c r="I123" s="428"/>
      <c r="K123" s="178"/>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79"/>
      <c r="AN123" s="179"/>
      <c r="AO123" s="179"/>
      <c r="AP123" s="179"/>
      <c r="AQ123" s="179"/>
      <c r="AR123" s="179"/>
      <c r="AS123" s="179"/>
      <c r="AT123" s="179"/>
      <c r="AU123" s="179"/>
      <c r="AV123" s="179"/>
      <c r="AW123" s="179"/>
      <c r="AX123" s="179"/>
      <c r="AY123" s="179"/>
      <c r="AZ123" s="179"/>
      <c r="BA123" s="179"/>
      <c r="BB123" s="179"/>
      <c r="BC123" s="179"/>
      <c r="BD123" s="179"/>
      <c r="BE123" s="179"/>
      <c r="BF123" s="179"/>
      <c r="BG123" s="179"/>
      <c r="BH123" s="179"/>
      <c r="BI123" s="179"/>
      <c r="BJ123" s="338"/>
    </row>
    <row r="124" ht="15.75" customHeight="1">
      <c r="A124" s="94"/>
      <c r="B124" s="95"/>
      <c r="C124" s="103"/>
      <c r="D124" s="193">
        <f>COUNTIF(BB30:BB69,"AVANÇADO")</f>
        <v>3</v>
      </c>
      <c r="E124" s="425">
        <f>SUM(D124/C18*100)</f>
        <v>10.34482759</v>
      </c>
      <c r="F124" s="431" t="s">
        <v>95</v>
      </c>
      <c r="G124" s="427"/>
      <c r="H124" s="427"/>
      <c r="I124" s="428"/>
      <c r="K124" s="178"/>
      <c r="L124" s="179" t="s">
        <v>243</v>
      </c>
      <c r="BJ124" s="338"/>
    </row>
    <row r="125" ht="15.75" customHeight="1">
      <c r="A125" s="94"/>
      <c r="B125" s="95"/>
      <c r="C125" s="103"/>
      <c r="D125" s="226"/>
      <c r="E125" s="226"/>
      <c r="F125" s="226"/>
      <c r="G125" s="226"/>
      <c r="H125" s="432"/>
      <c r="I125" s="226"/>
      <c r="K125" s="178"/>
      <c r="L125" s="179" t="s">
        <v>244</v>
      </c>
      <c r="BJ125" s="338"/>
    </row>
    <row r="126" ht="15.75" customHeight="1">
      <c r="A126" s="94"/>
      <c r="B126" s="95"/>
      <c r="C126" s="103"/>
      <c r="D126" s="433" t="s">
        <v>16</v>
      </c>
      <c r="E126" s="434"/>
      <c r="F126" s="434"/>
      <c r="G126" s="434"/>
      <c r="H126" s="434"/>
      <c r="I126" s="435"/>
      <c r="K126" s="178"/>
      <c r="L126" s="179" t="s">
        <v>245</v>
      </c>
      <c r="BJ126" s="338"/>
    </row>
    <row r="127" ht="15.75" customHeight="1">
      <c r="A127" s="94"/>
      <c r="B127" s="95"/>
      <c r="C127" s="103"/>
      <c r="D127" s="420" t="s">
        <v>10</v>
      </c>
      <c r="E127" s="421" t="s">
        <v>54</v>
      </c>
      <c r="F127" s="422" t="s">
        <v>90</v>
      </c>
      <c r="G127" s="423"/>
      <c r="H127" s="423"/>
      <c r="I127" s="424"/>
      <c r="K127" s="178"/>
      <c r="L127" s="179" t="s">
        <v>246</v>
      </c>
      <c r="BJ127" s="338"/>
    </row>
    <row r="128" ht="15.75" customHeight="1">
      <c r="A128" s="94"/>
      <c r="B128" s="95"/>
      <c r="C128" s="103"/>
      <c r="D128" s="193">
        <f>COUNTIF(BF30:BF69,"ABAIXO DO BÁSICO")</f>
        <v>1</v>
      </c>
      <c r="E128" s="425">
        <f>SUM(D128/C18*100)</f>
        <v>3.448275862</v>
      </c>
      <c r="F128" s="426" t="s">
        <v>91</v>
      </c>
      <c r="G128" s="436"/>
      <c r="H128" s="436"/>
      <c r="I128" s="437"/>
      <c r="K128" s="178"/>
      <c r="L128" s="179"/>
      <c r="BJ128" s="338"/>
    </row>
    <row r="129" ht="15.75" customHeight="1">
      <c r="A129" s="94"/>
      <c r="B129" s="95"/>
      <c r="C129" s="103"/>
      <c r="D129" s="193">
        <f>COUNTIF(BF30:BF69,"BÁSICO")</f>
        <v>6</v>
      </c>
      <c r="E129" s="425">
        <f>SUM(D129/C18*100)</f>
        <v>20.68965517</v>
      </c>
      <c r="F129" s="429" t="s">
        <v>92</v>
      </c>
      <c r="G129" s="436"/>
      <c r="H129" s="436"/>
      <c r="I129" s="437"/>
      <c r="K129" s="178"/>
      <c r="L129" s="179" t="s">
        <v>247</v>
      </c>
      <c r="BJ129" s="338"/>
    </row>
    <row r="130" ht="15.75" customHeight="1">
      <c r="A130" s="94"/>
      <c r="B130" s="95"/>
      <c r="C130" s="103"/>
      <c r="D130" s="193">
        <f>COUNTIF(BF30:BF69,"ADEQUADO")</f>
        <v>20</v>
      </c>
      <c r="E130" s="425">
        <f>SUM(D130/C18*100)</f>
        <v>68.96551724</v>
      </c>
      <c r="F130" s="430" t="s">
        <v>94</v>
      </c>
      <c r="G130" s="436"/>
      <c r="H130" s="436"/>
      <c r="I130" s="437"/>
      <c r="K130" s="178"/>
      <c r="L130" s="179" t="s">
        <v>248</v>
      </c>
      <c r="BJ130" s="338"/>
    </row>
    <row r="131" ht="15.75" customHeight="1">
      <c r="A131" s="94"/>
      <c r="B131" s="95"/>
      <c r="C131" s="103"/>
      <c r="D131" s="193">
        <f>COUNTIF(BF30:BF69,"AVANÇADO")</f>
        <v>2</v>
      </c>
      <c r="E131" s="425">
        <f>SUM(D131/C18*100)</f>
        <v>6.896551724</v>
      </c>
      <c r="F131" s="431" t="s">
        <v>95</v>
      </c>
      <c r="G131" s="436"/>
      <c r="H131" s="436"/>
      <c r="I131" s="437"/>
      <c r="K131" s="178"/>
      <c r="L131" s="179" t="s">
        <v>249</v>
      </c>
      <c r="BJ131" s="338"/>
    </row>
    <row r="132" ht="15.75" customHeight="1">
      <c r="A132" s="94"/>
      <c r="B132" s="95"/>
      <c r="C132" s="103"/>
      <c r="D132" s="226"/>
      <c r="E132" s="226"/>
      <c r="F132" s="226"/>
      <c r="G132" s="226"/>
      <c r="H132" s="226"/>
      <c r="I132" s="226"/>
      <c r="K132" s="178"/>
      <c r="L132" s="179"/>
      <c r="BJ132" s="338"/>
    </row>
    <row r="133" ht="15.75" customHeight="1">
      <c r="A133" s="94"/>
      <c r="B133" s="95"/>
      <c r="C133" s="103"/>
      <c r="D133" s="438" t="s">
        <v>17</v>
      </c>
      <c r="E133" s="439"/>
      <c r="F133" s="439"/>
      <c r="G133" s="439"/>
      <c r="H133" s="439"/>
      <c r="I133" s="440"/>
      <c r="K133" s="178"/>
      <c r="L133" s="179" t="s">
        <v>250</v>
      </c>
      <c r="BJ133" s="338"/>
    </row>
    <row r="134" ht="15.75" customHeight="1">
      <c r="A134" s="94"/>
      <c r="B134" s="95"/>
      <c r="C134" s="103"/>
      <c r="D134" s="420" t="s">
        <v>10</v>
      </c>
      <c r="E134" s="421" t="s">
        <v>54</v>
      </c>
      <c r="F134" s="422" t="s">
        <v>90</v>
      </c>
      <c r="G134" s="423"/>
      <c r="H134" s="423"/>
      <c r="I134" s="424"/>
      <c r="K134" s="178"/>
      <c r="L134" s="179" t="s">
        <v>251</v>
      </c>
      <c r="BJ134" s="338"/>
    </row>
    <row r="135" ht="15.75" customHeight="1">
      <c r="A135" s="94"/>
      <c r="B135" s="95"/>
      <c r="C135" s="103"/>
      <c r="D135" s="193">
        <f>COUNTIF(BI30:BI69,"ABAIXO DO BÁSICO")</f>
        <v>1</v>
      </c>
      <c r="E135" s="425">
        <f>SUM(D135/C18*100)</f>
        <v>3.448275862</v>
      </c>
      <c r="F135" s="426" t="s">
        <v>91</v>
      </c>
      <c r="G135" s="427"/>
      <c r="H135" s="427"/>
      <c r="I135" s="428"/>
      <c r="K135" s="178"/>
      <c r="L135" s="179" t="s">
        <v>252</v>
      </c>
      <c r="BJ135" s="338"/>
    </row>
    <row r="136" ht="15.75" customHeight="1">
      <c r="A136" s="94"/>
      <c r="B136" s="95"/>
      <c r="C136" s="103"/>
      <c r="D136" s="193">
        <f>COUNTIF(BI30:BI69,"BÁSICO")</f>
        <v>2</v>
      </c>
      <c r="E136" s="425">
        <f>SUM(D136/C18*100)</f>
        <v>6.896551724</v>
      </c>
      <c r="F136" s="429" t="s">
        <v>92</v>
      </c>
      <c r="G136" s="427"/>
      <c r="H136" s="427"/>
      <c r="I136" s="428"/>
      <c r="K136" s="178"/>
      <c r="BJ136" s="338"/>
    </row>
    <row r="137" ht="15.75" customHeight="1">
      <c r="A137" s="94"/>
      <c r="B137" s="95"/>
      <c r="C137" s="103"/>
      <c r="D137" s="193">
        <f>COUNTIF(BI30:BI69,"ADEQUADO")</f>
        <v>10</v>
      </c>
      <c r="E137" s="425">
        <f>SUM(D137/C18*100)</f>
        <v>34.48275862</v>
      </c>
      <c r="F137" s="430" t="s">
        <v>94</v>
      </c>
      <c r="G137" s="427"/>
      <c r="H137" s="427"/>
      <c r="I137" s="428"/>
      <c r="K137" s="178"/>
      <c r="BJ137" s="338"/>
    </row>
    <row r="138" ht="15.75" customHeight="1">
      <c r="A138" s="84"/>
      <c r="B138" s="85"/>
      <c r="C138" s="146"/>
      <c r="D138" s="193">
        <f>COUNTIF(BI30:BI69,"AVANÇADO")</f>
        <v>16</v>
      </c>
      <c r="E138" s="425">
        <f>SUM(D138/C18*100)</f>
        <v>55.17241379</v>
      </c>
      <c r="F138" s="431" t="s">
        <v>95</v>
      </c>
      <c r="G138" s="427"/>
      <c r="H138" s="427"/>
      <c r="I138" s="428"/>
      <c r="K138" s="223"/>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c r="BC138" s="224"/>
      <c r="BD138" s="224"/>
      <c r="BE138" s="224"/>
      <c r="BF138" s="224"/>
      <c r="BG138" s="224"/>
      <c r="BH138" s="224"/>
      <c r="BI138" s="224"/>
      <c r="BJ138" s="340"/>
    </row>
    <row r="139" ht="15.75" customHeight="1"/>
    <row r="140" ht="15.75" customHeight="1"/>
    <row r="141" ht="15.75" customHeight="1"/>
    <row r="142" ht="15.75" customHeight="1"/>
    <row r="143" ht="15.75" customHeight="1"/>
    <row r="144" ht="15.75" customHeight="1"/>
    <row r="145" ht="15.75" customHeight="1"/>
    <row r="146" ht="73.5" customHeight="1">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180"/>
    </row>
    <row r="147" ht="15.75" customHeight="1"/>
    <row r="148" ht="15.75" customHeight="1">
      <c r="BA148" s="226" t="s">
        <v>107</v>
      </c>
    </row>
    <row r="149" ht="15.75" customHeight="1">
      <c r="AL149" s="227"/>
      <c r="AM149" s="227"/>
      <c r="AN149" s="227"/>
      <c r="AO149" s="227"/>
      <c r="AP149" s="227"/>
      <c r="AQ149" s="227"/>
      <c r="AR149" s="227"/>
      <c r="AS149" s="227"/>
      <c r="AT149" s="227"/>
      <c r="AU149" s="227"/>
      <c r="AV149" s="227"/>
      <c r="AW149" s="227"/>
      <c r="AX149" s="227"/>
      <c r="BA149" s="227" t="s">
        <v>108</v>
      </c>
    </row>
    <row r="150" ht="15.75" customHeight="1"/>
  </sheetData>
  <mergeCells count="60">
    <mergeCell ref="A19:B19"/>
    <mergeCell ref="A20:B20"/>
    <mergeCell ref="A21:B21"/>
    <mergeCell ref="A23:C23"/>
    <mergeCell ref="D25:BB25"/>
    <mergeCell ref="BD25:BI25"/>
    <mergeCell ref="A26:A29"/>
    <mergeCell ref="BI27:BI29"/>
    <mergeCell ref="BG26:BI26"/>
    <mergeCell ref="AV27:AV29"/>
    <mergeCell ref="AW27:AW29"/>
    <mergeCell ref="AX27:AX29"/>
    <mergeCell ref="AY27:AY29"/>
    <mergeCell ref="AZ27:AZ29"/>
    <mergeCell ref="BA27:BA29"/>
    <mergeCell ref="B26:B29"/>
    <mergeCell ref="C26:C29"/>
    <mergeCell ref="A70:C70"/>
    <mergeCell ref="D72:AI72"/>
    <mergeCell ref="AK72:AT73"/>
    <mergeCell ref="D73:E74"/>
    <mergeCell ref="F73:F74"/>
    <mergeCell ref="G73:G74"/>
    <mergeCell ref="H73:AI74"/>
    <mergeCell ref="D75:D95"/>
    <mergeCell ref="AK75:AK95"/>
    <mergeCell ref="D96:D117"/>
    <mergeCell ref="AK96:AK117"/>
    <mergeCell ref="L122:T122"/>
    <mergeCell ref="D6:AX7"/>
    <mergeCell ref="D9:AX10"/>
    <mergeCell ref="D12:AX12"/>
    <mergeCell ref="A15:C15"/>
    <mergeCell ref="A16:C16"/>
    <mergeCell ref="A17:C17"/>
    <mergeCell ref="A18:B18"/>
    <mergeCell ref="D26:X26"/>
    <mergeCell ref="Y26:AT26"/>
    <mergeCell ref="AV26:BB26"/>
    <mergeCell ref="BD26:BF26"/>
    <mergeCell ref="BB27:BB29"/>
    <mergeCell ref="BD27:BD29"/>
    <mergeCell ref="BE27:BE29"/>
    <mergeCell ref="BF27:BF29"/>
    <mergeCell ref="BG27:BG29"/>
    <mergeCell ref="BH27:BH29"/>
    <mergeCell ref="L131:BI131"/>
    <mergeCell ref="L132:BI132"/>
    <mergeCell ref="L133:BI133"/>
    <mergeCell ref="L134:BI134"/>
    <mergeCell ref="L135:BI135"/>
    <mergeCell ref="L136:BI136"/>
    <mergeCell ref="L137:BI137"/>
    <mergeCell ref="L124:BI124"/>
    <mergeCell ref="L125:BI125"/>
    <mergeCell ref="L126:BI126"/>
    <mergeCell ref="L127:BI127"/>
    <mergeCell ref="L128:BI128"/>
    <mergeCell ref="L129:BI129"/>
    <mergeCell ref="L130:BI130"/>
  </mergeCells>
  <conditionalFormatting sqref="C30:C69">
    <cfRule type="containsText" dxfId="6" priority="1" operator="containsText" text="NÃO">
      <formula>NOT(ISERROR(SEARCH(("NÃO"),(C30))))</formula>
    </cfRule>
  </conditionalFormatting>
  <conditionalFormatting sqref="C30:C69">
    <cfRule type="containsText" dxfId="1" priority="2" operator="containsText" text="SIM">
      <formula>NOT(ISERROR(SEARCH(("SIM"),(C30))))</formula>
    </cfRule>
  </conditionalFormatting>
  <conditionalFormatting sqref="AV30:AZ69">
    <cfRule type="containsText" dxfId="6" priority="3" operator="containsText" text="F">
      <formula>NOT(ISERROR(SEARCH(("F"),(AV30))))</formula>
    </cfRule>
  </conditionalFormatting>
  <conditionalFormatting sqref="F30:F69">
    <cfRule type="containsText" dxfId="5" priority="4" operator="containsText" text="B">
      <formula>NOT(ISERROR(SEARCH(("B"),(F30))))</formula>
    </cfRule>
  </conditionalFormatting>
  <conditionalFormatting sqref="F30:F69">
    <cfRule type="containsText" dxfId="4" priority="5" operator="containsText" text="C">
      <formula>NOT(ISERROR(SEARCH(("C"),(F30))))</formula>
    </cfRule>
  </conditionalFormatting>
  <conditionalFormatting sqref="F30:F69">
    <cfRule type="containsText" dxfId="5" priority="6" operator="containsText" text="D">
      <formula>NOT(ISERROR(SEARCH(("D"),(F30))))</formula>
    </cfRule>
  </conditionalFormatting>
  <conditionalFormatting sqref="G30:G69">
    <cfRule type="containsText" dxfId="5" priority="7" operator="containsText" text="A">
      <formula>NOT(ISERROR(SEARCH(("A"),(G30))))</formula>
    </cfRule>
  </conditionalFormatting>
  <conditionalFormatting sqref="G30:G69">
    <cfRule type="containsText" dxfId="4" priority="8" operator="containsText" text="B">
      <formula>NOT(ISERROR(SEARCH(("B"),(G30))))</formula>
    </cfRule>
  </conditionalFormatting>
  <conditionalFormatting sqref="G30:G69">
    <cfRule type="containsText" dxfId="5" priority="9" operator="containsText" text="C">
      <formula>NOT(ISERROR(SEARCH(("C"),(G30))))</formula>
    </cfRule>
  </conditionalFormatting>
  <conditionalFormatting sqref="G30:G69">
    <cfRule type="containsText" dxfId="11" priority="10" operator="containsText" text="D">
      <formula>NOT(ISERROR(SEARCH(("D"),(G30))))</formula>
    </cfRule>
  </conditionalFormatting>
  <conditionalFormatting sqref="H30:H69">
    <cfRule type="containsText" dxfId="5" priority="11" operator="containsText" text="A">
      <formula>NOT(ISERROR(SEARCH(("A"),(H30))))</formula>
    </cfRule>
  </conditionalFormatting>
  <conditionalFormatting sqref="H30:H69">
    <cfRule type="containsText" dxfId="4" priority="12" operator="containsText" text="B">
      <formula>NOT(ISERROR(SEARCH(("B"),(H30))))</formula>
    </cfRule>
  </conditionalFormatting>
  <conditionalFormatting sqref="H30:H69">
    <cfRule type="containsText" dxfId="5" priority="13" operator="containsText" text="C">
      <formula>NOT(ISERROR(SEARCH(("C"),(H30))))</formula>
    </cfRule>
  </conditionalFormatting>
  <conditionalFormatting sqref="H30:H69">
    <cfRule type="containsText" dxfId="5" priority="14" operator="containsText" text="D">
      <formula>NOT(ISERROR(SEARCH(("D"),(H30))))</formula>
    </cfRule>
  </conditionalFormatting>
  <conditionalFormatting sqref="I30:I69">
    <cfRule type="containsText" dxfId="11" priority="15" operator="containsText" text="A">
      <formula>NOT(ISERROR(SEARCH(("A"),(I30))))</formula>
    </cfRule>
  </conditionalFormatting>
  <conditionalFormatting sqref="I30:I69">
    <cfRule type="containsText" dxfId="5" priority="16" operator="containsText" text="B">
      <formula>NOT(ISERROR(SEARCH(("B"),(I30))))</formula>
    </cfRule>
  </conditionalFormatting>
  <conditionalFormatting sqref="I30:I69">
    <cfRule type="containsText" dxfId="5" priority="17" operator="containsText" text="C">
      <formula>NOT(ISERROR(SEARCH(("C"),(I30))))</formula>
    </cfRule>
  </conditionalFormatting>
  <conditionalFormatting sqref="I30:I69">
    <cfRule type="containsText" dxfId="4" priority="18" operator="containsText" text="D">
      <formula>NOT(ISERROR(SEARCH(("D"),(I30))))</formula>
    </cfRule>
  </conditionalFormatting>
  <conditionalFormatting sqref="J30:J69">
    <cfRule type="containsText" dxfId="5" priority="19" operator="containsText" text="A">
      <formula>NOT(ISERROR(SEARCH(("A"),(J30))))</formula>
    </cfRule>
  </conditionalFormatting>
  <conditionalFormatting sqref="J30:J69">
    <cfRule type="containsText" dxfId="4" priority="20" operator="containsText" text="B">
      <formula>NOT(ISERROR(SEARCH(("B"),(J30))))</formula>
    </cfRule>
  </conditionalFormatting>
  <conditionalFormatting sqref="J30:J69">
    <cfRule type="containsText" dxfId="5" priority="21" operator="containsText" text="C">
      <formula>NOT(ISERROR(SEARCH(("C"),(J30))))</formula>
    </cfRule>
  </conditionalFormatting>
  <conditionalFormatting sqref="J30:J69">
    <cfRule type="containsText" dxfId="5" priority="22" operator="containsText" text="D">
      <formula>NOT(ISERROR(SEARCH(("D"),(J30))))</formula>
    </cfRule>
  </conditionalFormatting>
  <conditionalFormatting sqref="K30:K69">
    <cfRule type="containsText" dxfId="11" priority="23" operator="containsText" text="A">
      <formula>NOT(ISERROR(SEARCH(("A"),(K30))))</formula>
    </cfRule>
  </conditionalFormatting>
  <conditionalFormatting sqref="K30:K69">
    <cfRule type="containsText" dxfId="4" priority="24" operator="containsText" text="B">
      <formula>NOT(ISERROR(SEARCH(("B"),(K30))))</formula>
    </cfRule>
  </conditionalFormatting>
  <conditionalFormatting sqref="K30:K69">
    <cfRule type="containsText" dxfId="5" priority="25" operator="containsText" text="C">
      <formula>NOT(ISERROR(SEARCH(("C"),(K30))))</formula>
    </cfRule>
  </conditionalFormatting>
  <conditionalFormatting sqref="K30:K69">
    <cfRule type="containsText" dxfId="5" priority="26" operator="containsText" text="D">
      <formula>NOT(ISERROR(SEARCH(("D"),(K30))))</formula>
    </cfRule>
  </conditionalFormatting>
  <conditionalFormatting sqref="L30:L69">
    <cfRule type="containsText" dxfId="4" priority="27" operator="containsText" text="A">
      <formula>NOT(ISERROR(SEARCH(("A"),(L30))))</formula>
    </cfRule>
  </conditionalFormatting>
  <conditionalFormatting sqref="L30:L69">
    <cfRule type="containsText" dxfId="5" priority="28" operator="containsText" text="B">
      <formula>NOT(ISERROR(SEARCH(("B"),(L30))))</formula>
    </cfRule>
  </conditionalFormatting>
  <conditionalFormatting sqref="L30:L69">
    <cfRule type="containsText" dxfId="5" priority="29" operator="containsText" text="C">
      <formula>NOT(ISERROR(SEARCH(("C"),(L30))))</formula>
    </cfRule>
  </conditionalFormatting>
  <conditionalFormatting sqref="L30:L69">
    <cfRule type="containsText" dxfId="11" priority="30" operator="containsText" text="D">
      <formula>NOT(ISERROR(SEARCH(("D"),(L30))))</formula>
    </cfRule>
  </conditionalFormatting>
  <conditionalFormatting sqref="M30:M69">
    <cfRule type="containsText" dxfId="5" priority="31" operator="containsText" text="A">
      <formula>NOT(ISERROR(SEARCH(("A"),(M30))))</formula>
    </cfRule>
  </conditionalFormatting>
  <conditionalFormatting sqref="M30:M69">
    <cfRule type="containsText" dxfId="4" priority="32" operator="containsText" text="B">
      <formula>NOT(ISERROR(SEARCH(("B"),(M30))))</formula>
    </cfRule>
  </conditionalFormatting>
  <conditionalFormatting sqref="M30:M69">
    <cfRule type="containsText" dxfId="5" priority="33" operator="containsText" text="C">
      <formula>NOT(ISERROR(SEARCH(("C"),(M30))))</formula>
    </cfRule>
  </conditionalFormatting>
  <conditionalFormatting sqref="M30:M69">
    <cfRule type="containsText" dxfId="5" priority="34" operator="containsText" text="D">
      <formula>NOT(ISERROR(SEARCH(("D"),(M30))))</formula>
    </cfRule>
  </conditionalFormatting>
  <conditionalFormatting sqref="N30:N69">
    <cfRule type="containsText" dxfId="5" priority="35" operator="containsText" text="A">
      <formula>NOT(ISERROR(SEARCH(("A"),(N30))))</formula>
    </cfRule>
  </conditionalFormatting>
  <conditionalFormatting sqref="N30:N69">
    <cfRule type="containsText" dxfId="11" priority="36" operator="containsText" text="B">
      <formula>NOT(ISERROR(SEARCH(("B"),(N30))))</formula>
    </cfRule>
  </conditionalFormatting>
  <conditionalFormatting sqref="N30:N69">
    <cfRule type="containsText" dxfId="4" priority="37" operator="containsText" text="C">
      <formula>NOT(ISERROR(SEARCH(("C"),(N30))))</formula>
    </cfRule>
  </conditionalFormatting>
  <conditionalFormatting sqref="N30:N69">
    <cfRule type="containsText" dxfId="5" priority="38" operator="containsText" text="D">
      <formula>NOT(ISERROR(SEARCH(("D"),(N30))))</formula>
    </cfRule>
  </conditionalFormatting>
  <conditionalFormatting sqref="O30:O69">
    <cfRule type="containsText" dxfId="5" priority="39" operator="containsText" text="A">
      <formula>NOT(ISERROR(SEARCH(("A"),(O30))))</formula>
    </cfRule>
  </conditionalFormatting>
  <conditionalFormatting sqref="O30:O69">
    <cfRule type="containsText" dxfId="5" priority="40" operator="containsText" text="B">
      <formula>NOT(ISERROR(SEARCH(("B"),(O30))))</formula>
    </cfRule>
  </conditionalFormatting>
  <conditionalFormatting sqref="O30:O69">
    <cfRule type="containsText" dxfId="4" priority="41" operator="containsText" text="C">
      <formula>NOT(ISERROR(SEARCH(("C"),(O30))))</formula>
    </cfRule>
  </conditionalFormatting>
  <conditionalFormatting sqref="O30:O69">
    <cfRule type="containsText" dxfId="5" priority="42" operator="containsText" text="D">
      <formula>NOT(ISERROR(SEARCH(("D"),(O30))))</formula>
    </cfRule>
  </conditionalFormatting>
  <conditionalFormatting sqref="P30:P69">
    <cfRule type="containsText" dxfId="4" priority="43" operator="containsText" text="A">
      <formula>NOT(ISERROR(SEARCH(("A"),(P30))))</formula>
    </cfRule>
  </conditionalFormatting>
  <conditionalFormatting sqref="P30:P69">
    <cfRule type="containsText" dxfId="5" priority="44" operator="containsText" text="B">
      <formula>NOT(ISERROR(SEARCH(("B"),(P30))))</formula>
    </cfRule>
  </conditionalFormatting>
  <conditionalFormatting sqref="P30:P69">
    <cfRule type="containsText" dxfId="5" priority="45" operator="containsText" text="C">
      <formula>NOT(ISERROR(SEARCH(("C"),(P30))))</formula>
    </cfRule>
  </conditionalFormatting>
  <conditionalFormatting sqref="P30:P69">
    <cfRule type="containsText" dxfId="5" priority="46" operator="containsText" text="D">
      <formula>NOT(ISERROR(SEARCH(("D"),(P30))))</formula>
    </cfRule>
  </conditionalFormatting>
  <conditionalFormatting sqref="Q30:Q69">
    <cfRule type="containsText" dxfId="11" priority="47" operator="containsText" text="A">
      <formula>NOT(ISERROR(SEARCH(("A"),(Q30))))</formula>
    </cfRule>
  </conditionalFormatting>
  <conditionalFormatting sqref="Q30:Q69">
    <cfRule type="containsText" dxfId="12" priority="48" operator="containsText" text="B">
      <formula>NOT(ISERROR(SEARCH(("B"),(Q30))))</formula>
    </cfRule>
  </conditionalFormatting>
  <conditionalFormatting sqref="Q30:Q69">
    <cfRule type="containsText" dxfId="11" priority="49" operator="containsText" text="C">
      <formula>NOT(ISERROR(SEARCH(("C"),(Q30))))</formula>
    </cfRule>
  </conditionalFormatting>
  <conditionalFormatting sqref="Q30:Q69">
    <cfRule type="containsText" dxfId="5" priority="50" operator="containsText" text="D">
      <formula>NOT(ISERROR(SEARCH(("D"),(Q30))))</formula>
    </cfRule>
  </conditionalFormatting>
  <conditionalFormatting sqref="R30:R69">
    <cfRule type="containsText" dxfId="5" priority="51" operator="containsText" text="A">
      <formula>NOT(ISERROR(SEARCH(("A"),(R30))))</formula>
    </cfRule>
  </conditionalFormatting>
  <conditionalFormatting sqref="R30:R69">
    <cfRule type="containsText" dxfId="5" priority="52" operator="containsText" text="B">
      <formula>NOT(ISERROR(SEARCH(("B"),(R30))))</formula>
    </cfRule>
  </conditionalFormatting>
  <conditionalFormatting sqref="R30:R69">
    <cfRule type="containsText" dxfId="5" priority="53" operator="containsText" text="C">
      <formula>NOT(ISERROR(SEARCH(("C"),(R30))))</formula>
    </cfRule>
  </conditionalFormatting>
  <conditionalFormatting sqref="R30:R69">
    <cfRule type="containsText" dxfId="4" priority="54" operator="containsText" text="D">
      <formula>NOT(ISERROR(SEARCH(("D"),(R30))))</formula>
    </cfRule>
  </conditionalFormatting>
  <conditionalFormatting sqref="S30:S69">
    <cfRule type="containsText" dxfId="4" priority="55" operator="containsText" text="A">
      <formula>NOT(ISERROR(SEARCH(("A"),(S30))))</formula>
    </cfRule>
  </conditionalFormatting>
  <conditionalFormatting sqref="S30:S69">
    <cfRule type="containsText" dxfId="5" priority="56" operator="containsText" text="B">
      <formula>NOT(ISERROR(SEARCH(("B"),(S30))))</formula>
    </cfRule>
  </conditionalFormatting>
  <conditionalFormatting sqref="S30:S69">
    <cfRule type="containsText" dxfId="5" priority="57" operator="containsText" text="C">
      <formula>NOT(ISERROR(SEARCH(("C"),(S30))))</formula>
    </cfRule>
  </conditionalFormatting>
  <conditionalFormatting sqref="S30:S69">
    <cfRule type="containsText" dxfId="5" priority="58" operator="containsText" text="D">
      <formula>NOT(ISERROR(SEARCH(("D"),(S30))))</formula>
    </cfRule>
  </conditionalFormatting>
  <conditionalFormatting sqref="T30:T69">
    <cfRule type="containsText" dxfId="4" priority="59" operator="containsText" text="A">
      <formula>NOT(ISERROR(SEARCH(("A"),(T30))))</formula>
    </cfRule>
  </conditionalFormatting>
  <conditionalFormatting sqref="T30:T69">
    <cfRule type="containsText" dxfId="5" priority="60" operator="containsText" text="B">
      <formula>NOT(ISERROR(SEARCH(("B"),(T30))))</formula>
    </cfRule>
  </conditionalFormatting>
  <conditionalFormatting sqref="T30:T69">
    <cfRule type="containsText" dxfId="5" priority="61" operator="containsText" text="C">
      <formula>NOT(ISERROR(SEARCH(("C"),(T30))))</formula>
    </cfRule>
  </conditionalFormatting>
  <conditionalFormatting sqref="T30:T69">
    <cfRule type="containsText" dxfId="5" priority="62" operator="containsText" text="D">
      <formula>NOT(ISERROR(SEARCH(("D"),(T30))))</formula>
    </cfRule>
  </conditionalFormatting>
  <conditionalFormatting sqref="U30:U69">
    <cfRule type="containsText" dxfId="4" priority="63" operator="containsText" text="A">
      <formula>NOT(ISERROR(SEARCH(("A"),(U30))))</formula>
    </cfRule>
  </conditionalFormatting>
  <conditionalFormatting sqref="U30:U69">
    <cfRule type="containsText" dxfId="5" priority="64" operator="containsText" text="B">
      <formula>NOT(ISERROR(SEARCH(("B"),(U30))))</formula>
    </cfRule>
  </conditionalFormatting>
  <conditionalFormatting sqref="U30:U69">
    <cfRule type="containsText" dxfId="5" priority="65" operator="containsText" text="C">
      <formula>NOT(ISERROR(SEARCH(("C"),(U30))))</formula>
    </cfRule>
  </conditionalFormatting>
  <conditionalFormatting sqref="U30:U69">
    <cfRule type="containsText" dxfId="5" priority="66" operator="containsText" text="D">
      <formula>NOT(ISERROR(SEARCH(("D"),(U30))))</formula>
    </cfRule>
  </conditionalFormatting>
  <conditionalFormatting sqref="V30:V69">
    <cfRule type="containsText" dxfId="5" priority="67" operator="containsText" text="A">
      <formula>NOT(ISERROR(SEARCH(("A"),(V30))))</formula>
    </cfRule>
  </conditionalFormatting>
  <conditionalFormatting sqref="V30:V69">
    <cfRule type="containsText" dxfId="5" priority="68" operator="containsText" text="B">
      <formula>NOT(ISERROR(SEARCH(("B"),(V30))))</formula>
    </cfRule>
  </conditionalFormatting>
  <conditionalFormatting sqref="V30:V69">
    <cfRule type="containsText" dxfId="4" priority="69" operator="containsText" text="C">
      <formula>NOT(ISERROR(SEARCH(("C"),(V30))))</formula>
    </cfRule>
  </conditionalFormatting>
  <conditionalFormatting sqref="V30:V69">
    <cfRule type="containsText" dxfId="5" priority="70" operator="containsText" text="D">
      <formula>NOT(ISERROR(SEARCH(("D"),(V30))))</formula>
    </cfRule>
  </conditionalFormatting>
  <conditionalFormatting sqref="W30:W69">
    <cfRule type="containsText" dxfId="5" priority="71" operator="containsText" text="A">
      <formula>NOT(ISERROR(SEARCH(("A"),(W30))))</formula>
    </cfRule>
  </conditionalFormatting>
  <conditionalFormatting sqref="W30:W69">
    <cfRule type="containsText" dxfId="5" priority="72" operator="containsText" text="B">
      <formula>NOT(ISERROR(SEARCH(("B"),(W30))))</formula>
    </cfRule>
  </conditionalFormatting>
  <conditionalFormatting sqref="W30:W69">
    <cfRule type="containsText" dxfId="5" priority="73" operator="containsText" text="C">
      <formula>NOT(ISERROR(SEARCH(("C"),(W30))))</formula>
    </cfRule>
  </conditionalFormatting>
  <conditionalFormatting sqref="W30:W69">
    <cfRule type="containsText" dxfId="4" priority="74" operator="containsText" text="D">
      <formula>NOT(ISERROR(SEARCH(("D"),(W30))))</formula>
    </cfRule>
  </conditionalFormatting>
  <conditionalFormatting sqref="X30:X69">
    <cfRule type="containsText" dxfId="5" priority="75" operator="containsText" text="A">
      <formula>NOT(ISERROR(SEARCH(("A"),(X30))))</formula>
    </cfRule>
  </conditionalFormatting>
  <conditionalFormatting sqref="X30:X69">
    <cfRule type="containsText" dxfId="12" priority="76" operator="containsText" text="B">
      <formula>NOT(ISERROR(SEARCH(("B"),(X30))))</formula>
    </cfRule>
  </conditionalFormatting>
  <conditionalFormatting sqref="X30:X69">
    <cfRule type="containsText" dxfId="11" priority="77" operator="containsText" text="C">
      <formula>NOT(ISERROR(SEARCH(("C"),(X30))))</formula>
    </cfRule>
  </conditionalFormatting>
  <conditionalFormatting sqref="X30:X69">
    <cfRule type="containsText" dxfId="11" priority="78" operator="containsText" text="D">
      <formula>NOT(ISERROR(SEARCH(("D"),(X30))))</formula>
    </cfRule>
  </conditionalFormatting>
  <conditionalFormatting sqref="Y30:Y69">
    <cfRule type="containsText" dxfId="4" priority="79" operator="containsText" text="A">
      <formula>NOT(ISERROR(SEARCH(("A"),(Y30))))</formula>
    </cfRule>
  </conditionalFormatting>
  <conditionalFormatting sqref="Y30:Y69">
    <cfRule type="containsText" dxfId="5" priority="80" operator="containsText" text="B">
      <formula>NOT(ISERROR(SEARCH(("B"),(Y30))))</formula>
    </cfRule>
  </conditionalFormatting>
  <conditionalFormatting sqref="Y30:Y69">
    <cfRule type="containsText" dxfId="5" priority="81" operator="containsText" text="C">
      <formula>NOT(ISERROR(SEARCH(("C"),(Y30))))</formula>
    </cfRule>
  </conditionalFormatting>
  <conditionalFormatting sqref="Y30:Y69">
    <cfRule type="containsText" dxfId="5" priority="82" operator="containsText" text="D">
      <formula>NOT(ISERROR(SEARCH(("D"),(Y30))))</formula>
    </cfRule>
  </conditionalFormatting>
  <conditionalFormatting sqref="AB30:AB69">
    <cfRule type="containsText" dxfId="5" priority="83" operator="containsText" text="A">
      <formula>NOT(ISERROR(SEARCH(("A"),(AB30))))</formula>
    </cfRule>
  </conditionalFormatting>
  <conditionalFormatting sqref="AB30:AB69">
    <cfRule type="containsText" dxfId="5" priority="84" operator="containsText" text="B">
      <formula>NOT(ISERROR(SEARCH(("B"),(AB30))))</formula>
    </cfRule>
  </conditionalFormatting>
  <conditionalFormatting sqref="AB30:AB69">
    <cfRule type="containsText" dxfId="5" priority="85" operator="containsText" text="C">
      <formula>NOT(ISERROR(SEARCH(("C"),(AB30))))</formula>
    </cfRule>
  </conditionalFormatting>
  <conditionalFormatting sqref="AB30:AB69">
    <cfRule type="containsText" dxfId="4" priority="86" operator="containsText" text="D">
      <formula>NOT(ISERROR(SEARCH(("D"),(AB30))))</formula>
    </cfRule>
  </conditionalFormatting>
  <conditionalFormatting sqref="AC30:AC69">
    <cfRule type="containsText" dxfId="5" priority="87" operator="containsText" text="A">
      <formula>NOT(ISERROR(SEARCH(("A"),(AC30))))</formula>
    </cfRule>
  </conditionalFormatting>
  <conditionalFormatting sqref="AC30:AC69">
    <cfRule type="containsText" dxfId="5" priority="88" operator="containsText" text="B">
      <formula>NOT(ISERROR(SEARCH(("B"),(AC30))))</formula>
    </cfRule>
  </conditionalFormatting>
  <conditionalFormatting sqref="AC30:AC69">
    <cfRule type="containsText" dxfId="4" priority="89" operator="containsText" text="C">
      <formula>NOT(ISERROR(SEARCH(("C"),(AC30))))</formula>
    </cfRule>
  </conditionalFormatting>
  <conditionalFormatting sqref="AC30:AC69">
    <cfRule type="containsText" dxfId="5" priority="90" operator="containsText" text="D">
      <formula>NOT(ISERROR(SEARCH(("D"),(AC30))))</formula>
    </cfRule>
  </conditionalFormatting>
  <conditionalFormatting sqref="AD30:AD69">
    <cfRule type="containsText" dxfId="5" priority="91" operator="containsText" text="A">
      <formula>NOT(ISERROR(SEARCH(("A"),(AD30))))</formula>
    </cfRule>
  </conditionalFormatting>
  <conditionalFormatting sqref="AD30:AD69">
    <cfRule type="containsText" dxfId="5" priority="92" operator="containsText" text="B">
      <formula>NOT(ISERROR(SEARCH(("B"),(AD30))))</formula>
    </cfRule>
  </conditionalFormatting>
  <conditionalFormatting sqref="AD30:AD69">
    <cfRule type="containsText" dxfId="4" priority="93" operator="containsText" text="C">
      <formula>NOT(ISERROR(SEARCH(("C"),(AD30))))</formula>
    </cfRule>
  </conditionalFormatting>
  <conditionalFormatting sqref="AD30:AD69">
    <cfRule type="containsText" dxfId="5" priority="94" operator="containsText" text="D">
      <formula>NOT(ISERROR(SEARCH(("D"),(AD30))))</formula>
    </cfRule>
  </conditionalFormatting>
  <conditionalFormatting sqref="AE30:AE69">
    <cfRule type="containsText" dxfId="5" priority="95" operator="containsText" text="A">
      <formula>NOT(ISERROR(SEARCH(("A"),(AE30))))</formula>
    </cfRule>
  </conditionalFormatting>
  <conditionalFormatting sqref="AE30:AE69">
    <cfRule type="containsText" dxfId="4" priority="96" operator="containsText" text="B">
      <formula>NOT(ISERROR(SEARCH(("B"),(AE30))))</formula>
    </cfRule>
  </conditionalFormatting>
  <conditionalFormatting sqref="AE30:AE69">
    <cfRule type="containsText" dxfId="5" priority="97" operator="containsText" text="C">
      <formula>NOT(ISERROR(SEARCH(("C"),(AE30))))</formula>
    </cfRule>
  </conditionalFormatting>
  <conditionalFormatting sqref="AE30:AE69">
    <cfRule type="containsText" dxfId="5" priority="98" operator="containsText" text="D">
      <formula>NOT(ISERROR(SEARCH(("D"),(AE30))))</formula>
    </cfRule>
  </conditionalFormatting>
  <conditionalFormatting sqref="AF30:AF69">
    <cfRule type="containsText" dxfId="4" priority="99" operator="containsText" text="A">
      <formula>NOT(ISERROR(SEARCH(("A"),(AF30))))</formula>
    </cfRule>
  </conditionalFormatting>
  <conditionalFormatting sqref="AF30:AF69">
    <cfRule type="containsText" dxfId="5" priority="100" operator="containsText" text="B">
      <formula>NOT(ISERROR(SEARCH(("B"),(AF30))))</formula>
    </cfRule>
  </conditionalFormatting>
  <conditionalFormatting sqref="AF30:AF69">
    <cfRule type="containsText" dxfId="11" priority="101" operator="containsText" text="C">
      <formula>NOT(ISERROR(SEARCH(("C"),(AF30))))</formula>
    </cfRule>
  </conditionalFormatting>
  <conditionalFormatting sqref="AF30:AF69">
    <cfRule type="containsText" dxfId="11" priority="102" operator="containsText" text="D">
      <formula>NOT(ISERROR(SEARCH(("D"),(AF30))))</formula>
    </cfRule>
  </conditionalFormatting>
  <conditionalFormatting sqref="AG30:AG69">
    <cfRule type="containsText" dxfId="5" priority="103" operator="containsText" text="A">
      <formula>NOT(ISERROR(SEARCH(("A"),(AG30))))</formula>
    </cfRule>
  </conditionalFormatting>
  <conditionalFormatting sqref="AG30:AG69">
    <cfRule type="containsText" dxfId="5" priority="104" operator="containsText" text="B">
      <formula>NOT(ISERROR(SEARCH(("B"),(AG30))))</formula>
    </cfRule>
  </conditionalFormatting>
  <conditionalFormatting sqref="AG30:AG69">
    <cfRule type="containsText" dxfId="5" priority="105" operator="containsText" text="C">
      <formula>NOT(ISERROR(SEARCH(("C"),(AG30))))</formula>
    </cfRule>
  </conditionalFormatting>
  <conditionalFormatting sqref="AG30:AG69">
    <cfRule type="containsText" dxfId="4" priority="106" operator="containsText" text="D">
      <formula>NOT(ISERROR(SEARCH(("D"),(AG30))))</formula>
    </cfRule>
  </conditionalFormatting>
  <conditionalFormatting sqref="AH30:AH69">
    <cfRule type="containsText" dxfId="4" priority="107" operator="containsText" text="A">
      <formula>NOT(ISERROR(SEARCH(("A"),(AH30))))</formula>
    </cfRule>
  </conditionalFormatting>
  <conditionalFormatting sqref="AH30:AH69">
    <cfRule type="containsText" dxfId="5" priority="108" operator="containsText" text="B">
      <formula>NOT(ISERROR(SEARCH(("B"),(AH30))))</formula>
    </cfRule>
  </conditionalFormatting>
  <conditionalFormatting sqref="AH30:AH69">
    <cfRule type="containsText" dxfId="5" priority="109" operator="containsText" text="C">
      <formula>NOT(ISERROR(SEARCH(("C"),(AH30))))</formula>
    </cfRule>
  </conditionalFormatting>
  <conditionalFormatting sqref="AH30:AH69">
    <cfRule type="containsText" dxfId="5" priority="110" operator="containsText" text="D">
      <formula>NOT(ISERROR(SEARCH(("D"),(AH30))))</formula>
    </cfRule>
  </conditionalFormatting>
  <conditionalFormatting sqref="AI30:AI69">
    <cfRule type="containsText" dxfId="5" priority="111" operator="containsText" text="A">
      <formula>NOT(ISERROR(SEARCH(("A"),(AI30))))</formula>
    </cfRule>
  </conditionalFormatting>
  <conditionalFormatting sqref="AI30:AI69">
    <cfRule type="containsText" dxfId="5" priority="112" operator="containsText" text="B">
      <formula>NOT(ISERROR(SEARCH(("B"),(AI30))))</formula>
    </cfRule>
  </conditionalFormatting>
  <conditionalFormatting sqref="AI30:AI69">
    <cfRule type="containsText" dxfId="4" priority="113" operator="containsText" text="C">
      <formula>NOT(ISERROR(SEARCH(("C"),(AI30))))</formula>
    </cfRule>
  </conditionalFormatting>
  <conditionalFormatting sqref="AI30:AI69">
    <cfRule type="containsText" dxfId="5" priority="114" operator="containsText" text="D">
      <formula>NOT(ISERROR(SEARCH(("D"),(AI30))))</formula>
    </cfRule>
  </conditionalFormatting>
  <conditionalFormatting sqref="AJ30:AJ69">
    <cfRule type="containsText" dxfId="5" priority="115" operator="containsText" text="A">
      <formula>NOT(ISERROR(SEARCH(("A"),(AJ30))))</formula>
    </cfRule>
  </conditionalFormatting>
  <conditionalFormatting sqref="AJ30:AJ69">
    <cfRule type="containsText" dxfId="4" priority="116" operator="containsText" text="B">
      <formula>NOT(ISERROR(SEARCH(("B"),(AJ30))))</formula>
    </cfRule>
  </conditionalFormatting>
  <conditionalFormatting sqref="AJ30:AJ69">
    <cfRule type="containsText" dxfId="5" priority="117" operator="containsText" text="C">
      <formula>NOT(ISERROR(SEARCH(("C"),(AJ30))))</formula>
    </cfRule>
  </conditionalFormatting>
  <conditionalFormatting sqref="AJ30:AJ69">
    <cfRule type="containsText" dxfId="5" priority="118" operator="containsText" text="D">
      <formula>NOT(ISERROR(SEARCH(("D"),(AJ30))))</formula>
    </cfRule>
  </conditionalFormatting>
  <conditionalFormatting sqref="AK30:AK69">
    <cfRule type="containsText" dxfId="5" priority="119" operator="containsText" text="A">
      <formula>NOT(ISERROR(SEARCH(("A"),(AK30))))</formula>
    </cfRule>
  </conditionalFormatting>
  <conditionalFormatting sqref="AK30:AK69">
    <cfRule type="containsText" dxfId="5" priority="120" operator="containsText" text="B">
      <formula>NOT(ISERROR(SEARCH(("B"),(AK30))))</formula>
    </cfRule>
  </conditionalFormatting>
  <conditionalFormatting sqref="AK30:AK69">
    <cfRule type="containsText" dxfId="5" priority="121" operator="containsText" text="C">
      <formula>NOT(ISERROR(SEARCH(("C"),(AK30))))</formula>
    </cfRule>
  </conditionalFormatting>
  <conditionalFormatting sqref="AK30:AK69">
    <cfRule type="containsText" dxfId="4" priority="122" operator="containsText" text="D">
      <formula>NOT(ISERROR(SEARCH(("D"),(AK30))))</formula>
    </cfRule>
  </conditionalFormatting>
  <conditionalFormatting sqref="AL30:AL69">
    <cfRule type="containsText" dxfId="5" priority="123" operator="containsText" text="A">
      <formula>NOT(ISERROR(SEARCH(("A"),(AL30))))</formula>
    </cfRule>
  </conditionalFormatting>
  <conditionalFormatting sqref="AL30:AL69">
    <cfRule type="containsText" dxfId="4" priority="124" operator="containsText" text="B">
      <formula>NOT(ISERROR(SEARCH(("B"),(AL30))))</formula>
    </cfRule>
  </conditionalFormatting>
  <conditionalFormatting sqref="AL30:AL69">
    <cfRule type="containsText" dxfId="5" priority="125" operator="containsText" text="C">
      <formula>NOT(ISERROR(SEARCH(("C"),(AL30))))</formula>
    </cfRule>
  </conditionalFormatting>
  <conditionalFormatting sqref="AL30:AL69">
    <cfRule type="containsText" dxfId="5" priority="126" operator="containsText" text="D">
      <formula>NOT(ISERROR(SEARCH(("D"),(AL30))))</formula>
    </cfRule>
  </conditionalFormatting>
  <conditionalFormatting sqref="AM30:AM69">
    <cfRule type="containsText" dxfId="5" priority="127" operator="containsText" text="A">
      <formula>NOT(ISERROR(SEARCH(("A"),(AM30))))</formula>
    </cfRule>
  </conditionalFormatting>
  <conditionalFormatting sqref="AM30:AM69">
    <cfRule type="containsText" dxfId="5" priority="128" operator="containsText" text="B">
      <formula>NOT(ISERROR(SEARCH(("B"),(AM30))))</formula>
    </cfRule>
  </conditionalFormatting>
  <conditionalFormatting sqref="AM30:AM69">
    <cfRule type="containsText" dxfId="4" priority="129" operator="containsText" text="C">
      <formula>NOT(ISERROR(SEARCH(("C"),(AM30))))</formula>
    </cfRule>
  </conditionalFormatting>
  <conditionalFormatting sqref="AM30:AM69">
    <cfRule type="containsText" dxfId="5" priority="130" operator="containsText" text="D">
      <formula>NOT(ISERROR(SEARCH(("D"),(AM30))))</formula>
    </cfRule>
  </conditionalFormatting>
  <conditionalFormatting sqref="AN30:AN69">
    <cfRule type="containsText" dxfId="4" priority="131" operator="containsText" text="A">
      <formula>NOT(ISERROR(SEARCH(("A"),(AN30))))</formula>
    </cfRule>
  </conditionalFormatting>
  <conditionalFormatting sqref="AN30:AN69">
    <cfRule type="containsText" dxfId="5" priority="132" operator="containsText" text="B">
      <formula>NOT(ISERROR(SEARCH(("B"),(AN30))))</formula>
    </cfRule>
  </conditionalFormatting>
  <conditionalFormatting sqref="AN30:AN69">
    <cfRule type="containsText" dxfId="11" priority="133" operator="containsText" text="C">
      <formula>NOT(ISERROR(SEARCH(("C"),(AN30))))</formula>
    </cfRule>
  </conditionalFormatting>
  <conditionalFormatting sqref="AN30:AN69">
    <cfRule type="containsText" dxfId="11" priority="134" operator="containsText" text="D">
      <formula>NOT(ISERROR(SEARCH(("D"),(AN30))))</formula>
    </cfRule>
  </conditionalFormatting>
  <conditionalFormatting sqref="AO30:AO69">
    <cfRule type="containsText" dxfId="5" priority="135" operator="containsText" text="A">
      <formula>NOT(ISERROR(SEARCH(("A"),(AO30))))</formula>
    </cfRule>
  </conditionalFormatting>
  <conditionalFormatting sqref="AO30:AO69">
    <cfRule type="containsText" dxfId="4" priority="136" operator="containsText" text="B">
      <formula>NOT(ISERROR(SEARCH(("B"),(AO30))))</formula>
    </cfRule>
  </conditionalFormatting>
  <conditionalFormatting sqref="AO30:AO69">
    <cfRule type="containsText" dxfId="11" priority="137" operator="containsText" text="C">
      <formula>NOT(ISERROR(SEARCH(("C"),(AO30))))</formula>
    </cfRule>
  </conditionalFormatting>
  <conditionalFormatting sqref="AO30:AO69">
    <cfRule type="containsText" dxfId="5" priority="138" operator="containsText" text="D">
      <formula>NOT(ISERROR(SEARCH(("D"),(AO30))))</formula>
    </cfRule>
  </conditionalFormatting>
  <conditionalFormatting sqref="AP30:AP69">
    <cfRule type="containsText" dxfId="5" priority="139" operator="containsText" text="A">
      <formula>NOT(ISERROR(SEARCH(("A"),(AP30))))</formula>
    </cfRule>
  </conditionalFormatting>
  <conditionalFormatting sqref="AP30:AP69">
    <cfRule type="containsText" dxfId="5" priority="140" operator="containsText" text="B">
      <formula>NOT(ISERROR(SEARCH(("B"),(AP30))))</formula>
    </cfRule>
  </conditionalFormatting>
  <conditionalFormatting sqref="AP30:AP69">
    <cfRule type="containsText" dxfId="5" priority="141" operator="containsText" text="C">
      <formula>NOT(ISERROR(SEARCH(("C"),(AP30))))</formula>
    </cfRule>
  </conditionalFormatting>
  <conditionalFormatting sqref="AP30:AP69">
    <cfRule type="containsText" dxfId="4" priority="142" operator="containsText" text="D">
      <formula>NOT(ISERROR(SEARCH(("D"),(AP30))))</formula>
    </cfRule>
  </conditionalFormatting>
  <conditionalFormatting sqref="AQ30:AQ69">
    <cfRule type="containsText" dxfId="4" priority="143" operator="containsText" text="A">
      <formula>NOT(ISERROR(SEARCH(("A"),(AQ30))))</formula>
    </cfRule>
  </conditionalFormatting>
  <conditionalFormatting sqref="AQ30:AQ69">
    <cfRule type="containsText" dxfId="5" priority="144" operator="containsText" text="B">
      <formula>NOT(ISERROR(SEARCH(("B"),(AQ30))))</formula>
    </cfRule>
  </conditionalFormatting>
  <conditionalFormatting sqref="AQ30:AQ69">
    <cfRule type="containsText" dxfId="5" priority="145" operator="containsText" text="C">
      <formula>NOT(ISERROR(SEARCH(("C"),(AQ30))))</formula>
    </cfRule>
  </conditionalFormatting>
  <conditionalFormatting sqref="AQ30:AQ69">
    <cfRule type="containsText" dxfId="11" priority="146" operator="containsText" text="D">
      <formula>NOT(ISERROR(SEARCH(("D"),(AQ30))))</formula>
    </cfRule>
  </conditionalFormatting>
  <conditionalFormatting sqref="AR30:AR69">
    <cfRule type="containsText" dxfId="5" priority="147" operator="containsText" text="A">
      <formula>NOT(ISERROR(SEARCH(("A"),(AR30))))</formula>
    </cfRule>
  </conditionalFormatting>
  <conditionalFormatting sqref="AR30:AR69">
    <cfRule type="containsText" dxfId="5" priority="148" operator="containsText" text="B">
      <formula>NOT(ISERROR(SEARCH(("B"),(AR30))))</formula>
    </cfRule>
  </conditionalFormatting>
  <conditionalFormatting sqref="AR30:AR69">
    <cfRule type="containsText" dxfId="4" priority="149" operator="containsText" text="C">
      <formula>NOT(ISERROR(SEARCH(("C"),(AR30))))</formula>
    </cfRule>
  </conditionalFormatting>
  <conditionalFormatting sqref="AR30:AR69">
    <cfRule type="containsText" dxfId="5" priority="150" operator="containsText" text="D">
      <formula>NOT(ISERROR(SEARCH(("D"),(AR30))))</formula>
    </cfRule>
  </conditionalFormatting>
  <conditionalFormatting sqref="AS30:AS69">
    <cfRule type="containsText" dxfId="5" priority="151" operator="containsText" text="A">
      <formula>NOT(ISERROR(SEARCH(("A"),(AS30))))</formula>
    </cfRule>
  </conditionalFormatting>
  <conditionalFormatting sqref="AS30:AS69">
    <cfRule type="containsText" dxfId="5" priority="152" operator="containsText" text="B">
      <formula>NOT(ISERROR(SEARCH(("B"),(AS30))))</formula>
    </cfRule>
  </conditionalFormatting>
  <conditionalFormatting sqref="AS30:AS69">
    <cfRule type="containsText" dxfId="4" priority="153" operator="containsText" text="C">
      <formula>NOT(ISERROR(SEARCH(("C"),(AS30))))</formula>
    </cfRule>
  </conditionalFormatting>
  <conditionalFormatting sqref="AS30:AS69">
    <cfRule type="containsText" dxfId="5" priority="154" operator="containsText" text="D">
      <formula>NOT(ISERROR(SEARCH(("D"),(AS30))))</formula>
    </cfRule>
  </conditionalFormatting>
  <conditionalFormatting sqref="AT30:AT69">
    <cfRule type="containsText" dxfId="5" priority="155" operator="containsText" text="A">
      <formula>NOT(ISERROR(SEARCH(("A"),(AT30))))</formula>
    </cfRule>
  </conditionalFormatting>
  <conditionalFormatting sqref="AT30:AT69">
    <cfRule type="containsText" dxfId="12" priority="156" operator="containsText" text="B">
      <formula>NOT(ISERROR(SEARCH(("B"),(AT30))))</formula>
    </cfRule>
  </conditionalFormatting>
  <conditionalFormatting sqref="AT30:AT69">
    <cfRule type="containsText" dxfId="11" priority="157" operator="containsText" text="C">
      <formula>NOT(ISERROR(SEARCH(("C"),(AT30))))</formula>
    </cfRule>
  </conditionalFormatting>
  <conditionalFormatting sqref="AT30:AT69">
    <cfRule type="containsText" dxfId="11" priority="158" operator="containsText" text="D">
      <formula>NOT(ISERROR(SEARCH(("D"),(AT30))))</formula>
    </cfRule>
  </conditionalFormatting>
  <conditionalFormatting sqref="AV30:AV69">
    <cfRule type="containsText" dxfId="4" priority="159" operator="containsText" text="A">
      <formula>NOT(ISERROR(SEARCH(("A"),(AV30))))</formula>
    </cfRule>
  </conditionalFormatting>
  <conditionalFormatting sqref="AV30:AV69">
    <cfRule type="containsText" dxfId="5" priority="160" operator="containsText" text="B">
      <formula>NOT(ISERROR(SEARCH(("B"),(AV30))))</formula>
    </cfRule>
  </conditionalFormatting>
  <conditionalFormatting sqref="AV30:AV69">
    <cfRule type="containsText" dxfId="5" priority="161" operator="containsText" text="C">
      <formula>NOT(ISERROR(SEARCH(("C"),(AV30))))</formula>
    </cfRule>
  </conditionalFormatting>
  <conditionalFormatting sqref="AV30:AV69">
    <cfRule type="containsText" dxfId="5" priority="162" operator="containsText" text="X">
      <formula>NOT(ISERROR(SEARCH(("X"),(AV30))))</formula>
    </cfRule>
  </conditionalFormatting>
  <conditionalFormatting sqref="BA30:BA69">
    <cfRule type="containsText" dxfId="6" priority="163" operator="containsText" text="F">
      <formula>NOT(ISERROR(SEARCH(("F"),(BA30))))</formula>
    </cfRule>
  </conditionalFormatting>
  <conditionalFormatting sqref="BB30:BB69 BF30:BF69 BI30:BI69">
    <cfRule type="containsText" dxfId="13" priority="164" operator="containsText" text="Abaixo do Básico">
      <formula>NOT(ISERROR(SEARCH(("Abaixo do Básico"),(BB30))))</formula>
    </cfRule>
  </conditionalFormatting>
  <conditionalFormatting sqref="BB30:BB69 BF30:BF69 BI30:BI69">
    <cfRule type="containsText" dxfId="14" priority="165" operator="containsText" text="Básico">
      <formula>NOT(ISERROR(SEARCH(("Básico"),(BB30))))</formula>
    </cfRule>
  </conditionalFormatting>
  <conditionalFormatting sqref="BB30:BB69 BF30:BF69 BI30:BI69">
    <cfRule type="containsText" dxfId="15" priority="166" operator="containsText" text="Adequado">
      <formula>NOT(ISERROR(SEARCH(("Adequado"),(BB30))))</formula>
    </cfRule>
  </conditionalFormatting>
  <conditionalFormatting sqref="BB30:BB69 BF30:BF69 BI30:BI69">
    <cfRule type="containsText" dxfId="16" priority="167" operator="containsText" text="Avançado">
      <formula>NOT(ISERROR(SEARCH(("Avançado"),(BB30))))</formula>
    </cfRule>
  </conditionalFormatting>
  <conditionalFormatting sqref="AV30:BB69">
    <cfRule type="containsBlanks" dxfId="6" priority="168">
      <formula>LEN(TRIM(AV30))=0</formula>
    </cfRule>
  </conditionalFormatting>
  <conditionalFormatting sqref="BD30:BI69">
    <cfRule type="containsBlanks" dxfId="6" priority="169">
      <formula>LEN(TRIM(BD30))=0</formula>
    </cfRule>
  </conditionalFormatting>
  <conditionalFormatting sqref="D30:D69">
    <cfRule type="containsText" dxfId="5" priority="170" operator="containsText" text="A">
      <formula>NOT(ISERROR(SEARCH(("A"),(D30))))</formula>
    </cfRule>
  </conditionalFormatting>
  <conditionalFormatting sqref="D30:D69">
    <cfRule type="containsText" dxfId="5" priority="171" operator="containsText" text="B">
      <formula>NOT(ISERROR(SEARCH(("B"),(D30))))</formula>
    </cfRule>
  </conditionalFormatting>
  <conditionalFormatting sqref="D30:D69">
    <cfRule type="containsText" dxfId="4" priority="172" operator="containsText" text="C">
      <formula>NOT(ISERROR(SEARCH(("C"),(D30))))</formula>
    </cfRule>
  </conditionalFormatting>
  <conditionalFormatting sqref="D30:D69">
    <cfRule type="containsText" dxfId="5" priority="173" operator="containsText" text="D">
      <formula>NOT(ISERROR(SEARCH(("D"),(D30))))</formula>
    </cfRule>
  </conditionalFormatting>
  <conditionalFormatting sqref="Z30:Z69">
    <cfRule type="containsText" dxfId="5" priority="174" operator="containsText" text="A">
      <formula>NOT(ISERROR(SEARCH(("A"),(Z30))))</formula>
    </cfRule>
  </conditionalFormatting>
  <conditionalFormatting sqref="Z30:Z69">
    <cfRule type="containsText" dxfId="5" priority="175" operator="containsText" text="B">
      <formula>NOT(ISERROR(SEARCH(("B"),(Z30))))</formula>
    </cfRule>
  </conditionalFormatting>
  <conditionalFormatting sqref="Z30:Z69">
    <cfRule type="containsText" dxfId="5" priority="176" operator="containsText" text="C">
      <formula>NOT(ISERROR(SEARCH(("C"),(Z30))))</formula>
    </cfRule>
  </conditionalFormatting>
  <conditionalFormatting sqref="Z30:Z69">
    <cfRule type="containsText" dxfId="4" priority="177" operator="containsText" text="D">
      <formula>NOT(ISERROR(SEARCH(("D"),(Z30))))</formula>
    </cfRule>
  </conditionalFormatting>
  <conditionalFormatting sqref="AA30:AA69">
    <cfRule type="containsText" dxfId="5" priority="178" operator="containsText" text="A">
      <formula>NOT(ISERROR(SEARCH(("A"),(AA30))))</formula>
    </cfRule>
  </conditionalFormatting>
  <conditionalFormatting sqref="AA30:AA69">
    <cfRule type="containsText" dxfId="5" priority="179" operator="containsText" text="B">
      <formula>NOT(ISERROR(SEARCH(("B"),(AA30))))</formula>
    </cfRule>
  </conditionalFormatting>
  <conditionalFormatting sqref="AA30:AA69">
    <cfRule type="containsText" dxfId="4" priority="180" operator="containsText" text="C">
      <formula>NOT(ISERROR(SEARCH(("C"),(AA30))))</formula>
    </cfRule>
  </conditionalFormatting>
  <conditionalFormatting sqref="AA30:AA69">
    <cfRule type="containsText" dxfId="5" priority="181" operator="containsText" text="D">
      <formula>NOT(ISERROR(SEARCH(("D"),(AA30))))</formula>
    </cfRule>
  </conditionalFormatting>
  <conditionalFormatting sqref="D30:AT69">
    <cfRule type="containsText" dxfId="6" priority="182" operator="containsText" text="F">
      <formula>NOT(ISERROR(SEARCH(("F"),(D30))))</formula>
    </cfRule>
  </conditionalFormatting>
  <conditionalFormatting sqref="D30:AT69">
    <cfRule type="containsText" dxfId="5" priority="183" operator="containsText" text="X">
      <formula>NOT(ISERROR(SEARCH(("X"),(D30))))</formula>
    </cfRule>
  </conditionalFormatting>
  <conditionalFormatting sqref="D30:AT69">
    <cfRule type="containsBlanks" dxfId="6" priority="184">
      <formula>LEN(TRIM(D30))=0</formula>
    </cfRule>
  </conditionalFormatting>
  <conditionalFormatting sqref="B30:B69">
    <cfRule type="containsBlanks" dxfId="6" priority="185">
      <formula>LEN(TRIM(B30))=0</formula>
    </cfRule>
  </conditionalFormatting>
  <conditionalFormatting sqref="F30:F69">
    <cfRule type="containsText" dxfId="5" priority="186" operator="containsText" text="A">
      <formula>NOT(ISERROR(SEARCH(("A"),(F30))))</formula>
    </cfRule>
  </conditionalFormatting>
  <conditionalFormatting sqref="E30:E69">
    <cfRule type="containsText" dxfId="5" priority="187" operator="containsText" text="A">
      <formula>NOT(ISERROR(SEARCH(("A"),(E30))))</formula>
    </cfRule>
  </conditionalFormatting>
  <conditionalFormatting sqref="E30:E69">
    <cfRule type="containsText" dxfId="5" priority="188" operator="containsText" text="B">
      <formula>NOT(ISERROR(SEARCH(("B"),(E30))))</formula>
    </cfRule>
  </conditionalFormatting>
  <conditionalFormatting sqref="E30:E69">
    <cfRule type="containsText" dxfId="4" priority="189" operator="containsText" text="C">
      <formula>NOT(ISERROR(SEARCH(("C"),(E30))))</formula>
    </cfRule>
  </conditionalFormatting>
  <conditionalFormatting sqref="E30:E69">
    <cfRule type="containsText" dxfId="5" priority="190" operator="containsText" text="D">
      <formula>NOT(ISERROR(SEARCH(("D"),(E30))))</formula>
    </cfRule>
  </conditionalFormatting>
  <hyperlinks>
    <hyperlink r:id="rId1" ref="A23"/>
  </hyperlinks>
  <printOptions horizontalCentered="1"/>
  <pageMargins bottom="0.75" footer="0.0" header="0.0" left="0.7" right="0.7" top="0.75"/>
  <pageSetup fitToHeight="0" paperSize="9"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46" width="4.75"/>
    <col customWidth="1" min="47" max="47" width="3.38"/>
    <col customWidth="1" min="48" max="49" width="4.13"/>
    <col customWidth="1" min="50" max="50" width="4.25"/>
    <col customWidth="1" min="51" max="51" width="4.63"/>
    <col customWidth="1" min="52" max="52" width="4.75"/>
    <col customWidth="1" min="53" max="53" width="4.25"/>
    <col customWidth="1" min="54" max="54" width="14.13"/>
    <col customWidth="1" min="55" max="55" width="1.88"/>
    <col customWidth="1" min="56" max="56" width="5.25"/>
    <col customWidth="1" min="57" max="57" width="5.0"/>
    <col customWidth="1" min="58" max="58" width="14.13"/>
    <col customWidth="1" min="59" max="59" width="5.13"/>
    <col customWidth="1" min="60" max="60" width="4.75"/>
    <col customWidth="1" min="61" max="61" width="15.75"/>
    <col customWidth="1" min="62" max="63"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row>
    <row r="6" ht="25.5" customHeight="1">
      <c r="A6" s="1"/>
      <c r="B6" s="1"/>
      <c r="C6" s="1"/>
      <c r="D6" s="5" t="s">
        <v>0</v>
      </c>
      <c r="AY6" s="5"/>
      <c r="AZ6" s="5"/>
      <c r="BA6" s="5"/>
      <c r="BB6" s="5"/>
      <c r="BC6" s="5"/>
      <c r="BD6" s="5"/>
      <c r="BE6" s="5"/>
      <c r="BF6" s="4"/>
      <c r="BG6" s="4"/>
      <c r="BH6" s="4"/>
      <c r="BI6" s="3"/>
      <c r="BJ6" s="3"/>
      <c r="BK6" s="3"/>
    </row>
    <row r="7" ht="25.5" customHeight="1">
      <c r="A7" s="1"/>
      <c r="B7" s="1"/>
      <c r="C7" s="1"/>
      <c r="AY7" s="5"/>
      <c r="AZ7" s="5"/>
      <c r="BA7" s="5"/>
      <c r="BB7" s="5"/>
      <c r="BC7" s="5"/>
      <c r="BD7" s="5"/>
      <c r="BE7" s="5"/>
      <c r="BF7" s="4"/>
      <c r="BG7" s="4"/>
      <c r="BH7" s="4"/>
      <c r="BI7" s="3"/>
      <c r="BJ7" s="3"/>
      <c r="BK7" s="3"/>
    </row>
    <row r="8" ht="25.5" customHeight="1">
      <c r="A8" s="1"/>
      <c r="B8" s="1"/>
      <c r="C8" s="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4"/>
      <c r="BG8" s="4"/>
      <c r="BH8" s="4"/>
      <c r="BI8" s="3"/>
      <c r="BJ8" s="3"/>
      <c r="BK8" s="3"/>
    </row>
    <row r="9" ht="25.5" customHeight="1">
      <c r="A9" s="1"/>
      <c r="B9" s="1"/>
      <c r="C9" s="1"/>
      <c r="D9" s="6" t="s">
        <v>1</v>
      </c>
      <c r="AY9" s="7"/>
      <c r="AZ9" s="7"/>
      <c r="BA9" s="7"/>
      <c r="BB9" s="7"/>
      <c r="BC9" s="7"/>
      <c r="BD9" s="7"/>
      <c r="BE9" s="7"/>
      <c r="BF9" s="4"/>
      <c r="BG9" s="4"/>
      <c r="BH9" s="4"/>
      <c r="BI9" s="3"/>
      <c r="BJ9" s="3"/>
      <c r="BK9" s="3"/>
    </row>
    <row r="10" ht="25.5" customHeight="1">
      <c r="A10" s="1"/>
      <c r="B10" s="1"/>
      <c r="C10" s="1"/>
      <c r="AY10" s="7"/>
      <c r="AZ10" s="7"/>
      <c r="BA10" s="7"/>
      <c r="BB10" s="7"/>
      <c r="BC10" s="7"/>
      <c r="BD10" s="7"/>
      <c r="BE10" s="7"/>
      <c r="BF10" s="4"/>
      <c r="BG10" s="4"/>
      <c r="BH10" s="4"/>
      <c r="BI10" s="3"/>
      <c r="BJ10" s="3"/>
      <c r="BK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row>
    <row r="12" ht="25.5" customHeight="1">
      <c r="A12" s="1"/>
      <c r="B12" s="1"/>
      <c r="C12" s="1"/>
      <c r="D12" s="8" t="s">
        <v>2</v>
      </c>
      <c r="AY12" s="9"/>
      <c r="AZ12" s="9"/>
      <c r="BA12" s="9"/>
      <c r="BB12" s="9"/>
      <c r="BC12" s="9"/>
      <c r="BD12" s="9"/>
      <c r="BE12" s="9"/>
      <c r="BF12" s="4"/>
      <c r="BG12" s="4"/>
      <c r="BH12" s="4"/>
      <c r="BI12" s="3"/>
      <c r="BJ12" s="3"/>
      <c r="BK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V13" s="3"/>
      <c r="AW13" s="3"/>
      <c r="AX13" s="3"/>
      <c r="AY13" s="3"/>
      <c r="AZ13" s="3"/>
      <c r="BA13" s="3"/>
      <c r="BB13" s="4"/>
      <c r="BC13" s="4"/>
      <c r="BD13" s="4"/>
      <c r="BE13" s="4"/>
      <c r="BF13" s="4"/>
      <c r="BG13" s="4"/>
      <c r="BH13" s="4"/>
      <c r="BI13" s="3"/>
      <c r="BJ13" s="3"/>
      <c r="BK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V14" s="3"/>
      <c r="AW14" s="3"/>
      <c r="AX14" s="3"/>
      <c r="AY14" s="3"/>
      <c r="AZ14" s="3"/>
      <c r="BA14" s="3"/>
      <c r="BB14" s="4"/>
      <c r="BC14" s="4"/>
      <c r="BD14" s="4"/>
      <c r="BE14" s="4"/>
      <c r="BF14" s="4"/>
      <c r="BG14" s="4"/>
      <c r="BH14" s="4"/>
      <c r="BI14" s="3"/>
      <c r="BJ14" s="3"/>
      <c r="BK14" s="3"/>
    </row>
    <row r="15" ht="25.5" customHeight="1">
      <c r="A15" s="13"/>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V15" s="3"/>
      <c r="AW15" s="3"/>
      <c r="AX15" s="3"/>
      <c r="AY15" s="3"/>
      <c r="AZ15" s="3"/>
      <c r="BA15" s="3"/>
      <c r="BB15" s="4"/>
      <c r="BC15" s="4"/>
      <c r="BD15" s="4"/>
      <c r="BE15" s="4"/>
      <c r="BF15" s="4"/>
      <c r="BG15" s="4"/>
      <c r="BH15" s="4"/>
      <c r="BI15" s="3"/>
      <c r="BJ15" s="3"/>
      <c r="BK15" s="3"/>
    </row>
    <row r="16" ht="25.5" customHeight="1">
      <c r="A16" s="15" t="s">
        <v>47</v>
      </c>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V16" s="3"/>
      <c r="AW16" s="3"/>
      <c r="AX16" s="3"/>
      <c r="AY16" s="3"/>
      <c r="AZ16" s="3"/>
      <c r="BA16" s="3"/>
      <c r="BB16" s="4"/>
      <c r="BC16" s="4"/>
      <c r="BD16" s="4"/>
      <c r="BE16" s="4"/>
      <c r="BF16" s="4"/>
      <c r="BG16" s="4"/>
      <c r="BH16" s="4"/>
      <c r="BI16" s="3"/>
      <c r="BJ16" s="3"/>
      <c r="BK16" s="3"/>
    </row>
    <row r="17" ht="25.5" customHeight="1">
      <c r="A17" s="13"/>
      <c r="C17" s="14"/>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V17" s="3"/>
      <c r="AW17" s="3"/>
      <c r="AX17" s="3"/>
      <c r="AY17" s="3"/>
      <c r="AZ17" s="3"/>
      <c r="BA17" s="3"/>
      <c r="BB17" s="4"/>
      <c r="BC17" s="4"/>
      <c r="BD17" s="4"/>
      <c r="BE17" s="4"/>
      <c r="BF17" s="4"/>
      <c r="BG17" s="4"/>
      <c r="BH17" s="4"/>
      <c r="BI17" s="3"/>
      <c r="BJ17" s="3"/>
      <c r="BK17" s="3"/>
    </row>
    <row r="18" ht="21.0" customHeight="1">
      <c r="A18" s="16" t="s">
        <v>4</v>
      </c>
      <c r="C18" s="18">
        <f>COUNTA(B30:B69)</f>
        <v>29</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V18" s="3"/>
      <c r="AW18" s="3"/>
      <c r="AX18" s="3"/>
      <c r="AY18" s="3"/>
      <c r="AZ18" s="3"/>
      <c r="BA18" s="3"/>
      <c r="BB18" s="4"/>
      <c r="BC18" s="4"/>
      <c r="BD18" s="4"/>
      <c r="BE18" s="4"/>
      <c r="BF18" s="4"/>
      <c r="BG18" s="4"/>
      <c r="BH18" s="4"/>
      <c r="BI18" s="3"/>
      <c r="BJ18" s="3"/>
      <c r="BK18" s="3"/>
    </row>
    <row r="19" ht="21.75" customHeight="1">
      <c r="A19" s="16" t="s">
        <v>5</v>
      </c>
      <c r="C19" s="18">
        <f>SUMPRODUCT(LEN(D30:D69) - LEN(SUBSTITUTE(SUBSTITUTE(SUBSTITUTE(SUBSTITUTE(SUBSTITUTE(D30:D69,"A",""),"B",""),"C",""),"D",""),"X","")))</f>
        <v>27</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V19" s="3"/>
      <c r="AW19" s="3"/>
      <c r="AX19" s="3"/>
      <c r="AY19" s="3"/>
      <c r="AZ19" s="3"/>
      <c r="BA19" s="3"/>
      <c r="BB19" s="4"/>
      <c r="BC19" s="4"/>
      <c r="BD19" s="4"/>
      <c r="BE19" s="4"/>
      <c r="BF19" s="4"/>
      <c r="BG19" s="4"/>
      <c r="BH19" s="4"/>
      <c r="BI19" s="3"/>
      <c r="BJ19" s="3"/>
      <c r="BK19" s="3"/>
    </row>
    <row r="20" ht="21.0" customHeight="1">
      <c r="A20" s="16" t="s">
        <v>6</v>
      </c>
      <c r="C20" s="18">
        <f>COUNTIF(D30:D69,"F")</f>
        <v>2</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V20" s="3"/>
      <c r="AW20" s="3"/>
      <c r="AX20" s="3"/>
      <c r="AY20" s="3"/>
      <c r="AZ20" s="3"/>
      <c r="BA20" s="3"/>
      <c r="BB20" s="4"/>
      <c r="BC20" s="4"/>
      <c r="BD20" s="4"/>
      <c r="BE20" s="4"/>
      <c r="BF20" s="4"/>
      <c r="BG20" s="4"/>
      <c r="BH20" s="4"/>
      <c r="BI20" s="3"/>
      <c r="BJ20" s="3"/>
      <c r="BK20" s="3"/>
    </row>
    <row r="21" ht="24.0" customHeight="1">
      <c r="A21" s="16" t="s">
        <v>7</v>
      </c>
      <c r="C21" s="18">
        <f>COUNTIF(C30:C69,"SIM")</f>
        <v>2</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V21" s="3"/>
      <c r="AW21" s="3"/>
      <c r="AX21" s="3"/>
      <c r="AY21" s="3"/>
      <c r="AZ21" s="3"/>
      <c r="BA21" s="3"/>
      <c r="BB21" s="4"/>
      <c r="BC21" s="4"/>
      <c r="BD21" s="4"/>
      <c r="BE21" s="4"/>
      <c r="BF21" s="4"/>
      <c r="BG21" s="4"/>
      <c r="BH21" s="4"/>
      <c r="BI21" s="3"/>
      <c r="BJ21" s="3"/>
      <c r="BK21" s="3"/>
    </row>
    <row r="22" ht="24.0" customHeight="1">
      <c r="A22" s="16"/>
      <c r="B22" s="19"/>
      <c r="C22" s="21"/>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V22" s="3"/>
      <c r="AW22" s="3"/>
      <c r="AX22" s="3"/>
      <c r="AY22" s="3"/>
      <c r="AZ22" s="3"/>
      <c r="BA22" s="3"/>
      <c r="BB22" s="4"/>
      <c r="BC22" s="4"/>
      <c r="BD22" s="4"/>
      <c r="BE22" s="4"/>
      <c r="BF22" s="4"/>
      <c r="BG22" s="4"/>
      <c r="BH22" s="4"/>
      <c r="BI22" s="3"/>
      <c r="BJ22" s="3"/>
      <c r="BK22" s="3"/>
    </row>
    <row r="23" ht="42.0" customHeight="1">
      <c r="A23" s="22" t="s">
        <v>8</v>
      </c>
      <c r="B23" s="23"/>
      <c r="C23" s="24"/>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V23" s="3"/>
      <c r="AW23" s="3"/>
      <c r="AX23" s="3"/>
      <c r="AY23" s="3"/>
      <c r="AZ23" s="3"/>
      <c r="BA23" s="3"/>
      <c r="BB23" s="4"/>
      <c r="BC23" s="4"/>
      <c r="BD23" s="4"/>
      <c r="BE23" s="4"/>
      <c r="BF23" s="4"/>
      <c r="BG23" s="4"/>
      <c r="BH23" s="4"/>
      <c r="BI23" s="3"/>
      <c r="BJ23" s="3"/>
      <c r="BK23" s="3"/>
    </row>
    <row r="24" ht="36.0"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V24" s="3"/>
      <c r="AW24" s="3"/>
      <c r="AX24" s="3"/>
      <c r="AY24" s="3"/>
      <c r="AZ24" s="3"/>
      <c r="BA24" s="3"/>
      <c r="BB24" s="4"/>
      <c r="BC24" s="4"/>
      <c r="BD24" s="4"/>
      <c r="BE24" s="4"/>
      <c r="BF24" s="4"/>
      <c r="BG24" s="4"/>
      <c r="BH24" s="4"/>
      <c r="BI24" s="3"/>
      <c r="BJ24" s="3"/>
      <c r="BK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41"/>
      <c r="BC25" s="236"/>
      <c r="BD25" s="342" t="s">
        <v>155</v>
      </c>
      <c r="BJ25" s="3"/>
      <c r="BK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344"/>
      <c r="Y26" s="345" t="s">
        <v>17</v>
      </c>
      <c r="Z26" s="29"/>
      <c r="AA26" s="29"/>
      <c r="AB26" s="29"/>
      <c r="AC26" s="29"/>
      <c r="AD26" s="29"/>
      <c r="AE26" s="29"/>
      <c r="AF26" s="29"/>
      <c r="AG26" s="29"/>
      <c r="AH26" s="29"/>
      <c r="AI26" s="29"/>
      <c r="AJ26" s="29"/>
      <c r="AK26" s="29"/>
      <c r="AL26" s="29"/>
      <c r="AM26" s="29"/>
      <c r="AN26" s="29"/>
      <c r="AO26" s="29"/>
      <c r="AP26" s="29"/>
      <c r="AQ26" s="29"/>
      <c r="AR26" s="29"/>
      <c r="AS26" s="29"/>
      <c r="AT26" s="41"/>
      <c r="AV26" s="346" t="s">
        <v>89</v>
      </c>
      <c r="BC26" s="347"/>
      <c r="BD26" s="348" t="s">
        <v>158</v>
      </c>
      <c r="BF26" s="349"/>
      <c r="BG26" s="350" t="s">
        <v>17</v>
      </c>
      <c r="BJ26" s="3"/>
      <c r="BK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9" t="s">
        <v>38</v>
      </c>
      <c r="Y27" s="50" t="s">
        <v>253</v>
      </c>
      <c r="Z27" s="51" t="s">
        <v>19</v>
      </c>
      <c r="AA27" s="51" t="s">
        <v>20</v>
      </c>
      <c r="AB27" s="51" t="s">
        <v>21</v>
      </c>
      <c r="AC27" s="51" t="s">
        <v>22</v>
      </c>
      <c r="AD27" s="51" t="s">
        <v>23</v>
      </c>
      <c r="AE27" s="51" t="s">
        <v>24</v>
      </c>
      <c r="AF27" s="51" t="s">
        <v>25</v>
      </c>
      <c r="AG27" s="51" t="s">
        <v>26</v>
      </c>
      <c r="AH27" s="51" t="s">
        <v>27</v>
      </c>
      <c r="AI27" s="51" t="s">
        <v>28</v>
      </c>
      <c r="AJ27" s="51" t="s">
        <v>29</v>
      </c>
      <c r="AK27" s="51" t="s">
        <v>30</v>
      </c>
      <c r="AL27" s="51" t="s">
        <v>31</v>
      </c>
      <c r="AM27" s="51" t="s">
        <v>32</v>
      </c>
      <c r="AN27" s="51" t="s">
        <v>33</v>
      </c>
      <c r="AO27" s="51" t="s">
        <v>34</v>
      </c>
      <c r="AP27" s="51" t="s">
        <v>35</v>
      </c>
      <c r="AQ27" s="51" t="s">
        <v>36</v>
      </c>
      <c r="AR27" s="51" t="s">
        <v>37</v>
      </c>
      <c r="AS27" s="51" t="s">
        <v>38</v>
      </c>
      <c r="AT27" s="51" t="s">
        <v>40</v>
      </c>
      <c r="AV27" s="351" t="s">
        <v>160</v>
      </c>
      <c r="AW27" s="351" t="s">
        <v>161</v>
      </c>
      <c r="AX27" s="351" t="s">
        <v>162</v>
      </c>
      <c r="AY27" s="351" t="s">
        <v>163</v>
      </c>
      <c r="AZ27" s="351" t="s">
        <v>164</v>
      </c>
      <c r="BA27" s="352" t="s">
        <v>165</v>
      </c>
      <c r="BB27" s="353" t="s">
        <v>90</v>
      </c>
      <c r="BC27" s="354"/>
      <c r="BD27" s="355" t="s">
        <v>166</v>
      </c>
      <c r="BE27" s="355" t="s">
        <v>167</v>
      </c>
      <c r="BF27" s="356" t="s">
        <v>168</v>
      </c>
      <c r="BG27" s="357" t="s">
        <v>166</v>
      </c>
      <c r="BH27" s="358" t="s">
        <v>167</v>
      </c>
      <c r="BI27" s="359" t="s">
        <v>168</v>
      </c>
      <c r="BJ27" s="360"/>
      <c r="BK27" s="360"/>
    </row>
    <row r="28" ht="19.5" hidden="1" customHeight="1">
      <c r="A28" s="47"/>
      <c r="B28" s="14"/>
      <c r="C28" s="14"/>
      <c r="D28" s="60">
        <v>18.0</v>
      </c>
      <c r="E28" s="60">
        <v>9.0</v>
      </c>
      <c r="F28" s="60">
        <v>0.0</v>
      </c>
      <c r="G28" s="60">
        <v>36.0</v>
      </c>
      <c r="H28" s="60">
        <v>36.0</v>
      </c>
      <c r="I28" s="60">
        <v>36.0</v>
      </c>
      <c r="J28" s="60">
        <v>18.0</v>
      </c>
      <c r="K28" s="60">
        <v>18.0</v>
      </c>
      <c r="L28" s="60">
        <v>36.0</v>
      </c>
      <c r="M28" s="60">
        <v>36.0</v>
      </c>
      <c r="N28" s="60">
        <v>36.0</v>
      </c>
      <c r="O28" s="60">
        <v>36.0</v>
      </c>
      <c r="P28" s="60">
        <v>36.0</v>
      </c>
      <c r="Q28" s="60">
        <v>9.0</v>
      </c>
      <c r="R28" s="60">
        <v>18.0</v>
      </c>
      <c r="S28" s="60">
        <v>36.0</v>
      </c>
      <c r="T28" s="60">
        <v>36.0</v>
      </c>
      <c r="U28" s="60">
        <v>9.0</v>
      </c>
      <c r="V28" s="60">
        <v>0.0</v>
      </c>
      <c r="W28" s="60">
        <v>36.0</v>
      </c>
      <c r="X28" s="61">
        <v>0.0</v>
      </c>
      <c r="Y28" s="62">
        <v>25.0</v>
      </c>
      <c r="Z28" s="62">
        <v>25.0</v>
      </c>
      <c r="AA28" s="62">
        <v>25.0</v>
      </c>
      <c r="AB28" s="62">
        <v>25.0</v>
      </c>
      <c r="AC28" s="63">
        <v>16.0</v>
      </c>
      <c r="AD28" s="63">
        <v>25.0</v>
      </c>
      <c r="AE28" s="63">
        <v>8.0</v>
      </c>
      <c r="AF28" s="63">
        <v>25.0</v>
      </c>
      <c r="AG28" s="63">
        <v>25.0</v>
      </c>
      <c r="AH28" s="63">
        <v>16.0</v>
      </c>
      <c r="AI28" s="63">
        <v>25.0</v>
      </c>
      <c r="AJ28" s="63">
        <v>25.0</v>
      </c>
      <c r="AK28" s="63">
        <v>25.0</v>
      </c>
      <c r="AL28" s="63">
        <v>25.0</v>
      </c>
      <c r="AM28" s="63">
        <v>25.0</v>
      </c>
      <c r="AN28" s="63">
        <v>25.0</v>
      </c>
      <c r="AO28" s="63">
        <v>16.0</v>
      </c>
      <c r="AP28" s="63">
        <v>25.0</v>
      </c>
      <c r="AQ28" s="63">
        <v>25.0</v>
      </c>
      <c r="AR28" s="63">
        <v>25.0</v>
      </c>
      <c r="AS28" s="63">
        <v>25.0</v>
      </c>
      <c r="AT28" s="63">
        <v>25.0</v>
      </c>
      <c r="AV28" s="47"/>
      <c r="AW28" s="47"/>
      <c r="AX28" s="47"/>
      <c r="AY28" s="47"/>
      <c r="AZ28" s="47"/>
      <c r="BA28" s="47"/>
      <c r="BB28" s="47"/>
      <c r="BC28" s="354"/>
      <c r="BD28" s="47"/>
      <c r="BE28" s="47"/>
      <c r="BF28" s="361"/>
      <c r="BG28" s="14"/>
      <c r="BH28" s="47"/>
      <c r="BI28" s="47"/>
      <c r="BJ28" s="360"/>
      <c r="BK28" s="360"/>
    </row>
    <row r="29" ht="19.5" customHeight="1">
      <c r="A29" s="65"/>
      <c r="B29" s="24"/>
      <c r="C29" s="24"/>
      <c r="D29" s="66" t="s">
        <v>41</v>
      </c>
      <c r="E29" s="66" t="s">
        <v>41</v>
      </c>
      <c r="F29" s="66" t="s">
        <v>41</v>
      </c>
      <c r="G29" s="66" t="s">
        <v>42</v>
      </c>
      <c r="H29" s="66" t="s">
        <v>42</v>
      </c>
      <c r="I29" s="66" t="s">
        <v>43</v>
      </c>
      <c r="J29" s="66" t="s">
        <v>42</v>
      </c>
      <c r="K29" s="66" t="s">
        <v>42</v>
      </c>
      <c r="L29" s="66" t="s">
        <v>44</v>
      </c>
      <c r="M29" s="66" t="s">
        <v>42</v>
      </c>
      <c r="N29" s="66" t="s">
        <v>41</v>
      </c>
      <c r="O29" s="66" t="s">
        <v>41</v>
      </c>
      <c r="P29" s="66" t="s">
        <v>44</v>
      </c>
      <c r="Q29" s="66" t="s">
        <v>42</v>
      </c>
      <c r="R29" s="66" t="s">
        <v>43</v>
      </c>
      <c r="S29" s="66" t="s">
        <v>44</v>
      </c>
      <c r="T29" s="66" t="s">
        <v>44</v>
      </c>
      <c r="U29" s="66" t="s">
        <v>44</v>
      </c>
      <c r="V29" s="66" t="s">
        <v>41</v>
      </c>
      <c r="W29" s="66" t="s">
        <v>43</v>
      </c>
      <c r="X29" s="246" t="s">
        <v>42</v>
      </c>
      <c r="Y29" s="68" t="s">
        <v>44</v>
      </c>
      <c r="Z29" s="69" t="s">
        <v>43</v>
      </c>
      <c r="AA29" s="69" t="s">
        <v>41</v>
      </c>
      <c r="AB29" s="69" t="s">
        <v>43</v>
      </c>
      <c r="AC29" s="69" t="s">
        <v>41</v>
      </c>
      <c r="AD29" s="69" t="s">
        <v>41</v>
      </c>
      <c r="AE29" s="69" t="s">
        <v>42</v>
      </c>
      <c r="AF29" s="69" t="s">
        <v>44</v>
      </c>
      <c r="AG29" s="69" t="s">
        <v>43</v>
      </c>
      <c r="AH29" s="69" t="s">
        <v>44</v>
      </c>
      <c r="AI29" s="69" t="s">
        <v>41</v>
      </c>
      <c r="AJ29" s="69" t="s">
        <v>42</v>
      </c>
      <c r="AK29" s="69" t="s">
        <v>43</v>
      </c>
      <c r="AL29" s="69" t="s">
        <v>42</v>
      </c>
      <c r="AM29" s="69" t="s">
        <v>41</v>
      </c>
      <c r="AN29" s="69" t="s">
        <v>44</v>
      </c>
      <c r="AO29" s="69" t="s">
        <v>42</v>
      </c>
      <c r="AP29" s="69" t="s">
        <v>43</v>
      </c>
      <c r="AQ29" s="69" t="s">
        <v>44</v>
      </c>
      <c r="AR29" s="69" t="s">
        <v>41</v>
      </c>
      <c r="AS29" s="69" t="s">
        <v>41</v>
      </c>
      <c r="AT29" s="69" t="s">
        <v>42</v>
      </c>
      <c r="AV29" s="65"/>
      <c r="AW29" s="65"/>
      <c r="AX29" s="65"/>
      <c r="AY29" s="65"/>
      <c r="AZ29" s="65"/>
      <c r="BA29" s="65"/>
      <c r="BB29" s="65"/>
      <c r="BC29" s="354"/>
      <c r="BD29" s="65"/>
      <c r="BE29" s="65"/>
      <c r="BF29" s="362"/>
      <c r="BG29" s="24"/>
      <c r="BH29" s="65"/>
      <c r="BI29" s="65"/>
      <c r="BJ29" s="360"/>
      <c r="BK29" s="360"/>
    </row>
    <row r="30" ht="15.75" customHeight="1">
      <c r="A30" s="82">
        <v>1.0</v>
      </c>
      <c r="B30" s="71" t="s">
        <v>254</v>
      </c>
      <c r="C30" s="363" t="s">
        <v>170</v>
      </c>
      <c r="D30" s="364" t="s">
        <v>41</v>
      </c>
      <c r="E30" s="365" t="s">
        <v>41</v>
      </c>
      <c r="F30" s="365" t="s">
        <v>41</v>
      </c>
      <c r="G30" s="365" t="s">
        <v>42</v>
      </c>
      <c r="H30" s="365" t="s">
        <v>42</v>
      </c>
      <c r="I30" s="365" t="s">
        <v>44</v>
      </c>
      <c r="J30" s="365" t="s">
        <v>42</v>
      </c>
      <c r="K30" s="365" t="s">
        <v>42</v>
      </c>
      <c r="L30" s="365" t="s">
        <v>44</v>
      </c>
      <c r="M30" s="365" t="s">
        <v>41</v>
      </c>
      <c r="N30" s="365" t="s">
        <v>41</v>
      </c>
      <c r="O30" s="365" t="s">
        <v>41</v>
      </c>
      <c r="P30" s="365" t="s">
        <v>44</v>
      </c>
      <c r="Q30" s="365" t="s">
        <v>44</v>
      </c>
      <c r="R30" s="365" t="s">
        <v>42</v>
      </c>
      <c r="S30" s="365" t="s">
        <v>44</v>
      </c>
      <c r="T30" s="365" t="s">
        <v>44</v>
      </c>
      <c r="U30" s="365" t="s">
        <v>44</v>
      </c>
      <c r="V30" s="365" t="s">
        <v>41</v>
      </c>
      <c r="W30" s="365" t="s">
        <v>43</v>
      </c>
      <c r="X30" s="366" t="s">
        <v>42</v>
      </c>
      <c r="Y30" s="367" t="s">
        <v>44</v>
      </c>
      <c r="Z30" s="365" t="s">
        <v>43</v>
      </c>
      <c r="AA30" s="365" t="s">
        <v>42</v>
      </c>
      <c r="AB30" s="365" t="s">
        <v>43</v>
      </c>
      <c r="AC30" s="365" t="s">
        <v>41</v>
      </c>
      <c r="AD30" s="365" t="s">
        <v>41</v>
      </c>
      <c r="AE30" s="365" t="s">
        <v>41</v>
      </c>
      <c r="AF30" s="365" t="s">
        <v>44</v>
      </c>
      <c r="AG30" s="365" t="s">
        <v>43</v>
      </c>
      <c r="AH30" s="365" t="s">
        <v>44</v>
      </c>
      <c r="AI30" s="365" t="s">
        <v>41</v>
      </c>
      <c r="AJ30" s="365" t="s">
        <v>42</v>
      </c>
      <c r="AK30" s="365" t="s">
        <v>43</v>
      </c>
      <c r="AL30" s="365" t="s">
        <v>42</v>
      </c>
      <c r="AM30" s="365" t="s">
        <v>41</v>
      </c>
      <c r="AN30" s="365" t="s">
        <v>44</v>
      </c>
      <c r="AO30" s="365" t="s">
        <v>173</v>
      </c>
      <c r="AP30" s="365" t="s">
        <v>41</v>
      </c>
      <c r="AQ30" s="365" t="s">
        <v>43</v>
      </c>
      <c r="AR30" s="365" t="s">
        <v>41</v>
      </c>
      <c r="AS30" s="365" t="s">
        <v>41</v>
      </c>
      <c r="AT30" s="365" t="s">
        <v>42</v>
      </c>
      <c r="AU30" s="368"/>
      <c r="AV30" s="369" t="s">
        <v>44</v>
      </c>
      <c r="AW30" s="370">
        <v>3.0</v>
      </c>
      <c r="AX30" s="370">
        <v>3.0</v>
      </c>
      <c r="AY30" s="370">
        <v>3.0</v>
      </c>
      <c r="AZ30" s="370">
        <v>3.0</v>
      </c>
      <c r="BA30" s="371">
        <f t="shared" ref="BA30:BA58" si="1">(100/16)*((SUM(AW30:AZ30)))</f>
        <v>75</v>
      </c>
      <c r="BB30" s="372" t="str">
        <f t="shared" ref="BB30:BB58" si="2">IF((SUM(BA30))&lt;=25, "Abaixo do Básico", IF((SUM(BA30))&lt;=50, "Básico", IF((SUM(BA30))&lt;=75, "Adequado", "Avançado")))</f>
        <v>Adequado</v>
      </c>
      <c r="BC30" s="373"/>
      <c r="BD30" s="374">
        <f t="shared" ref="BD30:BD58" si="3">SUMPRODUCT(--(D30:X30=D$29:X$29))</f>
        <v>17</v>
      </c>
      <c r="BE30" s="374">
        <f t="shared" ref="BE30:BE58" si="4">SUMPRODUCT((D30:X30=D$29:X$29)*D$28:X$28)</f>
        <v>396</v>
      </c>
      <c r="BF30" s="375" t="str">
        <f t="shared" ref="BF30:BF58" si="5">IF((SUM(BE30))&lt;=125, "Abaixo do Básico", IF((SUM(BE30))&lt;=250, "Básico", IF((SUM(BE30))&lt;=375, "Adequado", "Avançado")))</f>
        <v>Avançado</v>
      </c>
      <c r="BG30" s="376">
        <f t="shared" ref="BG30:BG58" si="6">SUMPRODUCT(--(Y30:AT30=Y$29:AT$29))</f>
        <v>17</v>
      </c>
      <c r="BH30" s="374">
        <f t="shared" ref="BH30:BH58" si="7">SUMPRODUCT((Y30:AT30=Y$29:AT$29)*Y$28:AT$28)</f>
        <v>407</v>
      </c>
      <c r="BI30" s="377" t="str">
        <f t="shared" ref="BI30:BI58" si="8">IF((SUM(BH30))&lt;=125, "Abaixo do Básico", IF((SUM(BH30))&lt;=250, "Básico", IF((SUM(BH30))&lt;=375, "Adequado", "Avançado")))</f>
        <v>Avançado</v>
      </c>
      <c r="BJ30" s="25"/>
      <c r="BK30" s="25"/>
    </row>
    <row r="31" ht="15.75" customHeight="1">
      <c r="A31" s="82">
        <v>2.0</v>
      </c>
      <c r="B31" s="378" t="s">
        <v>255</v>
      </c>
      <c r="C31" s="363" t="s">
        <v>170</v>
      </c>
      <c r="D31" s="379" t="s">
        <v>41</v>
      </c>
      <c r="E31" s="365" t="s">
        <v>41</v>
      </c>
      <c r="F31" s="365" t="s">
        <v>41</v>
      </c>
      <c r="G31" s="365" t="s">
        <v>42</v>
      </c>
      <c r="H31" s="365" t="s">
        <v>42</v>
      </c>
      <c r="I31" s="365" t="s">
        <v>44</v>
      </c>
      <c r="J31" s="365" t="s">
        <v>42</v>
      </c>
      <c r="K31" s="365" t="s">
        <v>42</v>
      </c>
      <c r="L31" s="365" t="s">
        <v>44</v>
      </c>
      <c r="M31" s="365" t="s">
        <v>41</v>
      </c>
      <c r="N31" s="365" t="s">
        <v>41</v>
      </c>
      <c r="O31" s="365" t="s">
        <v>41</v>
      </c>
      <c r="P31" s="365" t="s">
        <v>44</v>
      </c>
      <c r="Q31" s="365" t="s">
        <v>42</v>
      </c>
      <c r="R31" s="365" t="s">
        <v>42</v>
      </c>
      <c r="S31" s="365" t="s">
        <v>44</v>
      </c>
      <c r="T31" s="365" t="s">
        <v>44</v>
      </c>
      <c r="U31" s="365" t="s">
        <v>44</v>
      </c>
      <c r="V31" s="365" t="s">
        <v>41</v>
      </c>
      <c r="W31" s="365" t="s">
        <v>43</v>
      </c>
      <c r="X31" s="366" t="s">
        <v>42</v>
      </c>
      <c r="Y31" s="367" t="s">
        <v>44</v>
      </c>
      <c r="Z31" s="365" t="s">
        <v>43</v>
      </c>
      <c r="AA31" s="365" t="s">
        <v>42</v>
      </c>
      <c r="AB31" s="365" t="s">
        <v>43</v>
      </c>
      <c r="AC31" s="365" t="s">
        <v>41</v>
      </c>
      <c r="AD31" s="365" t="s">
        <v>41</v>
      </c>
      <c r="AE31" s="365" t="s">
        <v>42</v>
      </c>
      <c r="AF31" s="365" t="s">
        <v>44</v>
      </c>
      <c r="AG31" s="365" t="s">
        <v>43</v>
      </c>
      <c r="AH31" s="365" t="s">
        <v>44</v>
      </c>
      <c r="AI31" s="365" t="s">
        <v>41</v>
      </c>
      <c r="AJ31" s="365" t="s">
        <v>42</v>
      </c>
      <c r="AK31" s="365" t="s">
        <v>43</v>
      </c>
      <c r="AL31" s="365" t="s">
        <v>42</v>
      </c>
      <c r="AM31" s="365" t="s">
        <v>41</v>
      </c>
      <c r="AN31" s="365" t="s">
        <v>44</v>
      </c>
      <c r="AO31" s="365" t="s">
        <v>42</v>
      </c>
      <c r="AP31" s="365" t="s">
        <v>41</v>
      </c>
      <c r="AQ31" s="365" t="s">
        <v>43</v>
      </c>
      <c r="AR31" s="365" t="s">
        <v>41</v>
      </c>
      <c r="AS31" s="365" t="s">
        <v>41</v>
      </c>
      <c r="AT31" s="365" t="s">
        <v>42</v>
      </c>
      <c r="AU31" s="368"/>
      <c r="AV31" s="369" t="s">
        <v>44</v>
      </c>
      <c r="AW31" s="370">
        <v>3.0</v>
      </c>
      <c r="AX31" s="370">
        <v>3.0</v>
      </c>
      <c r="AY31" s="370">
        <v>3.0</v>
      </c>
      <c r="AZ31" s="370">
        <v>3.0</v>
      </c>
      <c r="BA31" s="371">
        <f t="shared" si="1"/>
        <v>75</v>
      </c>
      <c r="BB31" s="372" t="str">
        <f t="shared" si="2"/>
        <v>Adequado</v>
      </c>
      <c r="BC31" s="373"/>
      <c r="BD31" s="374">
        <f t="shared" si="3"/>
        <v>18</v>
      </c>
      <c r="BE31" s="374">
        <f t="shared" si="4"/>
        <v>405</v>
      </c>
      <c r="BF31" s="375" t="str">
        <f t="shared" si="5"/>
        <v>Avançado</v>
      </c>
      <c r="BG31" s="376">
        <f t="shared" si="6"/>
        <v>19</v>
      </c>
      <c r="BH31" s="374">
        <f t="shared" si="7"/>
        <v>431</v>
      </c>
      <c r="BI31" s="377" t="str">
        <f t="shared" si="8"/>
        <v>Avançado</v>
      </c>
      <c r="BJ31" s="25"/>
      <c r="BK31" s="25"/>
    </row>
    <row r="32" ht="15.75" customHeight="1">
      <c r="A32" s="82">
        <v>3.0</v>
      </c>
      <c r="B32" s="378" t="s">
        <v>256</v>
      </c>
      <c r="C32" s="363" t="s">
        <v>170</v>
      </c>
      <c r="D32" s="379" t="s">
        <v>41</v>
      </c>
      <c r="E32" s="365" t="s">
        <v>41</v>
      </c>
      <c r="F32" s="365" t="s">
        <v>41</v>
      </c>
      <c r="G32" s="365" t="s">
        <v>42</v>
      </c>
      <c r="H32" s="365" t="s">
        <v>42</v>
      </c>
      <c r="I32" s="365" t="s">
        <v>44</v>
      </c>
      <c r="J32" s="365" t="s">
        <v>42</v>
      </c>
      <c r="K32" s="365" t="s">
        <v>42</v>
      </c>
      <c r="L32" s="365" t="s">
        <v>44</v>
      </c>
      <c r="M32" s="365" t="s">
        <v>41</v>
      </c>
      <c r="N32" s="365" t="s">
        <v>41</v>
      </c>
      <c r="O32" s="365" t="s">
        <v>41</v>
      </c>
      <c r="P32" s="365" t="s">
        <v>44</v>
      </c>
      <c r="Q32" s="365" t="s">
        <v>42</v>
      </c>
      <c r="R32" s="365" t="s">
        <v>42</v>
      </c>
      <c r="S32" s="365" t="s">
        <v>44</v>
      </c>
      <c r="T32" s="365" t="s">
        <v>44</v>
      </c>
      <c r="U32" s="365" t="s">
        <v>44</v>
      </c>
      <c r="V32" s="365" t="s">
        <v>41</v>
      </c>
      <c r="W32" s="365" t="s">
        <v>43</v>
      </c>
      <c r="X32" s="366" t="s">
        <v>42</v>
      </c>
      <c r="Y32" s="367" t="s">
        <v>44</v>
      </c>
      <c r="Z32" s="365" t="s">
        <v>42</v>
      </c>
      <c r="AA32" s="365" t="s">
        <v>42</v>
      </c>
      <c r="AB32" s="365" t="s">
        <v>43</v>
      </c>
      <c r="AC32" s="365" t="s">
        <v>41</v>
      </c>
      <c r="AD32" s="365" t="s">
        <v>41</v>
      </c>
      <c r="AE32" s="365" t="s">
        <v>41</v>
      </c>
      <c r="AF32" s="365" t="s">
        <v>44</v>
      </c>
      <c r="AG32" s="365" t="s">
        <v>43</v>
      </c>
      <c r="AH32" s="365" t="s">
        <v>44</v>
      </c>
      <c r="AI32" s="365" t="s">
        <v>41</v>
      </c>
      <c r="AJ32" s="365" t="s">
        <v>42</v>
      </c>
      <c r="AK32" s="365" t="s">
        <v>43</v>
      </c>
      <c r="AL32" s="365" t="s">
        <v>42</v>
      </c>
      <c r="AM32" s="365" t="s">
        <v>41</v>
      </c>
      <c r="AN32" s="365" t="s">
        <v>44</v>
      </c>
      <c r="AO32" s="365" t="s">
        <v>42</v>
      </c>
      <c r="AP32" s="365" t="s">
        <v>41</v>
      </c>
      <c r="AQ32" s="365" t="s">
        <v>43</v>
      </c>
      <c r="AR32" s="365" t="s">
        <v>41</v>
      </c>
      <c r="AS32" s="365" t="s">
        <v>41</v>
      </c>
      <c r="AT32" s="365" t="s">
        <v>42</v>
      </c>
      <c r="AU32" s="368"/>
      <c r="AV32" s="369" t="s">
        <v>44</v>
      </c>
      <c r="AW32" s="370">
        <v>4.0</v>
      </c>
      <c r="AX32" s="370">
        <v>4.0</v>
      </c>
      <c r="AY32" s="370">
        <v>3.0</v>
      </c>
      <c r="AZ32" s="370">
        <v>3.0</v>
      </c>
      <c r="BA32" s="371">
        <f t="shared" si="1"/>
        <v>87.5</v>
      </c>
      <c r="BB32" s="372" t="str">
        <f t="shared" si="2"/>
        <v>Avançado</v>
      </c>
      <c r="BC32" s="373"/>
      <c r="BD32" s="374">
        <f t="shared" si="3"/>
        <v>18</v>
      </c>
      <c r="BE32" s="374">
        <f t="shared" si="4"/>
        <v>405</v>
      </c>
      <c r="BF32" s="375" t="str">
        <f t="shared" si="5"/>
        <v>Avançado</v>
      </c>
      <c r="BG32" s="376">
        <f t="shared" si="6"/>
        <v>17</v>
      </c>
      <c r="BH32" s="374">
        <f t="shared" si="7"/>
        <v>398</v>
      </c>
      <c r="BI32" s="377" t="str">
        <f t="shared" si="8"/>
        <v>Avançado</v>
      </c>
      <c r="BJ32" s="25"/>
      <c r="BK32" s="25"/>
    </row>
    <row r="33" ht="15.75" customHeight="1">
      <c r="A33" s="82">
        <v>4.0</v>
      </c>
      <c r="B33" s="378" t="s">
        <v>257</v>
      </c>
      <c r="C33" s="363" t="s">
        <v>170</v>
      </c>
      <c r="D33" s="379" t="s">
        <v>41</v>
      </c>
      <c r="E33" s="365" t="s">
        <v>41</v>
      </c>
      <c r="F33" s="365" t="s">
        <v>41</v>
      </c>
      <c r="G33" s="365" t="s">
        <v>42</v>
      </c>
      <c r="H33" s="365" t="s">
        <v>42</v>
      </c>
      <c r="I33" s="365" t="s">
        <v>44</v>
      </c>
      <c r="J33" s="365" t="s">
        <v>42</v>
      </c>
      <c r="K33" s="365" t="s">
        <v>42</v>
      </c>
      <c r="L33" s="365" t="s">
        <v>44</v>
      </c>
      <c r="M33" s="365" t="s">
        <v>41</v>
      </c>
      <c r="N33" s="365" t="s">
        <v>41</v>
      </c>
      <c r="O33" s="365" t="s">
        <v>41</v>
      </c>
      <c r="P33" s="365" t="s">
        <v>44</v>
      </c>
      <c r="Q33" s="365" t="s">
        <v>42</v>
      </c>
      <c r="R33" s="365" t="s">
        <v>44</v>
      </c>
      <c r="S33" s="365" t="s">
        <v>44</v>
      </c>
      <c r="T33" s="365" t="s">
        <v>44</v>
      </c>
      <c r="U33" s="365" t="s">
        <v>44</v>
      </c>
      <c r="V33" s="365" t="s">
        <v>42</v>
      </c>
      <c r="W33" s="365" t="s">
        <v>43</v>
      </c>
      <c r="X33" s="366" t="s">
        <v>42</v>
      </c>
      <c r="Y33" s="367" t="s">
        <v>173</v>
      </c>
      <c r="Z33" s="365" t="s">
        <v>173</v>
      </c>
      <c r="AA33" s="365" t="s">
        <v>173</v>
      </c>
      <c r="AB33" s="365" t="s">
        <v>173</v>
      </c>
      <c r="AC33" s="365" t="s">
        <v>173</v>
      </c>
      <c r="AD33" s="365" t="s">
        <v>173</v>
      </c>
      <c r="AE33" s="365" t="s">
        <v>173</v>
      </c>
      <c r="AF33" s="365" t="s">
        <v>173</v>
      </c>
      <c r="AG33" s="365" t="s">
        <v>173</v>
      </c>
      <c r="AH33" s="365" t="s">
        <v>173</v>
      </c>
      <c r="AI33" s="365" t="s">
        <v>173</v>
      </c>
      <c r="AJ33" s="365" t="s">
        <v>173</v>
      </c>
      <c r="AK33" s="365" t="s">
        <v>173</v>
      </c>
      <c r="AL33" s="365" t="s">
        <v>173</v>
      </c>
      <c r="AM33" s="365" t="s">
        <v>173</v>
      </c>
      <c r="AN33" s="365" t="s">
        <v>173</v>
      </c>
      <c r="AO33" s="365" t="s">
        <v>173</v>
      </c>
      <c r="AP33" s="365" t="s">
        <v>173</v>
      </c>
      <c r="AQ33" s="365" t="s">
        <v>173</v>
      </c>
      <c r="AR33" s="365" t="s">
        <v>173</v>
      </c>
      <c r="AS33" s="365" t="s">
        <v>173</v>
      </c>
      <c r="AT33" s="365" t="s">
        <v>173</v>
      </c>
      <c r="AU33" s="368"/>
      <c r="AV33" s="369" t="s">
        <v>44</v>
      </c>
      <c r="AW33" s="370">
        <v>3.0</v>
      </c>
      <c r="AX33" s="370">
        <v>2.0</v>
      </c>
      <c r="AY33" s="370">
        <v>2.0</v>
      </c>
      <c r="AZ33" s="370">
        <v>2.0</v>
      </c>
      <c r="BA33" s="371">
        <f t="shared" si="1"/>
        <v>56.25</v>
      </c>
      <c r="BB33" s="372" t="str">
        <f t="shared" si="2"/>
        <v>Adequado</v>
      </c>
      <c r="BC33" s="373"/>
      <c r="BD33" s="374">
        <f t="shared" si="3"/>
        <v>17</v>
      </c>
      <c r="BE33" s="374">
        <f t="shared" si="4"/>
        <v>405</v>
      </c>
      <c r="BF33" s="375" t="str">
        <f t="shared" si="5"/>
        <v>Avançado</v>
      </c>
      <c r="BG33" s="376">
        <f t="shared" si="6"/>
        <v>0</v>
      </c>
      <c r="BH33" s="374">
        <f t="shared" si="7"/>
        <v>0</v>
      </c>
      <c r="BI33" s="377" t="str">
        <f t="shared" si="8"/>
        <v>Abaixo do Básico</v>
      </c>
      <c r="BJ33" s="25"/>
      <c r="BK33" s="25"/>
    </row>
    <row r="34" ht="15.75" customHeight="1">
      <c r="A34" s="82">
        <v>5.0</v>
      </c>
      <c r="B34" s="378" t="s">
        <v>258</v>
      </c>
      <c r="C34" s="363" t="s">
        <v>170</v>
      </c>
      <c r="D34" s="379" t="s">
        <v>43</v>
      </c>
      <c r="E34" s="365" t="s">
        <v>42</v>
      </c>
      <c r="F34" s="365" t="s">
        <v>42</v>
      </c>
      <c r="G34" s="365" t="s">
        <v>44</v>
      </c>
      <c r="H34" s="365" t="s">
        <v>43</v>
      </c>
      <c r="I34" s="365" t="s">
        <v>43</v>
      </c>
      <c r="J34" s="365" t="s">
        <v>44</v>
      </c>
      <c r="K34" s="365" t="s">
        <v>42</v>
      </c>
      <c r="L34" s="365" t="s">
        <v>43</v>
      </c>
      <c r="M34" s="365" t="s">
        <v>44</v>
      </c>
      <c r="N34" s="365" t="s">
        <v>43</v>
      </c>
      <c r="O34" s="365" t="s">
        <v>43</v>
      </c>
      <c r="P34" s="365" t="s">
        <v>41</v>
      </c>
      <c r="Q34" s="365" t="s">
        <v>42</v>
      </c>
      <c r="R34" s="365" t="s">
        <v>41</v>
      </c>
      <c r="S34" s="365" t="s">
        <v>41</v>
      </c>
      <c r="T34" s="365" t="s">
        <v>42</v>
      </c>
      <c r="U34" s="365" t="s">
        <v>44</v>
      </c>
      <c r="V34" s="365" t="s">
        <v>43</v>
      </c>
      <c r="W34" s="365" t="s">
        <v>44</v>
      </c>
      <c r="X34" s="366" t="s">
        <v>43</v>
      </c>
      <c r="Y34" s="367" t="s">
        <v>44</v>
      </c>
      <c r="Z34" s="365" t="s">
        <v>43</v>
      </c>
      <c r="AA34" s="365" t="s">
        <v>42</v>
      </c>
      <c r="AB34" s="365" t="s">
        <v>43</v>
      </c>
      <c r="AC34" s="365" t="s">
        <v>41</v>
      </c>
      <c r="AD34" s="365" t="s">
        <v>41</v>
      </c>
      <c r="AE34" s="365" t="s">
        <v>42</v>
      </c>
      <c r="AF34" s="365" t="s">
        <v>44</v>
      </c>
      <c r="AG34" s="365" t="s">
        <v>43</v>
      </c>
      <c r="AH34" s="365" t="s">
        <v>44</v>
      </c>
      <c r="AI34" s="365" t="s">
        <v>41</v>
      </c>
      <c r="AJ34" s="365" t="s">
        <v>42</v>
      </c>
      <c r="AK34" s="365" t="s">
        <v>41</v>
      </c>
      <c r="AL34" s="365" t="s">
        <v>42</v>
      </c>
      <c r="AM34" s="365" t="s">
        <v>41</v>
      </c>
      <c r="AN34" s="365" t="s">
        <v>43</v>
      </c>
      <c r="AO34" s="365" t="s">
        <v>42</v>
      </c>
      <c r="AP34" s="365" t="s">
        <v>41</v>
      </c>
      <c r="AQ34" s="365" t="s">
        <v>43</v>
      </c>
      <c r="AR34" s="365" t="s">
        <v>44</v>
      </c>
      <c r="AS34" s="365" t="s">
        <v>42</v>
      </c>
      <c r="AT34" s="365" t="s">
        <v>42</v>
      </c>
      <c r="AU34" s="368"/>
      <c r="AV34" s="369" t="s">
        <v>44</v>
      </c>
      <c r="AW34" s="370">
        <v>4.0</v>
      </c>
      <c r="AX34" s="370">
        <v>3.0</v>
      </c>
      <c r="AY34" s="370">
        <v>2.0</v>
      </c>
      <c r="AZ34" s="370">
        <v>2.0</v>
      </c>
      <c r="BA34" s="371">
        <f t="shared" si="1"/>
        <v>68.75</v>
      </c>
      <c r="BB34" s="372" t="str">
        <f t="shared" si="2"/>
        <v>Adequado</v>
      </c>
      <c r="BC34" s="373"/>
      <c r="BD34" s="374">
        <f t="shared" si="3"/>
        <v>4</v>
      </c>
      <c r="BE34" s="374">
        <f t="shared" si="4"/>
        <v>72</v>
      </c>
      <c r="BF34" s="375" t="str">
        <f t="shared" si="5"/>
        <v>Abaixo do Básico</v>
      </c>
      <c r="BG34" s="376">
        <f t="shared" si="6"/>
        <v>15</v>
      </c>
      <c r="BH34" s="374">
        <f t="shared" si="7"/>
        <v>331</v>
      </c>
      <c r="BI34" s="377" t="str">
        <f t="shared" si="8"/>
        <v>Adequado</v>
      </c>
      <c r="BJ34" s="25"/>
      <c r="BK34" s="25"/>
    </row>
    <row r="35" ht="15.75" customHeight="1">
      <c r="A35" s="82">
        <v>6.0</v>
      </c>
      <c r="B35" s="378" t="s">
        <v>259</v>
      </c>
      <c r="C35" s="363" t="s">
        <v>170</v>
      </c>
      <c r="D35" s="379" t="s">
        <v>41</v>
      </c>
      <c r="E35" s="365" t="s">
        <v>41</v>
      </c>
      <c r="F35" s="365" t="s">
        <v>41</v>
      </c>
      <c r="G35" s="365" t="s">
        <v>42</v>
      </c>
      <c r="H35" s="365" t="s">
        <v>42</v>
      </c>
      <c r="I35" s="365" t="s">
        <v>44</v>
      </c>
      <c r="J35" s="365" t="s">
        <v>42</v>
      </c>
      <c r="K35" s="365" t="s">
        <v>42</v>
      </c>
      <c r="L35" s="365" t="s">
        <v>44</v>
      </c>
      <c r="M35" s="365" t="s">
        <v>41</v>
      </c>
      <c r="N35" s="365" t="s">
        <v>41</v>
      </c>
      <c r="O35" s="365" t="s">
        <v>41</v>
      </c>
      <c r="P35" s="365" t="s">
        <v>42</v>
      </c>
      <c r="Q35" s="365" t="s">
        <v>42</v>
      </c>
      <c r="R35" s="365" t="s">
        <v>42</v>
      </c>
      <c r="S35" s="365" t="s">
        <v>44</v>
      </c>
      <c r="T35" s="365" t="s">
        <v>44</v>
      </c>
      <c r="U35" s="365" t="s">
        <v>42</v>
      </c>
      <c r="V35" s="365" t="s">
        <v>41</v>
      </c>
      <c r="W35" s="365" t="s">
        <v>42</v>
      </c>
      <c r="X35" s="366" t="s">
        <v>42</v>
      </c>
      <c r="Y35" s="367" t="s">
        <v>44</v>
      </c>
      <c r="Z35" s="365" t="s">
        <v>43</v>
      </c>
      <c r="AA35" s="365" t="s">
        <v>42</v>
      </c>
      <c r="AB35" s="365" t="s">
        <v>43</v>
      </c>
      <c r="AC35" s="365" t="s">
        <v>41</v>
      </c>
      <c r="AD35" s="365" t="s">
        <v>41</v>
      </c>
      <c r="AE35" s="365" t="s">
        <v>42</v>
      </c>
      <c r="AF35" s="365" t="s">
        <v>44</v>
      </c>
      <c r="AG35" s="365" t="s">
        <v>43</v>
      </c>
      <c r="AH35" s="365" t="s">
        <v>44</v>
      </c>
      <c r="AI35" s="365" t="s">
        <v>41</v>
      </c>
      <c r="AJ35" s="365" t="s">
        <v>42</v>
      </c>
      <c r="AK35" s="365" t="s">
        <v>43</v>
      </c>
      <c r="AL35" s="365" t="s">
        <v>42</v>
      </c>
      <c r="AM35" s="365" t="s">
        <v>41</v>
      </c>
      <c r="AN35" s="365" t="s">
        <v>43</v>
      </c>
      <c r="AO35" s="365" t="s">
        <v>42</v>
      </c>
      <c r="AP35" s="365" t="s">
        <v>41</v>
      </c>
      <c r="AQ35" s="365" t="s">
        <v>43</v>
      </c>
      <c r="AR35" s="365" t="s">
        <v>41</v>
      </c>
      <c r="AS35" s="365" t="s">
        <v>41</v>
      </c>
      <c r="AT35" s="365" t="s">
        <v>42</v>
      </c>
      <c r="AU35" s="368"/>
      <c r="AV35" s="369" t="s">
        <v>42</v>
      </c>
      <c r="AW35" s="370" t="s">
        <v>173</v>
      </c>
      <c r="AX35" s="370" t="s">
        <v>173</v>
      </c>
      <c r="AY35" s="370" t="s">
        <v>173</v>
      </c>
      <c r="AZ35" s="370" t="s">
        <v>173</v>
      </c>
      <c r="BA35" s="371">
        <f t="shared" si="1"/>
        <v>0</v>
      </c>
      <c r="BB35" s="372" t="str">
        <f t="shared" si="2"/>
        <v>Abaixo do Básico</v>
      </c>
      <c r="BC35" s="373"/>
      <c r="BD35" s="374">
        <f t="shared" si="3"/>
        <v>15</v>
      </c>
      <c r="BE35" s="374">
        <f t="shared" si="4"/>
        <v>324</v>
      </c>
      <c r="BF35" s="375" t="str">
        <f t="shared" si="5"/>
        <v>Adequado</v>
      </c>
      <c r="BG35" s="376">
        <f t="shared" si="6"/>
        <v>18</v>
      </c>
      <c r="BH35" s="374">
        <f t="shared" si="7"/>
        <v>406</v>
      </c>
      <c r="BI35" s="377" t="str">
        <f t="shared" si="8"/>
        <v>Avançado</v>
      </c>
      <c r="BJ35" s="25"/>
      <c r="BK35" s="25"/>
    </row>
    <row r="36" ht="15.75" customHeight="1">
      <c r="A36" s="82">
        <v>7.0</v>
      </c>
      <c r="B36" s="378" t="s">
        <v>260</v>
      </c>
      <c r="C36" s="363" t="s">
        <v>170</v>
      </c>
      <c r="D36" s="379" t="s">
        <v>41</v>
      </c>
      <c r="E36" s="365" t="s">
        <v>41</v>
      </c>
      <c r="F36" s="365" t="s">
        <v>41</v>
      </c>
      <c r="G36" s="365" t="s">
        <v>42</v>
      </c>
      <c r="H36" s="365" t="s">
        <v>42</v>
      </c>
      <c r="I36" s="365" t="s">
        <v>44</v>
      </c>
      <c r="J36" s="365" t="s">
        <v>42</v>
      </c>
      <c r="K36" s="365" t="s">
        <v>42</v>
      </c>
      <c r="L36" s="365" t="s">
        <v>44</v>
      </c>
      <c r="M36" s="365" t="s">
        <v>41</v>
      </c>
      <c r="N36" s="365" t="s">
        <v>41</v>
      </c>
      <c r="O36" s="365" t="s">
        <v>41</v>
      </c>
      <c r="P36" s="365" t="s">
        <v>44</v>
      </c>
      <c r="Q36" s="365" t="s">
        <v>44</v>
      </c>
      <c r="R36" s="365" t="s">
        <v>42</v>
      </c>
      <c r="S36" s="365" t="s">
        <v>44</v>
      </c>
      <c r="T36" s="365" t="s">
        <v>44</v>
      </c>
      <c r="U36" s="365" t="s">
        <v>44</v>
      </c>
      <c r="V36" s="365" t="s">
        <v>41</v>
      </c>
      <c r="W36" s="365" t="s">
        <v>43</v>
      </c>
      <c r="X36" s="366" t="s">
        <v>42</v>
      </c>
      <c r="Y36" s="367" t="s">
        <v>44</v>
      </c>
      <c r="Z36" s="365" t="s">
        <v>43</v>
      </c>
      <c r="AA36" s="365" t="s">
        <v>42</v>
      </c>
      <c r="AB36" s="365" t="s">
        <v>43</v>
      </c>
      <c r="AC36" s="365" t="s">
        <v>41</v>
      </c>
      <c r="AD36" s="365" t="s">
        <v>41</v>
      </c>
      <c r="AE36" s="365" t="s">
        <v>42</v>
      </c>
      <c r="AF36" s="365" t="s">
        <v>44</v>
      </c>
      <c r="AG36" s="365" t="s">
        <v>43</v>
      </c>
      <c r="AH36" s="365" t="s">
        <v>44</v>
      </c>
      <c r="AI36" s="365" t="s">
        <v>42</v>
      </c>
      <c r="AJ36" s="365" t="s">
        <v>42</v>
      </c>
      <c r="AK36" s="365" t="s">
        <v>41</v>
      </c>
      <c r="AL36" s="365" t="s">
        <v>42</v>
      </c>
      <c r="AM36" s="365" t="s">
        <v>41</v>
      </c>
      <c r="AN36" s="365" t="s">
        <v>43</v>
      </c>
      <c r="AO36" s="365" t="s">
        <v>42</v>
      </c>
      <c r="AP36" s="365" t="s">
        <v>41</v>
      </c>
      <c r="AQ36" s="365" t="s">
        <v>43</v>
      </c>
      <c r="AR36" s="365" t="s">
        <v>43</v>
      </c>
      <c r="AS36" s="365" t="s">
        <v>42</v>
      </c>
      <c r="AT36" s="365" t="s">
        <v>42</v>
      </c>
      <c r="AU36" s="368"/>
      <c r="AV36" s="369" t="s">
        <v>44</v>
      </c>
      <c r="AW36" s="370">
        <v>2.0</v>
      </c>
      <c r="AX36" s="370">
        <v>2.0</v>
      </c>
      <c r="AY36" s="370">
        <v>2.0</v>
      </c>
      <c r="AZ36" s="370">
        <v>2.0</v>
      </c>
      <c r="BA36" s="371">
        <f t="shared" si="1"/>
        <v>50</v>
      </c>
      <c r="BB36" s="372" t="str">
        <f t="shared" si="2"/>
        <v>Básico</v>
      </c>
      <c r="BC36" s="373"/>
      <c r="BD36" s="374">
        <f t="shared" si="3"/>
        <v>17</v>
      </c>
      <c r="BE36" s="374">
        <f t="shared" si="4"/>
        <v>396</v>
      </c>
      <c r="BF36" s="375" t="str">
        <f t="shared" si="5"/>
        <v>Avançado</v>
      </c>
      <c r="BG36" s="376">
        <f t="shared" si="6"/>
        <v>14</v>
      </c>
      <c r="BH36" s="374">
        <f t="shared" si="7"/>
        <v>306</v>
      </c>
      <c r="BI36" s="377" t="str">
        <f t="shared" si="8"/>
        <v>Adequado</v>
      </c>
      <c r="BJ36" s="25"/>
      <c r="BK36" s="25"/>
    </row>
    <row r="37" ht="15.75" customHeight="1">
      <c r="A37" s="82">
        <v>8.0</v>
      </c>
      <c r="B37" s="378" t="s">
        <v>261</v>
      </c>
      <c r="C37" s="363" t="s">
        <v>170</v>
      </c>
      <c r="D37" s="379" t="s">
        <v>42</v>
      </c>
      <c r="E37" s="365" t="s">
        <v>43</v>
      </c>
      <c r="F37" s="365" t="s">
        <v>41</v>
      </c>
      <c r="G37" s="365" t="s">
        <v>42</v>
      </c>
      <c r="H37" s="365" t="s">
        <v>42</v>
      </c>
      <c r="I37" s="365" t="s">
        <v>42</v>
      </c>
      <c r="J37" s="365" t="s">
        <v>42</v>
      </c>
      <c r="K37" s="365" t="s">
        <v>41</v>
      </c>
      <c r="L37" s="365" t="s">
        <v>44</v>
      </c>
      <c r="M37" s="365" t="s">
        <v>41</v>
      </c>
      <c r="N37" s="365" t="s">
        <v>41</v>
      </c>
      <c r="O37" s="365" t="s">
        <v>41</v>
      </c>
      <c r="P37" s="365" t="s">
        <v>44</v>
      </c>
      <c r="Q37" s="365" t="s">
        <v>42</v>
      </c>
      <c r="R37" s="365" t="s">
        <v>44</v>
      </c>
      <c r="S37" s="365" t="s">
        <v>44</v>
      </c>
      <c r="T37" s="365" t="s">
        <v>43</v>
      </c>
      <c r="U37" s="365" t="s">
        <v>44</v>
      </c>
      <c r="V37" s="365" t="s">
        <v>41</v>
      </c>
      <c r="W37" s="365" t="s">
        <v>43</v>
      </c>
      <c r="X37" s="366" t="s">
        <v>42</v>
      </c>
      <c r="Y37" s="367" t="s">
        <v>42</v>
      </c>
      <c r="Z37" s="365" t="s">
        <v>43</v>
      </c>
      <c r="AA37" s="365" t="s">
        <v>42</v>
      </c>
      <c r="AB37" s="365" t="s">
        <v>42</v>
      </c>
      <c r="AC37" s="365" t="s">
        <v>44</v>
      </c>
      <c r="AD37" s="365" t="s">
        <v>43</v>
      </c>
      <c r="AE37" s="365" t="s">
        <v>41</v>
      </c>
      <c r="AF37" s="365" t="s">
        <v>43</v>
      </c>
      <c r="AG37" s="365" t="s">
        <v>41</v>
      </c>
      <c r="AH37" s="365" t="s">
        <v>43</v>
      </c>
      <c r="AI37" s="365" t="s">
        <v>44</v>
      </c>
      <c r="AJ37" s="365" t="s">
        <v>42</v>
      </c>
      <c r="AK37" s="365" t="s">
        <v>42</v>
      </c>
      <c r="AL37" s="365" t="s">
        <v>42</v>
      </c>
      <c r="AM37" s="365" t="s">
        <v>44</v>
      </c>
      <c r="AN37" s="365" t="s">
        <v>41</v>
      </c>
      <c r="AO37" s="365" t="s">
        <v>44</v>
      </c>
      <c r="AP37" s="365" t="s">
        <v>43</v>
      </c>
      <c r="AQ37" s="365" t="s">
        <v>44</v>
      </c>
      <c r="AR37" s="365" t="s">
        <v>42</v>
      </c>
      <c r="AS37" s="365" t="s">
        <v>42</v>
      </c>
      <c r="AT37" s="365" t="s">
        <v>44</v>
      </c>
      <c r="AU37" s="380"/>
      <c r="AV37" s="369" t="s">
        <v>44</v>
      </c>
      <c r="AW37" s="370">
        <v>3.0</v>
      </c>
      <c r="AX37" s="370">
        <v>2.0</v>
      </c>
      <c r="AY37" s="370">
        <v>2.0</v>
      </c>
      <c r="AZ37" s="370">
        <v>2.0</v>
      </c>
      <c r="BA37" s="371">
        <f t="shared" si="1"/>
        <v>56.25</v>
      </c>
      <c r="BB37" s="372" t="str">
        <f t="shared" si="2"/>
        <v>Adequado</v>
      </c>
      <c r="BC37" s="373"/>
      <c r="BD37" s="374">
        <f t="shared" si="3"/>
        <v>14</v>
      </c>
      <c r="BE37" s="374">
        <f t="shared" si="4"/>
        <v>324</v>
      </c>
      <c r="BF37" s="375" t="str">
        <f t="shared" si="5"/>
        <v>Adequado</v>
      </c>
      <c r="BG37" s="376">
        <f t="shared" si="6"/>
        <v>5</v>
      </c>
      <c r="BH37" s="374">
        <f t="shared" si="7"/>
        <v>125</v>
      </c>
      <c r="BI37" s="377" t="str">
        <f t="shared" si="8"/>
        <v>Abaixo do Básico</v>
      </c>
      <c r="BJ37" s="25"/>
      <c r="BK37" s="25"/>
    </row>
    <row r="38" ht="15.75" customHeight="1">
      <c r="A38" s="82">
        <v>9.0</v>
      </c>
      <c r="B38" s="378" t="s">
        <v>262</v>
      </c>
      <c r="C38" s="363" t="s">
        <v>170</v>
      </c>
      <c r="D38" s="379" t="s">
        <v>41</v>
      </c>
      <c r="E38" s="365" t="s">
        <v>41</v>
      </c>
      <c r="F38" s="365" t="s">
        <v>41</v>
      </c>
      <c r="G38" s="365" t="s">
        <v>42</v>
      </c>
      <c r="H38" s="365" t="s">
        <v>42</v>
      </c>
      <c r="I38" s="365" t="s">
        <v>44</v>
      </c>
      <c r="J38" s="365" t="s">
        <v>42</v>
      </c>
      <c r="K38" s="365" t="s">
        <v>42</v>
      </c>
      <c r="L38" s="365" t="s">
        <v>42</v>
      </c>
      <c r="M38" s="365" t="s">
        <v>41</v>
      </c>
      <c r="N38" s="365" t="s">
        <v>41</v>
      </c>
      <c r="O38" s="365" t="s">
        <v>41</v>
      </c>
      <c r="P38" s="365" t="s">
        <v>44</v>
      </c>
      <c r="Q38" s="365" t="s">
        <v>42</v>
      </c>
      <c r="R38" s="365" t="s">
        <v>42</v>
      </c>
      <c r="S38" s="365" t="s">
        <v>42</v>
      </c>
      <c r="T38" s="365" t="s">
        <v>43</v>
      </c>
      <c r="U38" s="365" t="s">
        <v>41</v>
      </c>
      <c r="V38" s="365" t="s">
        <v>41</v>
      </c>
      <c r="W38" s="365" t="s">
        <v>43</v>
      </c>
      <c r="X38" s="366" t="s">
        <v>42</v>
      </c>
      <c r="Y38" s="367" t="s">
        <v>44</v>
      </c>
      <c r="Z38" s="365" t="s">
        <v>43</v>
      </c>
      <c r="AA38" s="365" t="s">
        <v>42</v>
      </c>
      <c r="AB38" s="365" t="s">
        <v>43</v>
      </c>
      <c r="AC38" s="365" t="s">
        <v>41</v>
      </c>
      <c r="AD38" s="365" t="s">
        <v>41</v>
      </c>
      <c r="AE38" s="365" t="s">
        <v>42</v>
      </c>
      <c r="AF38" s="365" t="s">
        <v>44</v>
      </c>
      <c r="AG38" s="365" t="s">
        <v>43</v>
      </c>
      <c r="AH38" s="365" t="s">
        <v>42</v>
      </c>
      <c r="AI38" s="365" t="s">
        <v>41</v>
      </c>
      <c r="AJ38" s="365" t="s">
        <v>42</v>
      </c>
      <c r="AK38" s="365" t="s">
        <v>42</v>
      </c>
      <c r="AL38" s="365" t="s">
        <v>41</v>
      </c>
      <c r="AM38" s="365" t="s">
        <v>41</v>
      </c>
      <c r="AN38" s="365" t="s">
        <v>42</v>
      </c>
      <c r="AO38" s="365" t="s">
        <v>42</v>
      </c>
      <c r="AP38" s="365" t="s">
        <v>41</v>
      </c>
      <c r="AQ38" s="365" t="s">
        <v>44</v>
      </c>
      <c r="AR38" s="365" t="s">
        <v>42</v>
      </c>
      <c r="AS38" s="365" t="s">
        <v>41</v>
      </c>
      <c r="AT38" s="365" t="s">
        <v>44</v>
      </c>
      <c r="AU38" s="368"/>
      <c r="AV38" s="369" t="s">
        <v>44</v>
      </c>
      <c r="AW38" s="370">
        <v>2.0</v>
      </c>
      <c r="AX38" s="370">
        <v>2.0</v>
      </c>
      <c r="AY38" s="370">
        <v>2.0</v>
      </c>
      <c r="AZ38" s="370">
        <v>2.0</v>
      </c>
      <c r="BA38" s="371">
        <f t="shared" si="1"/>
        <v>50</v>
      </c>
      <c r="BB38" s="372" t="str">
        <f t="shared" si="2"/>
        <v>Básico</v>
      </c>
      <c r="BC38" s="373"/>
      <c r="BD38" s="374">
        <f t="shared" si="3"/>
        <v>14</v>
      </c>
      <c r="BE38" s="374">
        <f t="shared" si="4"/>
        <v>288</v>
      </c>
      <c r="BF38" s="375" t="str">
        <f t="shared" si="5"/>
        <v>Adequado</v>
      </c>
      <c r="BG38" s="376">
        <f t="shared" si="6"/>
        <v>14</v>
      </c>
      <c r="BH38" s="374">
        <f t="shared" si="7"/>
        <v>315</v>
      </c>
      <c r="BI38" s="377" t="str">
        <f t="shared" si="8"/>
        <v>Adequado</v>
      </c>
      <c r="BJ38" s="25"/>
      <c r="BK38" s="25"/>
    </row>
    <row r="39" ht="15.75" customHeight="1">
      <c r="A39" s="82">
        <v>10.0</v>
      </c>
      <c r="B39" s="378" t="s">
        <v>263</v>
      </c>
      <c r="C39" s="363" t="s">
        <v>170</v>
      </c>
      <c r="D39" s="379" t="s">
        <v>41</v>
      </c>
      <c r="E39" s="365" t="s">
        <v>41</v>
      </c>
      <c r="F39" s="365" t="s">
        <v>41</v>
      </c>
      <c r="G39" s="365" t="s">
        <v>42</v>
      </c>
      <c r="H39" s="365" t="s">
        <v>42</v>
      </c>
      <c r="I39" s="365" t="s">
        <v>44</v>
      </c>
      <c r="J39" s="365" t="s">
        <v>42</v>
      </c>
      <c r="K39" s="365" t="s">
        <v>42</v>
      </c>
      <c r="L39" s="365" t="s">
        <v>44</v>
      </c>
      <c r="M39" s="365" t="s">
        <v>41</v>
      </c>
      <c r="N39" s="365" t="s">
        <v>41</v>
      </c>
      <c r="O39" s="365" t="s">
        <v>41</v>
      </c>
      <c r="P39" s="365" t="s">
        <v>44</v>
      </c>
      <c r="Q39" s="365" t="s">
        <v>42</v>
      </c>
      <c r="R39" s="365" t="s">
        <v>44</v>
      </c>
      <c r="S39" s="365" t="s">
        <v>44</v>
      </c>
      <c r="T39" s="365" t="s">
        <v>44</v>
      </c>
      <c r="U39" s="365" t="s">
        <v>44</v>
      </c>
      <c r="V39" s="365" t="s">
        <v>41</v>
      </c>
      <c r="W39" s="365" t="s">
        <v>43</v>
      </c>
      <c r="X39" s="366" t="s">
        <v>42</v>
      </c>
      <c r="Y39" s="367" t="s">
        <v>44</v>
      </c>
      <c r="Z39" s="365" t="s">
        <v>43</v>
      </c>
      <c r="AA39" s="365" t="s">
        <v>42</v>
      </c>
      <c r="AB39" s="365" t="s">
        <v>43</v>
      </c>
      <c r="AC39" s="365" t="s">
        <v>41</v>
      </c>
      <c r="AD39" s="365" t="s">
        <v>41</v>
      </c>
      <c r="AE39" s="365" t="s">
        <v>42</v>
      </c>
      <c r="AF39" s="365" t="s">
        <v>44</v>
      </c>
      <c r="AG39" s="365" t="s">
        <v>43</v>
      </c>
      <c r="AH39" s="365" t="s">
        <v>44</v>
      </c>
      <c r="AI39" s="365" t="s">
        <v>41</v>
      </c>
      <c r="AJ39" s="365" t="s">
        <v>42</v>
      </c>
      <c r="AK39" s="365" t="s">
        <v>43</v>
      </c>
      <c r="AL39" s="365" t="s">
        <v>42</v>
      </c>
      <c r="AM39" s="365" t="s">
        <v>41</v>
      </c>
      <c r="AN39" s="365" t="s">
        <v>44</v>
      </c>
      <c r="AO39" s="365" t="s">
        <v>42</v>
      </c>
      <c r="AP39" s="365" t="s">
        <v>43</v>
      </c>
      <c r="AQ39" s="365" t="s">
        <v>43</v>
      </c>
      <c r="AR39" s="365" t="s">
        <v>41</v>
      </c>
      <c r="AS39" s="365" t="s">
        <v>41</v>
      </c>
      <c r="AT39" s="365" t="s">
        <v>42</v>
      </c>
      <c r="AU39" s="368"/>
      <c r="AV39" s="369" t="s">
        <v>44</v>
      </c>
      <c r="AW39" s="370">
        <v>4.0</v>
      </c>
      <c r="AX39" s="370">
        <v>4.0</v>
      </c>
      <c r="AY39" s="370">
        <v>3.0</v>
      </c>
      <c r="AZ39" s="370">
        <v>3.0</v>
      </c>
      <c r="BA39" s="371">
        <f t="shared" si="1"/>
        <v>87.5</v>
      </c>
      <c r="BB39" s="372" t="str">
        <f t="shared" si="2"/>
        <v>Avançado</v>
      </c>
      <c r="BC39" s="373"/>
      <c r="BD39" s="374">
        <f t="shared" si="3"/>
        <v>18</v>
      </c>
      <c r="BE39" s="374">
        <f t="shared" si="4"/>
        <v>405</v>
      </c>
      <c r="BF39" s="375" t="str">
        <f t="shared" si="5"/>
        <v>Avançado</v>
      </c>
      <c r="BG39" s="376">
        <f t="shared" si="6"/>
        <v>20</v>
      </c>
      <c r="BH39" s="374">
        <f t="shared" si="7"/>
        <v>456</v>
      </c>
      <c r="BI39" s="377" t="str">
        <f t="shared" si="8"/>
        <v>Avançado</v>
      </c>
      <c r="BJ39" s="25"/>
      <c r="BK39" s="25"/>
    </row>
    <row r="40" ht="15.75" customHeight="1">
      <c r="A40" s="82">
        <v>11.0</v>
      </c>
      <c r="B40" s="378" t="s">
        <v>264</v>
      </c>
      <c r="C40" s="363" t="s">
        <v>170</v>
      </c>
      <c r="D40" s="379" t="s">
        <v>41</v>
      </c>
      <c r="E40" s="365" t="s">
        <v>41</v>
      </c>
      <c r="F40" s="365" t="s">
        <v>41</v>
      </c>
      <c r="G40" s="365" t="s">
        <v>42</v>
      </c>
      <c r="H40" s="365" t="s">
        <v>42</v>
      </c>
      <c r="I40" s="365" t="s">
        <v>44</v>
      </c>
      <c r="J40" s="365" t="s">
        <v>42</v>
      </c>
      <c r="K40" s="365" t="s">
        <v>43</v>
      </c>
      <c r="L40" s="365" t="s">
        <v>44</v>
      </c>
      <c r="M40" s="365" t="s">
        <v>43</v>
      </c>
      <c r="N40" s="365" t="s">
        <v>41</v>
      </c>
      <c r="O40" s="365" t="s">
        <v>41</v>
      </c>
      <c r="P40" s="365" t="s">
        <v>41</v>
      </c>
      <c r="Q40" s="365" t="s">
        <v>42</v>
      </c>
      <c r="R40" s="365" t="s">
        <v>42</v>
      </c>
      <c r="S40" s="365" t="s">
        <v>44</v>
      </c>
      <c r="T40" s="365" t="s">
        <v>41</v>
      </c>
      <c r="U40" s="365" t="s">
        <v>44</v>
      </c>
      <c r="V40" s="365" t="s">
        <v>41</v>
      </c>
      <c r="W40" s="365" t="s">
        <v>42</v>
      </c>
      <c r="X40" s="366" t="s">
        <v>43</v>
      </c>
      <c r="Y40" s="367" t="s">
        <v>44</v>
      </c>
      <c r="Z40" s="365" t="s">
        <v>43</v>
      </c>
      <c r="AA40" s="365" t="s">
        <v>42</v>
      </c>
      <c r="AB40" s="365" t="s">
        <v>43</v>
      </c>
      <c r="AC40" s="365" t="s">
        <v>41</v>
      </c>
      <c r="AD40" s="365" t="s">
        <v>41</v>
      </c>
      <c r="AE40" s="365" t="s">
        <v>42</v>
      </c>
      <c r="AF40" s="365" t="s">
        <v>44</v>
      </c>
      <c r="AG40" s="365" t="s">
        <v>43</v>
      </c>
      <c r="AH40" s="365" t="s">
        <v>44</v>
      </c>
      <c r="AI40" s="365" t="s">
        <v>41</v>
      </c>
      <c r="AJ40" s="365" t="s">
        <v>42</v>
      </c>
      <c r="AK40" s="365" t="s">
        <v>43</v>
      </c>
      <c r="AL40" s="365" t="s">
        <v>42</v>
      </c>
      <c r="AM40" s="365" t="s">
        <v>41</v>
      </c>
      <c r="AN40" s="365" t="s">
        <v>43</v>
      </c>
      <c r="AO40" s="365" t="s">
        <v>42</v>
      </c>
      <c r="AP40" s="365" t="s">
        <v>41</v>
      </c>
      <c r="AQ40" s="365" t="s">
        <v>43</v>
      </c>
      <c r="AR40" s="365" t="s">
        <v>41</v>
      </c>
      <c r="AS40" s="365" t="s">
        <v>41</v>
      </c>
      <c r="AT40" s="365" t="s">
        <v>42</v>
      </c>
      <c r="AU40" s="368"/>
      <c r="AV40" s="369" t="s">
        <v>44</v>
      </c>
      <c r="AW40" s="370">
        <v>3.0</v>
      </c>
      <c r="AX40" s="370">
        <v>2.0</v>
      </c>
      <c r="AY40" s="370">
        <v>2.0</v>
      </c>
      <c r="AZ40" s="370">
        <v>2.0</v>
      </c>
      <c r="BA40" s="371">
        <f t="shared" si="1"/>
        <v>56.25</v>
      </c>
      <c r="BB40" s="372" t="str">
        <f t="shared" si="2"/>
        <v>Adequado</v>
      </c>
      <c r="BC40" s="373"/>
      <c r="BD40" s="374">
        <f t="shared" si="3"/>
        <v>13</v>
      </c>
      <c r="BE40" s="374">
        <f t="shared" si="4"/>
        <v>279</v>
      </c>
      <c r="BF40" s="375" t="str">
        <f t="shared" si="5"/>
        <v>Adequado</v>
      </c>
      <c r="BG40" s="376">
        <f t="shared" si="6"/>
        <v>18</v>
      </c>
      <c r="BH40" s="374">
        <f t="shared" si="7"/>
        <v>406</v>
      </c>
      <c r="BI40" s="377" t="str">
        <f t="shared" si="8"/>
        <v>Avançado</v>
      </c>
      <c r="BJ40" s="25"/>
      <c r="BK40" s="25"/>
    </row>
    <row r="41" ht="15.75" customHeight="1">
      <c r="A41" s="82">
        <v>12.0</v>
      </c>
      <c r="B41" s="378" t="s">
        <v>265</v>
      </c>
      <c r="C41" s="363" t="s">
        <v>170</v>
      </c>
      <c r="D41" s="379" t="s">
        <v>43</v>
      </c>
      <c r="E41" s="365" t="s">
        <v>43</v>
      </c>
      <c r="F41" s="365" t="s">
        <v>44</v>
      </c>
      <c r="G41" s="365" t="s">
        <v>41</v>
      </c>
      <c r="H41" s="365" t="s">
        <v>42</v>
      </c>
      <c r="I41" s="365" t="s">
        <v>44</v>
      </c>
      <c r="J41" s="365" t="s">
        <v>41</v>
      </c>
      <c r="K41" s="365" t="s">
        <v>42</v>
      </c>
      <c r="L41" s="365" t="s">
        <v>44</v>
      </c>
      <c r="M41" s="365" t="s">
        <v>41</v>
      </c>
      <c r="N41" s="365" t="s">
        <v>42</v>
      </c>
      <c r="O41" s="365" t="s">
        <v>44</v>
      </c>
      <c r="P41" s="365" t="s">
        <v>44</v>
      </c>
      <c r="Q41" s="365" t="s">
        <v>42</v>
      </c>
      <c r="R41" s="365" t="s">
        <v>41</v>
      </c>
      <c r="S41" s="365" t="s">
        <v>44</v>
      </c>
      <c r="T41" s="365" t="s">
        <v>42</v>
      </c>
      <c r="U41" s="365" t="s">
        <v>43</v>
      </c>
      <c r="V41" s="365" t="s">
        <v>42</v>
      </c>
      <c r="W41" s="365" t="s">
        <v>42</v>
      </c>
      <c r="X41" s="366" t="s">
        <v>44</v>
      </c>
      <c r="Y41" s="367" t="s">
        <v>44</v>
      </c>
      <c r="Z41" s="365" t="s">
        <v>43</v>
      </c>
      <c r="AA41" s="365" t="s">
        <v>42</v>
      </c>
      <c r="AB41" s="365" t="s">
        <v>43</v>
      </c>
      <c r="AC41" s="365" t="s">
        <v>41</v>
      </c>
      <c r="AD41" s="365" t="s">
        <v>41</v>
      </c>
      <c r="AE41" s="365" t="s">
        <v>42</v>
      </c>
      <c r="AF41" s="365" t="s">
        <v>44</v>
      </c>
      <c r="AG41" s="365" t="s">
        <v>43</v>
      </c>
      <c r="AH41" s="365" t="s">
        <v>44</v>
      </c>
      <c r="AI41" s="365" t="s">
        <v>41</v>
      </c>
      <c r="AJ41" s="365" t="s">
        <v>42</v>
      </c>
      <c r="AK41" s="365" t="s">
        <v>42</v>
      </c>
      <c r="AL41" s="365" t="s">
        <v>42</v>
      </c>
      <c r="AM41" s="365" t="s">
        <v>41</v>
      </c>
      <c r="AN41" s="365" t="s">
        <v>44</v>
      </c>
      <c r="AO41" s="365" t="s">
        <v>42</v>
      </c>
      <c r="AP41" s="365" t="s">
        <v>41</v>
      </c>
      <c r="AQ41" s="365" t="s">
        <v>43</v>
      </c>
      <c r="AR41" s="365" t="s">
        <v>41</v>
      </c>
      <c r="AS41" s="365" t="s">
        <v>42</v>
      </c>
      <c r="AT41" s="365" t="s">
        <v>42</v>
      </c>
      <c r="AU41" s="368"/>
      <c r="AV41" s="369" t="s">
        <v>44</v>
      </c>
      <c r="AW41" s="370">
        <v>4.0</v>
      </c>
      <c r="AX41" s="370">
        <v>3.0</v>
      </c>
      <c r="AY41" s="370">
        <v>3.0</v>
      </c>
      <c r="AZ41" s="370">
        <v>3.0</v>
      </c>
      <c r="BA41" s="371">
        <f t="shared" si="1"/>
        <v>81.25</v>
      </c>
      <c r="BB41" s="372" t="str">
        <f t="shared" si="2"/>
        <v>Avançado</v>
      </c>
      <c r="BC41" s="373"/>
      <c r="BD41" s="374">
        <f t="shared" si="3"/>
        <v>6</v>
      </c>
      <c r="BE41" s="374">
        <f t="shared" si="4"/>
        <v>171</v>
      </c>
      <c r="BF41" s="375" t="str">
        <f t="shared" si="5"/>
        <v>Básico</v>
      </c>
      <c r="BG41" s="376">
        <f t="shared" si="6"/>
        <v>17</v>
      </c>
      <c r="BH41" s="374">
        <f t="shared" si="7"/>
        <v>381</v>
      </c>
      <c r="BI41" s="377" t="str">
        <f t="shared" si="8"/>
        <v>Avançado</v>
      </c>
      <c r="BJ41" s="25"/>
      <c r="BK41" s="25"/>
    </row>
    <row r="42" ht="15.75" customHeight="1">
      <c r="A42" s="82">
        <v>13.0</v>
      </c>
      <c r="B42" s="378" t="s">
        <v>266</v>
      </c>
      <c r="C42" s="363" t="s">
        <v>170</v>
      </c>
      <c r="D42" s="379" t="s">
        <v>41</v>
      </c>
      <c r="E42" s="365" t="s">
        <v>41</v>
      </c>
      <c r="F42" s="365" t="s">
        <v>41</v>
      </c>
      <c r="G42" s="365" t="s">
        <v>42</v>
      </c>
      <c r="H42" s="365" t="s">
        <v>42</v>
      </c>
      <c r="I42" s="365" t="s">
        <v>43</v>
      </c>
      <c r="J42" s="365" t="s">
        <v>42</v>
      </c>
      <c r="K42" s="365" t="s">
        <v>42</v>
      </c>
      <c r="L42" s="365" t="s">
        <v>42</v>
      </c>
      <c r="M42" s="365" t="s">
        <v>44</v>
      </c>
      <c r="N42" s="365" t="s">
        <v>41</v>
      </c>
      <c r="O42" s="365" t="s">
        <v>41</v>
      </c>
      <c r="P42" s="365" t="s">
        <v>41</v>
      </c>
      <c r="Q42" s="365" t="s">
        <v>42</v>
      </c>
      <c r="R42" s="365" t="s">
        <v>41</v>
      </c>
      <c r="S42" s="365" t="s">
        <v>42</v>
      </c>
      <c r="T42" s="365" t="s">
        <v>43</v>
      </c>
      <c r="U42" s="365" t="s">
        <v>41</v>
      </c>
      <c r="V42" s="365" t="s">
        <v>41</v>
      </c>
      <c r="W42" s="365" t="s">
        <v>43</v>
      </c>
      <c r="X42" s="366" t="s">
        <v>42</v>
      </c>
      <c r="Y42" s="367" t="s">
        <v>44</v>
      </c>
      <c r="Z42" s="365" t="s">
        <v>43</v>
      </c>
      <c r="AA42" s="365" t="s">
        <v>42</v>
      </c>
      <c r="AB42" s="365" t="s">
        <v>43</v>
      </c>
      <c r="AC42" s="365" t="s">
        <v>41</v>
      </c>
      <c r="AD42" s="365" t="s">
        <v>41</v>
      </c>
      <c r="AE42" s="365" t="s">
        <v>42</v>
      </c>
      <c r="AF42" s="365" t="s">
        <v>43</v>
      </c>
      <c r="AG42" s="365" t="s">
        <v>43</v>
      </c>
      <c r="AH42" s="365" t="s">
        <v>42</v>
      </c>
      <c r="AI42" s="365" t="s">
        <v>41</v>
      </c>
      <c r="AJ42" s="365" t="s">
        <v>42</v>
      </c>
      <c r="AK42" s="365" t="s">
        <v>42</v>
      </c>
      <c r="AL42" s="365" t="s">
        <v>42</v>
      </c>
      <c r="AM42" s="365" t="s">
        <v>41</v>
      </c>
      <c r="AN42" s="365" t="s">
        <v>42</v>
      </c>
      <c r="AO42" s="365" t="s">
        <v>42</v>
      </c>
      <c r="AP42" s="365" t="s">
        <v>41</v>
      </c>
      <c r="AQ42" s="365" t="s">
        <v>43</v>
      </c>
      <c r="AR42" s="365" t="s">
        <v>44</v>
      </c>
      <c r="AS42" s="365" t="s">
        <v>41</v>
      </c>
      <c r="AT42" s="365" t="s">
        <v>42</v>
      </c>
      <c r="AU42" s="368"/>
      <c r="AV42" s="369" t="s">
        <v>44</v>
      </c>
      <c r="AW42" s="370">
        <v>2.0</v>
      </c>
      <c r="AX42" s="370">
        <v>2.0</v>
      </c>
      <c r="AY42" s="370">
        <v>2.0</v>
      </c>
      <c r="AZ42" s="370">
        <v>2.0</v>
      </c>
      <c r="BA42" s="371">
        <f t="shared" si="1"/>
        <v>50</v>
      </c>
      <c r="BB42" s="372" t="str">
        <f t="shared" si="2"/>
        <v>Básico</v>
      </c>
      <c r="BC42" s="373"/>
      <c r="BD42" s="374">
        <f t="shared" si="3"/>
        <v>14</v>
      </c>
      <c r="BE42" s="374">
        <f t="shared" si="4"/>
        <v>288</v>
      </c>
      <c r="BF42" s="375" t="str">
        <f t="shared" si="5"/>
        <v>Adequado</v>
      </c>
      <c r="BG42" s="376">
        <f t="shared" si="6"/>
        <v>14</v>
      </c>
      <c r="BH42" s="374">
        <f t="shared" si="7"/>
        <v>315</v>
      </c>
      <c r="BI42" s="377" t="str">
        <f t="shared" si="8"/>
        <v>Adequado</v>
      </c>
      <c r="BJ42" s="25"/>
      <c r="BK42" s="25"/>
    </row>
    <row r="43" ht="15.75" customHeight="1">
      <c r="A43" s="82">
        <v>14.0</v>
      </c>
      <c r="B43" s="378" t="s">
        <v>267</v>
      </c>
      <c r="C43" s="363" t="s">
        <v>170</v>
      </c>
      <c r="D43" s="379" t="s">
        <v>44</v>
      </c>
      <c r="E43" s="365" t="s">
        <v>43</v>
      </c>
      <c r="F43" s="365" t="s">
        <v>42</v>
      </c>
      <c r="G43" s="365" t="s">
        <v>43</v>
      </c>
      <c r="H43" s="365" t="s">
        <v>41</v>
      </c>
      <c r="I43" s="365" t="s">
        <v>41</v>
      </c>
      <c r="J43" s="365" t="s">
        <v>44</v>
      </c>
      <c r="K43" s="365" t="s">
        <v>44</v>
      </c>
      <c r="L43" s="365" t="s">
        <v>43</v>
      </c>
      <c r="M43" s="365" t="s">
        <v>44</v>
      </c>
      <c r="N43" s="365" t="s">
        <v>41</v>
      </c>
      <c r="O43" s="365" t="s">
        <v>42</v>
      </c>
      <c r="P43" s="365" t="s">
        <v>43</v>
      </c>
      <c r="Q43" s="365" t="s">
        <v>42</v>
      </c>
      <c r="R43" s="365" t="s">
        <v>41</v>
      </c>
      <c r="S43" s="365" t="s">
        <v>44</v>
      </c>
      <c r="T43" s="365" t="s">
        <v>42</v>
      </c>
      <c r="U43" s="365" t="s">
        <v>41</v>
      </c>
      <c r="V43" s="365" t="s">
        <v>44</v>
      </c>
      <c r="W43" s="365" t="s">
        <v>42</v>
      </c>
      <c r="X43" s="366" t="s">
        <v>41</v>
      </c>
      <c r="Y43" s="367" t="s">
        <v>44</v>
      </c>
      <c r="Z43" s="365" t="s">
        <v>43</v>
      </c>
      <c r="AA43" s="365" t="s">
        <v>42</v>
      </c>
      <c r="AB43" s="365" t="s">
        <v>43</v>
      </c>
      <c r="AC43" s="365" t="s">
        <v>41</v>
      </c>
      <c r="AD43" s="365" t="s">
        <v>44</v>
      </c>
      <c r="AE43" s="365" t="s">
        <v>44</v>
      </c>
      <c r="AF43" s="365" t="s">
        <v>43</v>
      </c>
      <c r="AG43" s="365" t="s">
        <v>44</v>
      </c>
      <c r="AH43" s="365" t="s">
        <v>41</v>
      </c>
      <c r="AI43" s="365" t="s">
        <v>42</v>
      </c>
      <c r="AJ43" s="365" t="s">
        <v>43</v>
      </c>
      <c r="AK43" s="365" t="s">
        <v>42</v>
      </c>
      <c r="AL43" s="365" t="s">
        <v>173</v>
      </c>
      <c r="AM43" s="365" t="s">
        <v>173</v>
      </c>
      <c r="AN43" s="365" t="s">
        <v>173</v>
      </c>
      <c r="AO43" s="365" t="s">
        <v>41</v>
      </c>
      <c r="AP43" s="365" t="s">
        <v>43</v>
      </c>
      <c r="AQ43" s="365" t="s">
        <v>41</v>
      </c>
      <c r="AR43" s="365" t="s">
        <v>41</v>
      </c>
      <c r="AS43" s="365" t="s">
        <v>43</v>
      </c>
      <c r="AT43" s="365" t="s">
        <v>44</v>
      </c>
      <c r="AU43" s="368"/>
      <c r="AV43" s="369" t="s">
        <v>44</v>
      </c>
      <c r="AW43" s="370">
        <v>3.0</v>
      </c>
      <c r="AX43" s="370">
        <v>3.0</v>
      </c>
      <c r="AY43" s="370">
        <v>2.0</v>
      </c>
      <c r="AZ43" s="370">
        <v>2.0</v>
      </c>
      <c r="BA43" s="371">
        <f t="shared" si="1"/>
        <v>62.5</v>
      </c>
      <c r="BB43" s="372" t="str">
        <f t="shared" si="2"/>
        <v>Adequado</v>
      </c>
      <c r="BC43" s="373"/>
      <c r="BD43" s="374">
        <f t="shared" si="3"/>
        <v>3</v>
      </c>
      <c r="BE43" s="374">
        <f t="shared" si="4"/>
        <v>81</v>
      </c>
      <c r="BF43" s="375" t="str">
        <f t="shared" si="5"/>
        <v>Abaixo do Básico</v>
      </c>
      <c r="BG43" s="376">
        <f t="shared" si="6"/>
        <v>6</v>
      </c>
      <c r="BH43" s="374">
        <f t="shared" si="7"/>
        <v>141</v>
      </c>
      <c r="BI43" s="377" t="str">
        <f t="shared" si="8"/>
        <v>Básico</v>
      </c>
      <c r="BJ43" s="25"/>
      <c r="BK43" s="25"/>
    </row>
    <row r="44" ht="15.75" customHeight="1">
      <c r="A44" s="82">
        <v>15.0</v>
      </c>
      <c r="B44" s="378" t="s">
        <v>268</v>
      </c>
      <c r="C44" s="363" t="s">
        <v>170</v>
      </c>
      <c r="D44" s="379" t="s">
        <v>172</v>
      </c>
      <c r="E44" s="365" t="s">
        <v>172</v>
      </c>
      <c r="F44" s="365" t="s">
        <v>172</v>
      </c>
      <c r="G44" s="365" t="s">
        <v>172</v>
      </c>
      <c r="H44" s="365" t="s">
        <v>172</v>
      </c>
      <c r="I44" s="365" t="s">
        <v>172</v>
      </c>
      <c r="J44" s="365" t="s">
        <v>172</v>
      </c>
      <c r="K44" s="365" t="s">
        <v>172</v>
      </c>
      <c r="L44" s="365" t="s">
        <v>172</v>
      </c>
      <c r="M44" s="365" t="s">
        <v>172</v>
      </c>
      <c r="N44" s="365" t="s">
        <v>172</v>
      </c>
      <c r="O44" s="365" t="s">
        <v>172</v>
      </c>
      <c r="P44" s="365" t="s">
        <v>172</v>
      </c>
      <c r="Q44" s="365" t="s">
        <v>172</v>
      </c>
      <c r="R44" s="365" t="s">
        <v>172</v>
      </c>
      <c r="S44" s="365" t="s">
        <v>172</v>
      </c>
      <c r="T44" s="365" t="s">
        <v>172</v>
      </c>
      <c r="U44" s="365" t="s">
        <v>172</v>
      </c>
      <c r="V44" s="365" t="s">
        <v>172</v>
      </c>
      <c r="W44" s="365" t="s">
        <v>172</v>
      </c>
      <c r="X44" s="366" t="s">
        <v>172</v>
      </c>
      <c r="Y44" s="367" t="s">
        <v>172</v>
      </c>
      <c r="Z44" s="365" t="s">
        <v>172</v>
      </c>
      <c r="AA44" s="365" t="s">
        <v>172</v>
      </c>
      <c r="AB44" s="365" t="s">
        <v>172</v>
      </c>
      <c r="AC44" s="365" t="s">
        <v>172</v>
      </c>
      <c r="AD44" s="365" t="s">
        <v>172</v>
      </c>
      <c r="AE44" s="365" t="s">
        <v>172</v>
      </c>
      <c r="AF44" s="365" t="s">
        <v>172</v>
      </c>
      <c r="AG44" s="365" t="s">
        <v>172</v>
      </c>
      <c r="AH44" s="365" t="s">
        <v>172</v>
      </c>
      <c r="AI44" s="365" t="s">
        <v>172</v>
      </c>
      <c r="AJ44" s="365" t="s">
        <v>172</v>
      </c>
      <c r="AK44" s="365" t="s">
        <v>172</v>
      </c>
      <c r="AL44" s="365" t="s">
        <v>172</v>
      </c>
      <c r="AM44" s="365" t="s">
        <v>172</v>
      </c>
      <c r="AN44" s="365" t="s">
        <v>172</v>
      </c>
      <c r="AO44" s="365" t="s">
        <v>172</v>
      </c>
      <c r="AP44" s="365" t="s">
        <v>172</v>
      </c>
      <c r="AQ44" s="365" t="s">
        <v>172</v>
      </c>
      <c r="AR44" s="365" t="s">
        <v>172</v>
      </c>
      <c r="AS44" s="365" t="s">
        <v>172</v>
      </c>
      <c r="AT44" s="365" t="s">
        <v>172</v>
      </c>
      <c r="AU44" s="368"/>
      <c r="AV44" s="369" t="s">
        <v>172</v>
      </c>
      <c r="AW44" s="370" t="s">
        <v>173</v>
      </c>
      <c r="AX44" s="370" t="s">
        <v>173</v>
      </c>
      <c r="AY44" s="370" t="s">
        <v>173</v>
      </c>
      <c r="AZ44" s="370" t="s">
        <v>173</v>
      </c>
      <c r="BA44" s="371">
        <f t="shared" si="1"/>
        <v>0</v>
      </c>
      <c r="BB44" s="372" t="str">
        <f t="shared" si="2"/>
        <v>Abaixo do Básico</v>
      </c>
      <c r="BC44" s="373"/>
      <c r="BD44" s="374">
        <f t="shared" si="3"/>
        <v>0</v>
      </c>
      <c r="BE44" s="374">
        <f t="shared" si="4"/>
        <v>0</v>
      </c>
      <c r="BF44" s="375" t="str">
        <f t="shared" si="5"/>
        <v>Abaixo do Básico</v>
      </c>
      <c r="BG44" s="376">
        <f t="shared" si="6"/>
        <v>0</v>
      </c>
      <c r="BH44" s="374">
        <f t="shared" si="7"/>
        <v>0</v>
      </c>
      <c r="BI44" s="377" t="str">
        <f t="shared" si="8"/>
        <v>Abaixo do Básico</v>
      </c>
      <c r="BJ44" s="25"/>
      <c r="BK44" s="25"/>
    </row>
    <row r="45" ht="15.75" customHeight="1">
      <c r="A45" s="82">
        <v>16.0</v>
      </c>
      <c r="B45" s="378" t="s">
        <v>269</v>
      </c>
      <c r="C45" s="363" t="s">
        <v>170</v>
      </c>
      <c r="D45" s="379" t="s">
        <v>41</v>
      </c>
      <c r="E45" s="365" t="s">
        <v>41</v>
      </c>
      <c r="F45" s="365" t="s">
        <v>41</v>
      </c>
      <c r="G45" s="365" t="s">
        <v>42</v>
      </c>
      <c r="H45" s="365" t="s">
        <v>42</v>
      </c>
      <c r="I45" s="365" t="s">
        <v>44</v>
      </c>
      <c r="J45" s="365" t="s">
        <v>42</v>
      </c>
      <c r="K45" s="365" t="s">
        <v>44</v>
      </c>
      <c r="L45" s="365" t="s">
        <v>44</v>
      </c>
      <c r="M45" s="365" t="s">
        <v>41</v>
      </c>
      <c r="N45" s="365" t="s">
        <v>41</v>
      </c>
      <c r="O45" s="365" t="s">
        <v>41</v>
      </c>
      <c r="P45" s="365" t="s">
        <v>44</v>
      </c>
      <c r="Q45" s="365" t="s">
        <v>42</v>
      </c>
      <c r="R45" s="365" t="s">
        <v>42</v>
      </c>
      <c r="S45" s="365" t="s">
        <v>44</v>
      </c>
      <c r="T45" s="365" t="s">
        <v>44</v>
      </c>
      <c r="U45" s="365" t="s">
        <v>44</v>
      </c>
      <c r="V45" s="365" t="s">
        <v>41</v>
      </c>
      <c r="W45" s="365" t="s">
        <v>43</v>
      </c>
      <c r="X45" s="366" t="s">
        <v>42</v>
      </c>
      <c r="Y45" s="367" t="s">
        <v>44</v>
      </c>
      <c r="Z45" s="365" t="s">
        <v>43</v>
      </c>
      <c r="AA45" s="365" t="s">
        <v>42</v>
      </c>
      <c r="AB45" s="365" t="s">
        <v>43</v>
      </c>
      <c r="AC45" s="365" t="s">
        <v>41</v>
      </c>
      <c r="AD45" s="365" t="s">
        <v>41</v>
      </c>
      <c r="AE45" s="365" t="s">
        <v>42</v>
      </c>
      <c r="AF45" s="365" t="s">
        <v>44</v>
      </c>
      <c r="AG45" s="365" t="s">
        <v>43</v>
      </c>
      <c r="AH45" s="365" t="s">
        <v>44</v>
      </c>
      <c r="AI45" s="365" t="s">
        <v>41</v>
      </c>
      <c r="AJ45" s="365" t="s">
        <v>42</v>
      </c>
      <c r="AK45" s="365" t="s">
        <v>43</v>
      </c>
      <c r="AL45" s="365" t="s">
        <v>42</v>
      </c>
      <c r="AM45" s="365" t="s">
        <v>41</v>
      </c>
      <c r="AN45" s="365" t="s">
        <v>43</v>
      </c>
      <c r="AO45" s="365" t="s">
        <v>42</v>
      </c>
      <c r="AP45" s="365" t="s">
        <v>41</v>
      </c>
      <c r="AQ45" s="365" t="s">
        <v>43</v>
      </c>
      <c r="AR45" s="365" t="s">
        <v>41</v>
      </c>
      <c r="AS45" s="365" t="s">
        <v>41</v>
      </c>
      <c r="AT45" s="365" t="s">
        <v>42</v>
      </c>
      <c r="AU45" s="368"/>
      <c r="AV45" s="369" t="s">
        <v>44</v>
      </c>
      <c r="AW45" s="370">
        <v>3.0</v>
      </c>
      <c r="AX45" s="370">
        <v>3.0</v>
      </c>
      <c r="AY45" s="370">
        <v>3.0</v>
      </c>
      <c r="AZ45" s="370">
        <v>3.0</v>
      </c>
      <c r="BA45" s="371">
        <f t="shared" si="1"/>
        <v>75</v>
      </c>
      <c r="BB45" s="372" t="str">
        <f t="shared" si="2"/>
        <v>Adequado</v>
      </c>
      <c r="BC45" s="373"/>
      <c r="BD45" s="374">
        <f t="shared" si="3"/>
        <v>17</v>
      </c>
      <c r="BE45" s="374">
        <f t="shared" si="4"/>
        <v>387</v>
      </c>
      <c r="BF45" s="375" t="str">
        <f t="shared" si="5"/>
        <v>Avançado</v>
      </c>
      <c r="BG45" s="376">
        <f t="shared" si="6"/>
        <v>18</v>
      </c>
      <c r="BH45" s="374">
        <f t="shared" si="7"/>
        <v>406</v>
      </c>
      <c r="BI45" s="377" t="str">
        <f t="shared" si="8"/>
        <v>Avançado</v>
      </c>
      <c r="BJ45" s="25"/>
      <c r="BK45" s="25"/>
    </row>
    <row r="46" ht="15.75" customHeight="1">
      <c r="A46" s="82">
        <v>17.0</v>
      </c>
      <c r="B46" s="378" t="s">
        <v>270</v>
      </c>
      <c r="C46" s="363" t="s">
        <v>170</v>
      </c>
      <c r="D46" s="379" t="s">
        <v>42</v>
      </c>
      <c r="E46" s="365" t="s">
        <v>41</v>
      </c>
      <c r="F46" s="365" t="s">
        <v>41</v>
      </c>
      <c r="G46" s="365" t="s">
        <v>42</v>
      </c>
      <c r="H46" s="365" t="s">
        <v>42</v>
      </c>
      <c r="I46" s="365" t="s">
        <v>44</v>
      </c>
      <c r="J46" s="365" t="s">
        <v>42</v>
      </c>
      <c r="K46" s="365" t="s">
        <v>42</v>
      </c>
      <c r="L46" s="365" t="s">
        <v>44</v>
      </c>
      <c r="M46" s="365" t="s">
        <v>41</v>
      </c>
      <c r="N46" s="365" t="s">
        <v>41</v>
      </c>
      <c r="O46" s="365" t="s">
        <v>41</v>
      </c>
      <c r="P46" s="365" t="s">
        <v>44</v>
      </c>
      <c r="Q46" s="365" t="s">
        <v>42</v>
      </c>
      <c r="R46" s="365" t="s">
        <v>42</v>
      </c>
      <c r="S46" s="365" t="s">
        <v>44</v>
      </c>
      <c r="T46" s="365" t="s">
        <v>44</v>
      </c>
      <c r="U46" s="365" t="s">
        <v>44</v>
      </c>
      <c r="V46" s="365" t="s">
        <v>41</v>
      </c>
      <c r="W46" s="365" t="s">
        <v>43</v>
      </c>
      <c r="X46" s="366" t="s">
        <v>42</v>
      </c>
      <c r="Y46" s="367" t="s">
        <v>44</v>
      </c>
      <c r="Z46" s="365" t="s">
        <v>43</v>
      </c>
      <c r="AA46" s="365" t="s">
        <v>42</v>
      </c>
      <c r="AB46" s="365" t="s">
        <v>43</v>
      </c>
      <c r="AC46" s="365" t="s">
        <v>41</v>
      </c>
      <c r="AD46" s="365" t="s">
        <v>41</v>
      </c>
      <c r="AE46" s="365" t="s">
        <v>42</v>
      </c>
      <c r="AF46" s="365" t="s">
        <v>44</v>
      </c>
      <c r="AG46" s="365" t="s">
        <v>43</v>
      </c>
      <c r="AH46" s="365" t="s">
        <v>44</v>
      </c>
      <c r="AI46" s="365" t="s">
        <v>41</v>
      </c>
      <c r="AJ46" s="365" t="s">
        <v>42</v>
      </c>
      <c r="AK46" s="365" t="s">
        <v>43</v>
      </c>
      <c r="AL46" s="365" t="s">
        <v>42</v>
      </c>
      <c r="AM46" s="365" t="s">
        <v>44</v>
      </c>
      <c r="AN46" s="365" t="s">
        <v>44</v>
      </c>
      <c r="AO46" s="365" t="s">
        <v>42</v>
      </c>
      <c r="AP46" s="365" t="s">
        <v>41</v>
      </c>
      <c r="AQ46" s="365" t="s">
        <v>44</v>
      </c>
      <c r="AR46" s="365" t="s">
        <v>41</v>
      </c>
      <c r="AS46" s="365" t="s">
        <v>41</v>
      </c>
      <c r="AT46" s="365" t="s">
        <v>42</v>
      </c>
      <c r="AU46" s="368"/>
      <c r="AV46" s="369" t="s">
        <v>44</v>
      </c>
      <c r="AW46" s="370">
        <v>3.0</v>
      </c>
      <c r="AX46" s="370">
        <v>2.0</v>
      </c>
      <c r="AY46" s="370">
        <v>2.0</v>
      </c>
      <c r="AZ46" s="370">
        <v>2.0</v>
      </c>
      <c r="BA46" s="371">
        <f t="shared" si="1"/>
        <v>56.25</v>
      </c>
      <c r="BB46" s="372" t="str">
        <f t="shared" si="2"/>
        <v>Adequado</v>
      </c>
      <c r="BC46" s="373"/>
      <c r="BD46" s="374">
        <f t="shared" si="3"/>
        <v>17</v>
      </c>
      <c r="BE46" s="374">
        <f t="shared" si="4"/>
        <v>387</v>
      </c>
      <c r="BF46" s="375" t="str">
        <f t="shared" si="5"/>
        <v>Avançado</v>
      </c>
      <c r="BG46" s="376">
        <f t="shared" si="6"/>
        <v>19</v>
      </c>
      <c r="BH46" s="374">
        <f t="shared" si="7"/>
        <v>431</v>
      </c>
      <c r="BI46" s="377" t="str">
        <f t="shared" si="8"/>
        <v>Avançado</v>
      </c>
      <c r="BJ46" s="25"/>
      <c r="BK46" s="25"/>
    </row>
    <row r="47" ht="15.75" customHeight="1">
      <c r="A47" s="82">
        <v>18.0</v>
      </c>
      <c r="B47" s="378" t="s">
        <v>271</v>
      </c>
      <c r="C47" s="363" t="s">
        <v>170</v>
      </c>
      <c r="D47" s="379" t="s">
        <v>41</v>
      </c>
      <c r="E47" s="365" t="s">
        <v>41</v>
      </c>
      <c r="F47" s="365" t="s">
        <v>41</v>
      </c>
      <c r="G47" s="365" t="s">
        <v>42</v>
      </c>
      <c r="H47" s="365" t="s">
        <v>42</v>
      </c>
      <c r="I47" s="365" t="s">
        <v>44</v>
      </c>
      <c r="J47" s="365" t="s">
        <v>42</v>
      </c>
      <c r="K47" s="365" t="s">
        <v>42</v>
      </c>
      <c r="L47" s="365" t="s">
        <v>44</v>
      </c>
      <c r="M47" s="365" t="s">
        <v>41</v>
      </c>
      <c r="N47" s="365" t="s">
        <v>41</v>
      </c>
      <c r="O47" s="365" t="s">
        <v>41</v>
      </c>
      <c r="P47" s="365" t="s">
        <v>44</v>
      </c>
      <c r="Q47" s="365" t="s">
        <v>42</v>
      </c>
      <c r="R47" s="365" t="s">
        <v>42</v>
      </c>
      <c r="S47" s="365" t="s">
        <v>44</v>
      </c>
      <c r="T47" s="365" t="s">
        <v>44</v>
      </c>
      <c r="U47" s="365" t="s">
        <v>44</v>
      </c>
      <c r="V47" s="365" t="s">
        <v>41</v>
      </c>
      <c r="W47" s="365" t="s">
        <v>43</v>
      </c>
      <c r="X47" s="366" t="s">
        <v>42</v>
      </c>
      <c r="Y47" s="367" t="s">
        <v>44</v>
      </c>
      <c r="Z47" s="365" t="s">
        <v>43</v>
      </c>
      <c r="AA47" s="365" t="s">
        <v>42</v>
      </c>
      <c r="AB47" s="365" t="s">
        <v>43</v>
      </c>
      <c r="AC47" s="365" t="s">
        <v>41</v>
      </c>
      <c r="AD47" s="365" t="s">
        <v>41</v>
      </c>
      <c r="AE47" s="365" t="s">
        <v>42</v>
      </c>
      <c r="AF47" s="365" t="s">
        <v>44</v>
      </c>
      <c r="AG47" s="365" t="s">
        <v>43</v>
      </c>
      <c r="AH47" s="365" t="s">
        <v>44</v>
      </c>
      <c r="AI47" s="365" t="s">
        <v>41</v>
      </c>
      <c r="AJ47" s="365" t="s">
        <v>42</v>
      </c>
      <c r="AK47" s="365" t="s">
        <v>43</v>
      </c>
      <c r="AL47" s="365" t="s">
        <v>42</v>
      </c>
      <c r="AM47" s="365" t="s">
        <v>41</v>
      </c>
      <c r="AN47" s="365" t="s">
        <v>44</v>
      </c>
      <c r="AO47" s="365" t="s">
        <v>42</v>
      </c>
      <c r="AP47" s="365" t="s">
        <v>41</v>
      </c>
      <c r="AQ47" s="365" t="s">
        <v>43</v>
      </c>
      <c r="AR47" s="365" t="s">
        <v>41</v>
      </c>
      <c r="AS47" s="365" t="s">
        <v>41</v>
      </c>
      <c r="AT47" s="365" t="s">
        <v>42</v>
      </c>
      <c r="AU47" s="368"/>
      <c r="AV47" s="369" t="s">
        <v>44</v>
      </c>
      <c r="AW47" s="370">
        <v>4.0</v>
      </c>
      <c r="AX47" s="370">
        <v>3.0</v>
      </c>
      <c r="AY47" s="370">
        <v>3.0</v>
      </c>
      <c r="AZ47" s="370">
        <v>3.0</v>
      </c>
      <c r="BA47" s="371">
        <f t="shared" si="1"/>
        <v>81.25</v>
      </c>
      <c r="BB47" s="372" t="str">
        <f t="shared" si="2"/>
        <v>Avançado</v>
      </c>
      <c r="BC47" s="373"/>
      <c r="BD47" s="374">
        <f t="shared" si="3"/>
        <v>18</v>
      </c>
      <c r="BE47" s="374">
        <f t="shared" si="4"/>
        <v>405</v>
      </c>
      <c r="BF47" s="375" t="str">
        <f t="shared" si="5"/>
        <v>Avançado</v>
      </c>
      <c r="BG47" s="376">
        <f t="shared" si="6"/>
        <v>19</v>
      </c>
      <c r="BH47" s="374">
        <f t="shared" si="7"/>
        <v>431</v>
      </c>
      <c r="BI47" s="377" t="str">
        <f t="shared" si="8"/>
        <v>Avançado</v>
      </c>
      <c r="BJ47" s="25"/>
      <c r="BK47" s="25"/>
    </row>
    <row r="48" ht="15.75" customHeight="1">
      <c r="A48" s="82">
        <v>19.0</v>
      </c>
      <c r="B48" s="378" t="s">
        <v>272</v>
      </c>
      <c r="C48" s="363" t="s">
        <v>170</v>
      </c>
      <c r="D48" s="379" t="s">
        <v>41</v>
      </c>
      <c r="E48" s="365" t="s">
        <v>41</v>
      </c>
      <c r="F48" s="365" t="s">
        <v>41</v>
      </c>
      <c r="G48" s="365" t="s">
        <v>42</v>
      </c>
      <c r="H48" s="365" t="s">
        <v>42</v>
      </c>
      <c r="I48" s="365" t="s">
        <v>44</v>
      </c>
      <c r="J48" s="365" t="s">
        <v>42</v>
      </c>
      <c r="K48" s="365" t="s">
        <v>42</v>
      </c>
      <c r="L48" s="365" t="s">
        <v>44</v>
      </c>
      <c r="M48" s="365" t="s">
        <v>41</v>
      </c>
      <c r="N48" s="365" t="s">
        <v>41</v>
      </c>
      <c r="O48" s="365" t="s">
        <v>41</v>
      </c>
      <c r="P48" s="365" t="s">
        <v>44</v>
      </c>
      <c r="Q48" s="365" t="s">
        <v>42</v>
      </c>
      <c r="R48" s="365" t="s">
        <v>42</v>
      </c>
      <c r="S48" s="365" t="s">
        <v>44</v>
      </c>
      <c r="T48" s="365" t="s">
        <v>44</v>
      </c>
      <c r="U48" s="365" t="s">
        <v>44</v>
      </c>
      <c r="V48" s="365" t="s">
        <v>41</v>
      </c>
      <c r="W48" s="365" t="s">
        <v>43</v>
      </c>
      <c r="X48" s="366" t="s">
        <v>42</v>
      </c>
      <c r="Y48" s="367" t="s">
        <v>44</v>
      </c>
      <c r="Z48" s="365" t="s">
        <v>43</v>
      </c>
      <c r="AA48" s="365" t="s">
        <v>42</v>
      </c>
      <c r="AB48" s="365" t="s">
        <v>43</v>
      </c>
      <c r="AC48" s="365" t="s">
        <v>41</v>
      </c>
      <c r="AD48" s="365" t="s">
        <v>41</v>
      </c>
      <c r="AE48" s="365" t="s">
        <v>42</v>
      </c>
      <c r="AF48" s="365" t="s">
        <v>44</v>
      </c>
      <c r="AG48" s="365" t="s">
        <v>43</v>
      </c>
      <c r="AH48" s="365" t="s">
        <v>44</v>
      </c>
      <c r="AI48" s="365" t="s">
        <v>41</v>
      </c>
      <c r="AJ48" s="365" t="s">
        <v>42</v>
      </c>
      <c r="AK48" s="365" t="s">
        <v>43</v>
      </c>
      <c r="AL48" s="365" t="s">
        <v>42</v>
      </c>
      <c r="AM48" s="365" t="s">
        <v>41</v>
      </c>
      <c r="AN48" s="365" t="s">
        <v>44</v>
      </c>
      <c r="AO48" s="365" t="s">
        <v>42</v>
      </c>
      <c r="AP48" s="365" t="s">
        <v>41</v>
      </c>
      <c r="AQ48" s="365" t="s">
        <v>43</v>
      </c>
      <c r="AR48" s="365" t="s">
        <v>41</v>
      </c>
      <c r="AS48" s="365" t="s">
        <v>41</v>
      </c>
      <c r="AT48" s="365" t="s">
        <v>42</v>
      </c>
      <c r="AU48" s="368"/>
      <c r="AV48" s="369" t="s">
        <v>44</v>
      </c>
      <c r="AW48" s="370">
        <v>3.0</v>
      </c>
      <c r="AX48" s="370">
        <v>3.0</v>
      </c>
      <c r="AY48" s="370">
        <v>3.0</v>
      </c>
      <c r="AZ48" s="370">
        <v>3.0</v>
      </c>
      <c r="BA48" s="371">
        <f t="shared" si="1"/>
        <v>75</v>
      </c>
      <c r="BB48" s="372" t="str">
        <f t="shared" si="2"/>
        <v>Adequado</v>
      </c>
      <c r="BC48" s="373"/>
      <c r="BD48" s="374">
        <f t="shared" si="3"/>
        <v>18</v>
      </c>
      <c r="BE48" s="374">
        <f t="shared" si="4"/>
        <v>405</v>
      </c>
      <c r="BF48" s="375" t="str">
        <f t="shared" si="5"/>
        <v>Avançado</v>
      </c>
      <c r="BG48" s="376">
        <f t="shared" si="6"/>
        <v>19</v>
      </c>
      <c r="BH48" s="374">
        <f t="shared" si="7"/>
        <v>431</v>
      </c>
      <c r="BI48" s="377" t="str">
        <f t="shared" si="8"/>
        <v>Avançado</v>
      </c>
      <c r="BJ48" s="25"/>
      <c r="BK48" s="25"/>
    </row>
    <row r="49" ht="15.75" customHeight="1">
      <c r="A49" s="82">
        <v>20.0</v>
      </c>
      <c r="B49" s="378" t="s">
        <v>273</v>
      </c>
      <c r="C49" s="363" t="s">
        <v>170</v>
      </c>
      <c r="D49" s="379" t="s">
        <v>41</v>
      </c>
      <c r="E49" s="365" t="s">
        <v>41</v>
      </c>
      <c r="F49" s="365" t="s">
        <v>41</v>
      </c>
      <c r="G49" s="365" t="s">
        <v>42</v>
      </c>
      <c r="H49" s="365" t="s">
        <v>42</v>
      </c>
      <c r="I49" s="365" t="s">
        <v>44</v>
      </c>
      <c r="J49" s="365" t="s">
        <v>42</v>
      </c>
      <c r="K49" s="365" t="s">
        <v>42</v>
      </c>
      <c r="L49" s="365" t="s">
        <v>44</v>
      </c>
      <c r="M49" s="365" t="s">
        <v>41</v>
      </c>
      <c r="N49" s="365" t="s">
        <v>41</v>
      </c>
      <c r="O49" s="365" t="s">
        <v>41</v>
      </c>
      <c r="P49" s="365" t="s">
        <v>44</v>
      </c>
      <c r="Q49" s="365" t="s">
        <v>42</v>
      </c>
      <c r="R49" s="365" t="s">
        <v>42</v>
      </c>
      <c r="S49" s="365" t="s">
        <v>44</v>
      </c>
      <c r="T49" s="365" t="s">
        <v>44</v>
      </c>
      <c r="U49" s="365" t="s">
        <v>44</v>
      </c>
      <c r="V49" s="365" t="s">
        <v>41</v>
      </c>
      <c r="W49" s="365" t="s">
        <v>43</v>
      </c>
      <c r="X49" s="366" t="s">
        <v>42</v>
      </c>
      <c r="Y49" s="367" t="s">
        <v>44</v>
      </c>
      <c r="Z49" s="365" t="s">
        <v>43</v>
      </c>
      <c r="AA49" s="365" t="s">
        <v>42</v>
      </c>
      <c r="AB49" s="365" t="s">
        <v>43</v>
      </c>
      <c r="AC49" s="365" t="s">
        <v>41</v>
      </c>
      <c r="AD49" s="365" t="s">
        <v>41</v>
      </c>
      <c r="AE49" s="365" t="s">
        <v>42</v>
      </c>
      <c r="AF49" s="365" t="s">
        <v>44</v>
      </c>
      <c r="AG49" s="365" t="s">
        <v>43</v>
      </c>
      <c r="AH49" s="365" t="s">
        <v>44</v>
      </c>
      <c r="AI49" s="365" t="s">
        <v>41</v>
      </c>
      <c r="AJ49" s="365" t="s">
        <v>42</v>
      </c>
      <c r="AK49" s="365" t="s">
        <v>43</v>
      </c>
      <c r="AL49" s="365" t="s">
        <v>42</v>
      </c>
      <c r="AM49" s="365" t="s">
        <v>41</v>
      </c>
      <c r="AN49" s="365" t="s">
        <v>43</v>
      </c>
      <c r="AO49" s="365" t="s">
        <v>42</v>
      </c>
      <c r="AP49" s="365" t="s">
        <v>41</v>
      </c>
      <c r="AQ49" s="365" t="s">
        <v>43</v>
      </c>
      <c r="AR49" s="365" t="s">
        <v>41</v>
      </c>
      <c r="AS49" s="365" t="s">
        <v>41</v>
      </c>
      <c r="AT49" s="365" t="s">
        <v>42</v>
      </c>
      <c r="AU49" s="368"/>
      <c r="AV49" s="369" t="s">
        <v>44</v>
      </c>
      <c r="AW49" s="370">
        <v>3.0</v>
      </c>
      <c r="AX49" s="370">
        <v>3.0</v>
      </c>
      <c r="AY49" s="370">
        <v>3.0</v>
      </c>
      <c r="AZ49" s="370">
        <v>3.0</v>
      </c>
      <c r="BA49" s="371">
        <f t="shared" si="1"/>
        <v>75</v>
      </c>
      <c r="BB49" s="372" t="str">
        <f t="shared" si="2"/>
        <v>Adequado</v>
      </c>
      <c r="BC49" s="373"/>
      <c r="BD49" s="374">
        <f t="shared" si="3"/>
        <v>18</v>
      </c>
      <c r="BE49" s="374">
        <f t="shared" si="4"/>
        <v>405</v>
      </c>
      <c r="BF49" s="375" t="str">
        <f t="shared" si="5"/>
        <v>Avançado</v>
      </c>
      <c r="BG49" s="376">
        <f t="shared" si="6"/>
        <v>18</v>
      </c>
      <c r="BH49" s="374">
        <f t="shared" si="7"/>
        <v>406</v>
      </c>
      <c r="BI49" s="377" t="str">
        <f t="shared" si="8"/>
        <v>Avançado</v>
      </c>
      <c r="BJ49" s="25"/>
      <c r="BK49" s="25"/>
    </row>
    <row r="50" ht="15.75" customHeight="1">
      <c r="A50" s="82">
        <v>21.0</v>
      </c>
      <c r="B50" s="378" t="s">
        <v>274</v>
      </c>
      <c r="C50" s="363" t="s">
        <v>170</v>
      </c>
      <c r="D50" s="379" t="s">
        <v>41</v>
      </c>
      <c r="E50" s="365" t="s">
        <v>41</v>
      </c>
      <c r="F50" s="365" t="s">
        <v>41</v>
      </c>
      <c r="G50" s="365" t="s">
        <v>42</v>
      </c>
      <c r="H50" s="365" t="s">
        <v>42</v>
      </c>
      <c r="I50" s="365" t="s">
        <v>44</v>
      </c>
      <c r="J50" s="365" t="s">
        <v>42</v>
      </c>
      <c r="K50" s="365" t="s">
        <v>42</v>
      </c>
      <c r="L50" s="365" t="s">
        <v>44</v>
      </c>
      <c r="M50" s="365" t="s">
        <v>41</v>
      </c>
      <c r="N50" s="365" t="s">
        <v>41</v>
      </c>
      <c r="O50" s="365" t="s">
        <v>41</v>
      </c>
      <c r="P50" s="365" t="s">
        <v>44</v>
      </c>
      <c r="Q50" s="365" t="s">
        <v>42</v>
      </c>
      <c r="R50" s="365" t="s">
        <v>42</v>
      </c>
      <c r="S50" s="365" t="s">
        <v>44</v>
      </c>
      <c r="T50" s="365" t="s">
        <v>44</v>
      </c>
      <c r="U50" s="365" t="s">
        <v>44</v>
      </c>
      <c r="V50" s="365" t="s">
        <v>41</v>
      </c>
      <c r="W50" s="365" t="s">
        <v>43</v>
      </c>
      <c r="X50" s="366" t="s">
        <v>42</v>
      </c>
      <c r="Y50" s="367" t="s">
        <v>44</v>
      </c>
      <c r="Z50" s="365" t="s">
        <v>43</v>
      </c>
      <c r="AA50" s="365" t="s">
        <v>42</v>
      </c>
      <c r="AB50" s="365" t="s">
        <v>43</v>
      </c>
      <c r="AC50" s="365" t="s">
        <v>41</v>
      </c>
      <c r="AD50" s="365" t="s">
        <v>41</v>
      </c>
      <c r="AE50" s="365" t="s">
        <v>42</v>
      </c>
      <c r="AF50" s="365" t="s">
        <v>44</v>
      </c>
      <c r="AG50" s="365" t="s">
        <v>43</v>
      </c>
      <c r="AH50" s="365" t="s">
        <v>44</v>
      </c>
      <c r="AI50" s="365" t="s">
        <v>41</v>
      </c>
      <c r="AJ50" s="365" t="s">
        <v>42</v>
      </c>
      <c r="AK50" s="365" t="s">
        <v>43</v>
      </c>
      <c r="AL50" s="365" t="s">
        <v>42</v>
      </c>
      <c r="AM50" s="365" t="s">
        <v>41</v>
      </c>
      <c r="AN50" s="365" t="s">
        <v>44</v>
      </c>
      <c r="AO50" s="365" t="s">
        <v>42</v>
      </c>
      <c r="AP50" s="365" t="s">
        <v>41</v>
      </c>
      <c r="AQ50" s="365" t="s">
        <v>43</v>
      </c>
      <c r="AR50" s="365" t="s">
        <v>41</v>
      </c>
      <c r="AS50" s="365" t="s">
        <v>41</v>
      </c>
      <c r="AT50" s="365" t="s">
        <v>42</v>
      </c>
      <c r="AU50" s="368"/>
      <c r="AV50" s="369" t="s">
        <v>44</v>
      </c>
      <c r="AW50" s="370">
        <v>4.0</v>
      </c>
      <c r="AX50" s="370">
        <v>4.0</v>
      </c>
      <c r="AY50" s="370">
        <v>3.0</v>
      </c>
      <c r="AZ50" s="370">
        <v>3.0</v>
      </c>
      <c r="BA50" s="371">
        <f t="shared" si="1"/>
        <v>87.5</v>
      </c>
      <c r="BB50" s="372" t="str">
        <f t="shared" si="2"/>
        <v>Avançado</v>
      </c>
      <c r="BC50" s="373"/>
      <c r="BD50" s="374">
        <f t="shared" si="3"/>
        <v>18</v>
      </c>
      <c r="BE50" s="374">
        <f t="shared" si="4"/>
        <v>405</v>
      </c>
      <c r="BF50" s="375" t="str">
        <f t="shared" si="5"/>
        <v>Avançado</v>
      </c>
      <c r="BG50" s="376">
        <f t="shared" si="6"/>
        <v>19</v>
      </c>
      <c r="BH50" s="374">
        <f t="shared" si="7"/>
        <v>431</v>
      </c>
      <c r="BI50" s="377" t="str">
        <f t="shared" si="8"/>
        <v>Avançado</v>
      </c>
      <c r="BJ50" s="25"/>
      <c r="BK50" s="25"/>
    </row>
    <row r="51" ht="15.75" customHeight="1">
      <c r="A51" s="82">
        <v>22.0</v>
      </c>
      <c r="B51" s="378" t="s">
        <v>275</v>
      </c>
      <c r="C51" s="363" t="s">
        <v>199</v>
      </c>
      <c r="D51" s="379" t="s">
        <v>41</v>
      </c>
      <c r="E51" s="365" t="s">
        <v>42</v>
      </c>
      <c r="F51" s="365" t="s">
        <v>41</v>
      </c>
      <c r="G51" s="365" t="s">
        <v>42</v>
      </c>
      <c r="H51" s="365" t="s">
        <v>42</v>
      </c>
      <c r="I51" s="365" t="s">
        <v>44</v>
      </c>
      <c r="J51" s="365" t="s">
        <v>42</v>
      </c>
      <c r="K51" s="365" t="s">
        <v>42</v>
      </c>
      <c r="L51" s="365" t="s">
        <v>44</v>
      </c>
      <c r="M51" s="365" t="s">
        <v>41</v>
      </c>
      <c r="N51" s="365" t="s">
        <v>41</v>
      </c>
      <c r="O51" s="365" t="s">
        <v>41</v>
      </c>
      <c r="P51" s="365" t="s">
        <v>44</v>
      </c>
      <c r="Q51" s="365" t="s">
        <v>42</v>
      </c>
      <c r="R51" s="365" t="s">
        <v>42</v>
      </c>
      <c r="S51" s="365" t="s">
        <v>44</v>
      </c>
      <c r="T51" s="365" t="s">
        <v>44</v>
      </c>
      <c r="U51" s="365" t="s">
        <v>44</v>
      </c>
      <c r="V51" s="365" t="s">
        <v>41</v>
      </c>
      <c r="W51" s="365" t="s">
        <v>43</v>
      </c>
      <c r="X51" s="366" t="s">
        <v>42</v>
      </c>
      <c r="Y51" s="367" t="s">
        <v>44</v>
      </c>
      <c r="Z51" s="365" t="s">
        <v>43</v>
      </c>
      <c r="AA51" s="365" t="s">
        <v>42</v>
      </c>
      <c r="AB51" s="365" t="s">
        <v>43</v>
      </c>
      <c r="AC51" s="365" t="s">
        <v>41</v>
      </c>
      <c r="AD51" s="365" t="s">
        <v>41</v>
      </c>
      <c r="AE51" s="365" t="s">
        <v>42</v>
      </c>
      <c r="AF51" s="365" t="s">
        <v>44</v>
      </c>
      <c r="AG51" s="365" t="s">
        <v>43</v>
      </c>
      <c r="AH51" s="365" t="s">
        <v>44</v>
      </c>
      <c r="AI51" s="365" t="s">
        <v>41</v>
      </c>
      <c r="AJ51" s="365" t="s">
        <v>42</v>
      </c>
      <c r="AK51" s="365" t="s">
        <v>43</v>
      </c>
      <c r="AL51" s="365" t="s">
        <v>42</v>
      </c>
      <c r="AM51" s="365" t="s">
        <v>41</v>
      </c>
      <c r="AN51" s="365" t="s">
        <v>44</v>
      </c>
      <c r="AO51" s="365" t="s">
        <v>42</v>
      </c>
      <c r="AP51" s="365" t="s">
        <v>43</v>
      </c>
      <c r="AQ51" s="365" t="s">
        <v>43</v>
      </c>
      <c r="AR51" s="365" t="s">
        <v>41</v>
      </c>
      <c r="AS51" s="365" t="s">
        <v>41</v>
      </c>
      <c r="AT51" s="365" t="s">
        <v>42</v>
      </c>
      <c r="AU51" s="368"/>
      <c r="AV51" s="369" t="s">
        <v>44</v>
      </c>
      <c r="AW51" s="370">
        <v>4.0</v>
      </c>
      <c r="AX51" s="370">
        <v>3.0</v>
      </c>
      <c r="AY51" s="370">
        <v>3.0</v>
      </c>
      <c r="AZ51" s="370">
        <v>3.0</v>
      </c>
      <c r="BA51" s="371">
        <f t="shared" si="1"/>
        <v>81.25</v>
      </c>
      <c r="BB51" s="372" t="str">
        <f t="shared" si="2"/>
        <v>Avançado</v>
      </c>
      <c r="BC51" s="373"/>
      <c r="BD51" s="374">
        <f t="shared" si="3"/>
        <v>17</v>
      </c>
      <c r="BE51" s="374">
        <f t="shared" si="4"/>
        <v>396</v>
      </c>
      <c r="BF51" s="375" t="str">
        <f t="shared" si="5"/>
        <v>Avançado</v>
      </c>
      <c r="BG51" s="376">
        <f t="shared" si="6"/>
        <v>20</v>
      </c>
      <c r="BH51" s="374">
        <f t="shared" si="7"/>
        <v>456</v>
      </c>
      <c r="BI51" s="377" t="str">
        <f t="shared" si="8"/>
        <v>Avançado</v>
      </c>
      <c r="BJ51" s="25"/>
      <c r="BK51" s="25"/>
    </row>
    <row r="52" ht="15.75" customHeight="1">
      <c r="A52" s="82">
        <v>23.0</v>
      </c>
      <c r="B52" s="378" t="s">
        <v>276</v>
      </c>
      <c r="C52" s="363" t="s">
        <v>199</v>
      </c>
      <c r="D52" s="379" t="s">
        <v>44</v>
      </c>
      <c r="E52" s="365" t="s">
        <v>41</v>
      </c>
      <c r="F52" s="365" t="s">
        <v>41</v>
      </c>
      <c r="G52" s="365" t="s">
        <v>42</v>
      </c>
      <c r="H52" s="365" t="s">
        <v>41</v>
      </c>
      <c r="I52" s="365" t="s">
        <v>42</v>
      </c>
      <c r="J52" s="365" t="s">
        <v>43</v>
      </c>
      <c r="K52" s="365" t="s">
        <v>42</v>
      </c>
      <c r="L52" s="365" t="s">
        <v>44</v>
      </c>
      <c r="M52" s="365" t="s">
        <v>41</v>
      </c>
      <c r="N52" s="365" t="s">
        <v>41</v>
      </c>
      <c r="O52" s="365" t="s">
        <v>41</v>
      </c>
      <c r="P52" s="365" t="s">
        <v>44</v>
      </c>
      <c r="Q52" s="365" t="s">
        <v>42</v>
      </c>
      <c r="R52" s="365" t="s">
        <v>44</v>
      </c>
      <c r="S52" s="365" t="s">
        <v>44</v>
      </c>
      <c r="T52" s="365" t="s">
        <v>44</v>
      </c>
      <c r="U52" s="365" t="s">
        <v>41</v>
      </c>
      <c r="V52" s="365" t="s">
        <v>43</v>
      </c>
      <c r="W52" s="365" t="s">
        <v>42</v>
      </c>
      <c r="X52" s="366" t="s">
        <v>173</v>
      </c>
      <c r="Y52" s="367" t="s">
        <v>44</v>
      </c>
      <c r="Z52" s="365" t="s">
        <v>42</v>
      </c>
      <c r="AA52" s="365" t="s">
        <v>43</v>
      </c>
      <c r="AB52" s="365" t="s">
        <v>42</v>
      </c>
      <c r="AC52" s="365" t="s">
        <v>42</v>
      </c>
      <c r="AD52" s="365" t="s">
        <v>44</v>
      </c>
      <c r="AE52" s="365" t="s">
        <v>42</v>
      </c>
      <c r="AF52" s="365" t="s">
        <v>43</v>
      </c>
      <c r="AG52" s="365" t="s">
        <v>41</v>
      </c>
      <c r="AH52" s="365" t="s">
        <v>43</v>
      </c>
      <c r="AI52" s="365" t="s">
        <v>44</v>
      </c>
      <c r="AJ52" s="365" t="s">
        <v>43</v>
      </c>
      <c r="AK52" s="365" t="s">
        <v>44</v>
      </c>
      <c r="AL52" s="365" t="s">
        <v>42</v>
      </c>
      <c r="AM52" s="365" t="s">
        <v>42</v>
      </c>
      <c r="AN52" s="365" t="s">
        <v>41</v>
      </c>
      <c r="AO52" s="365" t="s">
        <v>41</v>
      </c>
      <c r="AP52" s="365" t="s">
        <v>44</v>
      </c>
      <c r="AQ52" s="365" t="s">
        <v>43</v>
      </c>
      <c r="AR52" s="365" t="s">
        <v>42</v>
      </c>
      <c r="AS52" s="365" t="s">
        <v>41</v>
      </c>
      <c r="AT52" s="365" t="s">
        <v>44</v>
      </c>
      <c r="AU52" s="368"/>
      <c r="AV52" s="369" t="s">
        <v>41</v>
      </c>
      <c r="AW52" s="370" t="s">
        <v>173</v>
      </c>
      <c r="AX52" s="370" t="s">
        <v>173</v>
      </c>
      <c r="AY52" s="370" t="s">
        <v>173</v>
      </c>
      <c r="AZ52" s="370" t="s">
        <v>173</v>
      </c>
      <c r="BA52" s="371">
        <f t="shared" si="1"/>
        <v>0</v>
      </c>
      <c r="BB52" s="372" t="str">
        <f t="shared" si="2"/>
        <v>Abaixo do Básico</v>
      </c>
      <c r="BC52" s="373"/>
      <c r="BD52" s="374">
        <f t="shared" si="3"/>
        <v>11</v>
      </c>
      <c r="BE52" s="374">
        <f t="shared" si="4"/>
        <v>288</v>
      </c>
      <c r="BF52" s="375" t="str">
        <f t="shared" si="5"/>
        <v>Adequado</v>
      </c>
      <c r="BG52" s="376">
        <f t="shared" si="6"/>
        <v>4</v>
      </c>
      <c r="BH52" s="374">
        <f t="shared" si="7"/>
        <v>83</v>
      </c>
      <c r="BI52" s="377" t="str">
        <f t="shared" si="8"/>
        <v>Abaixo do Básico</v>
      </c>
      <c r="BJ52" s="25"/>
      <c r="BK52" s="25"/>
    </row>
    <row r="53" ht="15.75" customHeight="1">
      <c r="A53" s="82">
        <v>24.0</v>
      </c>
      <c r="B53" s="378" t="s">
        <v>277</v>
      </c>
      <c r="C53" s="363" t="s">
        <v>170</v>
      </c>
      <c r="D53" s="379" t="s">
        <v>41</v>
      </c>
      <c r="E53" s="365" t="s">
        <v>42</v>
      </c>
      <c r="F53" s="365" t="s">
        <v>41</v>
      </c>
      <c r="G53" s="365" t="s">
        <v>44</v>
      </c>
      <c r="H53" s="365" t="s">
        <v>42</v>
      </c>
      <c r="I53" s="365" t="s">
        <v>43</v>
      </c>
      <c r="J53" s="365" t="s">
        <v>44</v>
      </c>
      <c r="K53" s="365" t="s">
        <v>44</v>
      </c>
      <c r="L53" s="365" t="s">
        <v>41</v>
      </c>
      <c r="M53" s="365" t="s">
        <v>42</v>
      </c>
      <c r="N53" s="365" t="s">
        <v>41</v>
      </c>
      <c r="O53" s="365" t="s">
        <v>41</v>
      </c>
      <c r="P53" s="365" t="s">
        <v>42</v>
      </c>
      <c r="Q53" s="365" t="s">
        <v>41</v>
      </c>
      <c r="R53" s="365" t="s">
        <v>42</v>
      </c>
      <c r="S53" s="365" t="s">
        <v>44</v>
      </c>
      <c r="T53" s="365" t="s">
        <v>42</v>
      </c>
      <c r="U53" s="365" t="s">
        <v>41</v>
      </c>
      <c r="V53" s="365" t="s">
        <v>41</v>
      </c>
      <c r="W53" s="365" t="s">
        <v>41</v>
      </c>
      <c r="X53" s="366" t="s">
        <v>43</v>
      </c>
      <c r="Y53" s="367" t="s">
        <v>44</v>
      </c>
      <c r="Z53" s="365" t="s">
        <v>43</v>
      </c>
      <c r="AA53" s="365" t="s">
        <v>42</v>
      </c>
      <c r="AB53" s="365" t="s">
        <v>43</v>
      </c>
      <c r="AC53" s="365" t="s">
        <v>41</v>
      </c>
      <c r="AD53" s="365" t="s">
        <v>41</v>
      </c>
      <c r="AE53" s="365" t="s">
        <v>41</v>
      </c>
      <c r="AF53" s="365" t="s">
        <v>44</v>
      </c>
      <c r="AG53" s="365" t="s">
        <v>43</v>
      </c>
      <c r="AH53" s="365" t="s">
        <v>44</v>
      </c>
      <c r="AI53" s="365" t="s">
        <v>41</v>
      </c>
      <c r="AJ53" s="365" t="s">
        <v>42</v>
      </c>
      <c r="AK53" s="365" t="s">
        <v>43</v>
      </c>
      <c r="AL53" s="365" t="s">
        <v>42</v>
      </c>
      <c r="AM53" s="365" t="s">
        <v>44</v>
      </c>
      <c r="AN53" s="365" t="s">
        <v>43</v>
      </c>
      <c r="AO53" s="365" t="s">
        <v>42</v>
      </c>
      <c r="AP53" s="365" t="s">
        <v>41</v>
      </c>
      <c r="AQ53" s="365" t="s">
        <v>43</v>
      </c>
      <c r="AR53" s="365" t="s">
        <v>41</v>
      </c>
      <c r="AS53" s="365" t="s">
        <v>41</v>
      </c>
      <c r="AT53" s="365" t="s">
        <v>42</v>
      </c>
      <c r="AU53" s="380"/>
      <c r="AV53" s="369" t="s">
        <v>41</v>
      </c>
      <c r="AW53" s="370" t="s">
        <v>173</v>
      </c>
      <c r="AX53" s="370" t="s">
        <v>173</v>
      </c>
      <c r="AY53" s="370" t="s">
        <v>173</v>
      </c>
      <c r="AZ53" s="370" t="s">
        <v>173</v>
      </c>
      <c r="BA53" s="371">
        <f t="shared" si="1"/>
        <v>0</v>
      </c>
      <c r="BB53" s="372" t="str">
        <f t="shared" si="2"/>
        <v>Abaixo do Básico</v>
      </c>
      <c r="BC53" s="373"/>
      <c r="BD53" s="374">
        <f t="shared" si="3"/>
        <v>9</v>
      </c>
      <c r="BE53" s="374">
        <f t="shared" si="4"/>
        <v>234</v>
      </c>
      <c r="BF53" s="375" t="str">
        <f t="shared" si="5"/>
        <v>Básico</v>
      </c>
      <c r="BG53" s="376">
        <f t="shared" si="6"/>
        <v>16</v>
      </c>
      <c r="BH53" s="374">
        <f t="shared" si="7"/>
        <v>373</v>
      </c>
      <c r="BI53" s="377" t="str">
        <f t="shared" si="8"/>
        <v>Adequado</v>
      </c>
      <c r="BJ53" s="25"/>
      <c r="BK53" s="25"/>
    </row>
    <row r="54" ht="15.75" customHeight="1">
      <c r="A54" s="82">
        <v>25.0</v>
      </c>
      <c r="B54" s="378" t="s">
        <v>278</v>
      </c>
      <c r="C54" s="363" t="s">
        <v>170</v>
      </c>
      <c r="D54" s="379" t="s">
        <v>172</v>
      </c>
      <c r="E54" s="365" t="s">
        <v>172</v>
      </c>
      <c r="F54" s="365" t="s">
        <v>172</v>
      </c>
      <c r="G54" s="365" t="s">
        <v>172</v>
      </c>
      <c r="H54" s="365" t="s">
        <v>172</v>
      </c>
      <c r="I54" s="365" t="s">
        <v>172</v>
      </c>
      <c r="J54" s="365" t="s">
        <v>172</v>
      </c>
      <c r="K54" s="365" t="s">
        <v>172</v>
      </c>
      <c r="L54" s="365" t="s">
        <v>172</v>
      </c>
      <c r="M54" s="365" t="s">
        <v>172</v>
      </c>
      <c r="N54" s="365" t="s">
        <v>172</v>
      </c>
      <c r="O54" s="365" t="s">
        <v>172</v>
      </c>
      <c r="P54" s="365" t="s">
        <v>172</v>
      </c>
      <c r="Q54" s="365" t="s">
        <v>172</v>
      </c>
      <c r="R54" s="365" t="s">
        <v>172</v>
      </c>
      <c r="S54" s="365" t="s">
        <v>172</v>
      </c>
      <c r="T54" s="365" t="s">
        <v>172</v>
      </c>
      <c r="U54" s="365" t="s">
        <v>172</v>
      </c>
      <c r="V54" s="365" t="s">
        <v>172</v>
      </c>
      <c r="W54" s="365" t="s">
        <v>172</v>
      </c>
      <c r="X54" s="366" t="s">
        <v>172</v>
      </c>
      <c r="Y54" s="367" t="s">
        <v>172</v>
      </c>
      <c r="Z54" s="365" t="s">
        <v>172</v>
      </c>
      <c r="AA54" s="365" t="s">
        <v>172</v>
      </c>
      <c r="AB54" s="365" t="s">
        <v>172</v>
      </c>
      <c r="AC54" s="365" t="s">
        <v>172</v>
      </c>
      <c r="AD54" s="365" t="s">
        <v>172</v>
      </c>
      <c r="AE54" s="365" t="s">
        <v>172</v>
      </c>
      <c r="AF54" s="365" t="s">
        <v>172</v>
      </c>
      <c r="AG54" s="365" t="s">
        <v>172</v>
      </c>
      <c r="AH54" s="365" t="s">
        <v>172</v>
      </c>
      <c r="AI54" s="365" t="s">
        <v>172</v>
      </c>
      <c r="AJ54" s="365" t="s">
        <v>172</v>
      </c>
      <c r="AK54" s="365" t="s">
        <v>172</v>
      </c>
      <c r="AL54" s="365" t="s">
        <v>172</v>
      </c>
      <c r="AM54" s="365" t="s">
        <v>172</v>
      </c>
      <c r="AN54" s="365" t="s">
        <v>172</v>
      </c>
      <c r="AO54" s="365" t="s">
        <v>172</v>
      </c>
      <c r="AP54" s="365" t="s">
        <v>172</v>
      </c>
      <c r="AQ54" s="365" t="s">
        <v>172</v>
      </c>
      <c r="AR54" s="365" t="s">
        <v>172</v>
      </c>
      <c r="AS54" s="365" t="s">
        <v>172</v>
      </c>
      <c r="AT54" s="365" t="s">
        <v>172</v>
      </c>
      <c r="AU54" s="368"/>
      <c r="AV54" s="369" t="s">
        <v>172</v>
      </c>
      <c r="AW54" s="370" t="s">
        <v>173</v>
      </c>
      <c r="AX54" s="370" t="s">
        <v>173</v>
      </c>
      <c r="AY54" s="370" t="s">
        <v>173</v>
      </c>
      <c r="AZ54" s="370" t="s">
        <v>173</v>
      </c>
      <c r="BA54" s="371">
        <f t="shared" si="1"/>
        <v>0</v>
      </c>
      <c r="BB54" s="372" t="str">
        <f t="shared" si="2"/>
        <v>Abaixo do Básico</v>
      </c>
      <c r="BC54" s="373"/>
      <c r="BD54" s="374">
        <f t="shared" si="3"/>
        <v>0</v>
      </c>
      <c r="BE54" s="374">
        <f t="shared" si="4"/>
        <v>0</v>
      </c>
      <c r="BF54" s="375" t="str">
        <f t="shared" si="5"/>
        <v>Abaixo do Básico</v>
      </c>
      <c r="BG54" s="376">
        <f t="shared" si="6"/>
        <v>0</v>
      </c>
      <c r="BH54" s="374">
        <f t="shared" si="7"/>
        <v>0</v>
      </c>
      <c r="BI54" s="377" t="str">
        <f t="shared" si="8"/>
        <v>Abaixo do Básico</v>
      </c>
      <c r="BJ54" s="25"/>
      <c r="BK54" s="25"/>
    </row>
    <row r="55" ht="15.75" customHeight="1">
      <c r="A55" s="82">
        <v>26.0</v>
      </c>
      <c r="B55" s="378" t="s">
        <v>279</v>
      </c>
      <c r="C55" s="363" t="s">
        <v>170</v>
      </c>
      <c r="D55" s="379" t="s">
        <v>41</v>
      </c>
      <c r="E55" s="365" t="s">
        <v>41</v>
      </c>
      <c r="F55" s="365" t="s">
        <v>41</v>
      </c>
      <c r="G55" s="365" t="s">
        <v>42</v>
      </c>
      <c r="H55" s="365" t="s">
        <v>42</v>
      </c>
      <c r="I55" s="365" t="s">
        <v>42</v>
      </c>
      <c r="J55" s="365" t="s">
        <v>42</v>
      </c>
      <c r="K55" s="365" t="s">
        <v>42</v>
      </c>
      <c r="L55" s="365" t="s">
        <v>44</v>
      </c>
      <c r="M55" s="365" t="s">
        <v>41</v>
      </c>
      <c r="N55" s="365" t="s">
        <v>44</v>
      </c>
      <c r="O55" s="365" t="s">
        <v>44</v>
      </c>
      <c r="P55" s="365" t="s">
        <v>44</v>
      </c>
      <c r="Q55" s="365" t="s">
        <v>42</v>
      </c>
      <c r="R55" s="365" t="s">
        <v>42</v>
      </c>
      <c r="S55" s="365" t="s">
        <v>44</v>
      </c>
      <c r="T55" s="365" t="s">
        <v>42</v>
      </c>
      <c r="U55" s="365" t="s">
        <v>43</v>
      </c>
      <c r="V55" s="365" t="s">
        <v>41</v>
      </c>
      <c r="W55" s="365" t="s">
        <v>43</v>
      </c>
      <c r="X55" s="366" t="s">
        <v>42</v>
      </c>
      <c r="Y55" s="367" t="s">
        <v>44</v>
      </c>
      <c r="Z55" s="365" t="s">
        <v>43</v>
      </c>
      <c r="AA55" s="365" t="s">
        <v>42</v>
      </c>
      <c r="AB55" s="365" t="s">
        <v>43</v>
      </c>
      <c r="AC55" s="365" t="s">
        <v>41</v>
      </c>
      <c r="AD55" s="365" t="s">
        <v>41</v>
      </c>
      <c r="AE55" s="365" t="s">
        <v>42</v>
      </c>
      <c r="AF55" s="365" t="s">
        <v>44</v>
      </c>
      <c r="AG55" s="365" t="s">
        <v>43</v>
      </c>
      <c r="AH55" s="365" t="s">
        <v>44</v>
      </c>
      <c r="AI55" s="365" t="s">
        <v>41</v>
      </c>
      <c r="AJ55" s="365" t="s">
        <v>42</v>
      </c>
      <c r="AK55" s="365" t="s">
        <v>43</v>
      </c>
      <c r="AL55" s="365" t="s">
        <v>42</v>
      </c>
      <c r="AM55" s="365" t="s">
        <v>41</v>
      </c>
      <c r="AN55" s="365" t="s">
        <v>44</v>
      </c>
      <c r="AO55" s="365" t="s">
        <v>42</v>
      </c>
      <c r="AP55" s="365" t="s">
        <v>41</v>
      </c>
      <c r="AQ55" s="365" t="s">
        <v>43</v>
      </c>
      <c r="AR55" s="365" t="s">
        <v>41</v>
      </c>
      <c r="AS55" s="365" t="s">
        <v>41</v>
      </c>
      <c r="AT55" s="365" t="s">
        <v>43</v>
      </c>
      <c r="AU55" s="368"/>
      <c r="AV55" s="369" t="s">
        <v>44</v>
      </c>
      <c r="AW55" s="370">
        <v>3.0</v>
      </c>
      <c r="AX55" s="370">
        <v>3.0</v>
      </c>
      <c r="AY55" s="370">
        <v>2.0</v>
      </c>
      <c r="AZ55" s="370">
        <v>2.0</v>
      </c>
      <c r="BA55" s="371">
        <f t="shared" si="1"/>
        <v>62.5</v>
      </c>
      <c r="BB55" s="372" t="str">
        <f t="shared" si="2"/>
        <v>Adequado</v>
      </c>
      <c r="BC55" s="373"/>
      <c r="BD55" s="374">
        <f t="shared" si="3"/>
        <v>14</v>
      </c>
      <c r="BE55" s="374">
        <f t="shared" si="4"/>
        <v>288</v>
      </c>
      <c r="BF55" s="375" t="str">
        <f t="shared" si="5"/>
        <v>Adequado</v>
      </c>
      <c r="BG55" s="376">
        <f t="shared" si="6"/>
        <v>18</v>
      </c>
      <c r="BH55" s="374">
        <f t="shared" si="7"/>
        <v>406</v>
      </c>
      <c r="BI55" s="377" t="str">
        <f t="shared" si="8"/>
        <v>Avançado</v>
      </c>
      <c r="BJ55" s="25"/>
      <c r="BK55" s="25"/>
    </row>
    <row r="56" ht="15.75" customHeight="1">
      <c r="A56" s="82">
        <v>27.0</v>
      </c>
      <c r="B56" s="378" t="s">
        <v>280</v>
      </c>
      <c r="C56" s="363" t="s">
        <v>170</v>
      </c>
      <c r="D56" s="379" t="s">
        <v>41</v>
      </c>
      <c r="E56" s="365" t="s">
        <v>41</v>
      </c>
      <c r="F56" s="365" t="s">
        <v>41</v>
      </c>
      <c r="G56" s="365" t="s">
        <v>42</v>
      </c>
      <c r="H56" s="365" t="s">
        <v>42</v>
      </c>
      <c r="I56" s="365" t="s">
        <v>42</v>
      </c>
      <c r="J56" s="365" t="s">
        <v>42</v>
      </c>
      <c r="K56" s="365" t="s">
        <v>42</v>
      </c>
      <c r="L56" s="365" t="s">
        <v>44</v>
      </c>
      <c r="M56" s="365" t="s">
        <v>41</v>
      </c>
      <c r="N56" s="365" t="s">
        <v>44</v>
      </c>
      <c r="O56" s="365" t="s">
        <v>44</v>
      </c>
      <c r="P56" s="365" t="s">
        <v>44</v>
      </c>
      <c r="Q56" s="365" t="s">
        <v>42</v>
      </c>
      <c r="R56" s="365" t="s">
        <v>42</v>
      </c>
      <c r="S56" s="365" t="s">
        <v>44</v>
      </c>
      <c r="T56" s="365" t="s">
        <v>42</v>
      </c>
      <c r="U56" s="365" t="s">
        <v>43</v>
      </c>
      <c r="V56" s="365" t="s">
        <v>41</v>
      </c>
      <c r="W56" s="365" t="s">
        <v>43</v>
      </c>
      <c r="X56" s="366" t="s">
        <v>42</v>
      </c>
      <c r="Y56" s="367" t="s">
        <v>44</v>
      </c>
      <c r="Z56" s="365" t="s">
        <v>43</v>
      </c>
      <c r="AA56" s="365" t="s">
        <v>42</v>
      </c>
      <c r="AB56" s="365" t="s">
        <v>43</v>
      </c>
      <c r="AC56" s="365" t="s">
        <v>41</v>
      </c>
      <c r="AD56" s="365" t="s">
        <v>41</v>
      </c>
      <c r="AE56" s="365" t="s">
        <v>42</v>
      </c>
      <c r="AF56" s="365" t="s">
        <v>44</v>
      </c>
      <c r="AG56" s="365" t="s">
        <v>43</v>
      </c>
      <c r="AH56" s="365" t="s">
        <v>44</v>
      </c>
      <c r="AI56" s="365" t="s">
        <v>41</v>
      </c>
      <c r="AJ56" s="365" t="s">
        <v>42</v>
      </c>
      <c r="AK56" s="365" t="s">
        <v>43</v>
      </c>
      <c r="AL56" s="365" t="s">
        <v>42</v>
      </c>
      <c r="AM56" s="365" t="s">
        <v>41</v>
      </c>
      <c r="AN56" s="365" t="s">
        <v>44</v>
      </c>
      <c r="AO56" s="365" t="s">
        <v>42</v>
      </c>
      <c r="AP56" s="365" t="s">
        <v>41</v>
      </c>
      <c r="AQ56" s="365" t="s">
        <v>43</v>
      </c>
      <c r="AR56" s="365" t="s">
        <v>41</v>
      </c>
      <c r="AS56" s="365" t="s">
        <v>41</v>
      </c>
      <c r="AT56" s="365" t="s">
        <v>43</v>
      </c>
      <c r="AU56" s="380"/>
      <c r="AV56" s="369" t="s">
        <v>44</v>
      </c>
      <c r="AW56" s="370">
        <v>3.0</v>
      </c>
      <c r="AX56" s="370">
        <v>2.0</v>
      </c>
      <c r="AY56" s="370">
        <v>2.0</v>
      </c>
      <c r="AZ56" s="370">
        <v>2.0</v>
      </c>
      <c r="BA56" s="371">
        <f t="shared" si="1"/>
        <v>56.25</v>
      </c>
      <c r="BB56" s="372" t="str">
        <f t="shared" si="2"/>
        <v>Adequado</v>
      </c>
      <c r="BC56" s="373"/>
      <c r="BD56" s="374">
        <f t="shared" si="3"/>
        <v>14</v>
      </c>
      <c r="BE56" s="374">
        <f t="shared" si="4"/>
        <v>288</v>
      </c>
      <c r="BF56" s="375" t="str">
        <f t="shared" si="5"/>
        <v>Adequado</v>
      </c>
      <c r="BG56" s="376">
        <f t="shared" si="6"/>
        <v>18</v>
      </c>
      <c r="BH56" s="374">
        <f t="shared" si="7"/>
        <v>406</v>
      </c>
      <c r="BI56" s="377" t="str">
        <f t="shared" si="8"/>
        <v>Avançado</v>
      </c>
      <c r="BJ56" s="25"/>
      <c r="BK56" s="25"/>
    </row>
    <row r="57" ht="15.75" customHeight="1">
      <c r="A57" s="82">
        <v>28.0</v>
      </c>
      <c r="B57" s="378" t="s">
        <v>281</v>
      </c>
      <c r="C57" s="363" t="s">
        <v>170</v>
      </c>
      <c r="D57" s="379" t="s">
        <v>41</v>
      </c>
      <c r="E57" s="365" t="s">
        <v>41</v>
      </c>
      <c r="F57" s="365" t="s">
        <v>41</v>
      </c>
      <c r="G57" s="365" t="s">
        <v>42</v>
      </c>
      <c r="H57" s="365" t="s">
        <v>42</v>
      </c>
      <c r="I57" s="365" t="s">
        <v>44</v>
      </c>
      <c r="J57" s="365" t="s">
        <v>42</v>
      </c>
      <c r="K57" s="365" t="s">
        <v>42</v>
      </c>
      <c r="L57" s="365" t="s">
        <v>44</v>
      </c>
      <c r="M57" s="365" t="s">
        <v>41</v>
      </c>
      <c r="N57" s="365" t="s">
        <v>41</v>
      </c>
      <c r="O57" s="365" t="s">
        <v>41</v>
      </c>
      <c r="P57" s="365" t="s">
        <v>44</v>
      </c>
      <c r="Q57" s="365" t="s">
        <v>42</v>
      </c>
      <c r="R57" s="365" t="s">
        <v>42</v>
      </c>
      <c r="S57" s="365" t="s">
        <v>44</v>
      </c>
      <c r="T57" s="365" t="s">
        <v>44</v>
      </c>
      <c r="U57" s="365" t="s">
        <v>44</v>
      </c>
      <c r="V57" s="365" t="s">
        <v>41</v>
      </c>
      <c r="W57" s="365" t="s">
        <v>43</v>
      </c>
      <c r="X57" s="366" t="s">
        <v>42</v>
      </c>
      <c r="Y57" s="367" t="s">
        <v>44</v>
      </c>
      <c r="Z57" s="365" t="s">
        <v>43</v>
      </c>
      <c r="AA57" s="365" t="s">
        <v>42</v>
      </c>
      <c r="AB57" s="365" t="s">
        <v>43</v>
      </c>
      <c r="AC57" s="365" t="s">
        <v>41</v>
      </c>
      <c r="AD57" s="365" t="s">
        <v>42</v>
      </c>
      <c r="AE57" s="365" t="s">
        <v>42</v>
      </c>
      <c r="AF57" s="365" t="s">
        <v>44</v>
      </c>
      <c r="AG57" s="365" t="s">
        <v>43</v>
      </c>
      <c r="AH57" s="365" t="s">
        <v>44</v>
      </c>
      <c r="AI57" s="365" t="s">
        <v>41</v>
      </c>
      <c r="AJ57" s="365" t="s">
        <v>42</v>
      </c>
      <c r="AK57" s="365" t="s">
        <v>42</v>
      </c>
      <c r="AL57" s="365" t="s">
        <v>42</v>
      </c>
      <c r="AM57" s="365" t="s">
        <v>41</v>
      </c>
      <c r="AN57" s="365" t="s">
        <v>43</v>
      </c>
      <c r="AO57" s="365" t="s">
        <v>42</v>
      </c>
      <c r="AP57" s="365" t="s">
        <v>41</v>
      </c>
      <c r="AQ57" s="365" t="s">
        <v>43</v>
      </c>
      <c r="AR57" s="365" t="s">
        <v>41</v>
      </c>
      <c r="AS57" s="365" t="s">
        <v>41</v>
      </c>
      <c r="AT57" s="365" t="s">
        <v>41</v>
      </c>
      <c r="AU57" s="368"/>
      <c r="AV57" s="369" t="s">
        <v>44</v>
      </c>
      <c r="AW57" s="370">
        <v>3.0</v>
      </c>
      <c r="AX57" s="370">
        <v>3.0</v>
      </c>
      <c r="AY57" s="370">
        <v>2.0</v>
      </c>
      <c r="AZ57" s="370">
        <v>2.0</v>
      </c>
      <c r="BA57" s="371">
        <f t="shared" si="1"/>
        <v>62.5</v>
      </c>
      <c r="BB57" s="372" t="str">
        <f t="shared" si="2"/>
        <v>Adequado</v>
      </c>
      <c r="BC57" s="373"/>
      <c r="BD57" s="374">
        <f t="shared" si="3"/>
        <v>18</v>
      </c>
      <c r="BE57" s="374">
        <f t="shared" si="4"/>
        <v>405</v>
      </c>
      <c r="BF57" s="375" t="str">
        <f t="shared" si="5"/>
        <v>Avançado</v>
      </c>
      <c r="BG57" s="376">
        <f t="shared" si="6"/>
        <v>15</v>
      </c>
      <c r="BH57" s="374">
        <f t="shared" si="7"/>
        <v>331</v>
      </c>
      <c r="BI57" s="377" t="str">
        <f t="shared" si="8"/>
        <v>Adequado</v>
      </c>
      <c r="BJ57" s="25"/>
      <c r="BK57" s="25"/>
    </row>
    <row r="58" ht="15.75" customHeight="1">
      <c r="A58" s="82">
        <v>29.0</v>
      </c>
      <c r="B58" s="378" t="s">
        <v>282</v>
      </c>
      <c r="C58" s="363" t="s">
        <v>170</v>
      </c>
      <c r="D58" s="379" t="s">
        <v>44</v>
      </c>
      <c r="E58" s="365" t="s">
        <v>41</v>
      </c>
      <c r="F58" s="365" t="s">
        <v>41</v>
      </c>
      <c r="G58" s="365" t="s">
        <v>42</v>
      </c>
      <c r="H58" s="365" t="s">
        <v>42</v>
      </c>
      <c r="I58" s="365" t="s">
        <v>44</v>
      </c>
      <c r="J58" s="365" t="s">
        <v>42</v>
      </c>
      <c r="K58" s="365" t="s">
        <v>42</v>
      </c>
      <c r="L58" s="365" t="s">
        <v>44</v>
      </c>
      <c r="M58" s="365" t="s">
        <v>41</v>
      </c>
      <c r="N58" s="365" t="s">
        <v>41</v>
      </c>
      <c r="O58" s="365" t="s">
        <v>41</v>
      </c>
      <c r="P58" s="365" t="s">
        <v>44</v>
      </c>
      <c r="Q58" s="365" t="s">
        <v>42</v>
      </c>
      <c r="R58" s="365" t="s">
        <v>42</v>
      </c>
      <c r="S58" s="365" t="s">
        <v>44</v>
      </c>
      <c r="T58" s="365" t="s">
        <v>44</v>
      </c>
      <c r="U58" s="365" t="s">
        <v>44</v>
      </c>
      <c r="V58" s="365" t="s">
        <v>41</v>
      </c>
      <c r="W58" s="365" t="s">
        <v>43</v>
      </c>
      <c r="X58" s="366" t="s">
        <v>42</v>
      </c>
      <c r="Y58" s="367" t="s">
        <v>44</v>
      </c>
      <c r="Z58" s="365" t="s">
        <v>43</v>
      </c>
      <c r="AA58" s="365" t="s">
        <v>42</v>
      </c>
      <c r="AB58" s="365" t="s">
        <v>43</v>
      </c>
      <c r="AC58" s="365" t="s">
        <v>41</v>
      </c>
      <c r="AD58" s="365" t="s">
        <v>41</v>
      </c>
      <c r="AE58" s="365" t="s">
        <v>42</v>
      </c>
      <c r="AF58" s="365" t="s">
        <v>44</v>
      </c>
      <c r="AG58" s="365" t="s">
        <v>43</v>
      </c>
      <c r="AH58" s="365" t="s">
        <v>44</v>
      </c>
      <c r="AI58" s="365" t="s">
        <v>41</v>
      </c>
      <c r="AJ58" s="365" t="s">
        <v>42</v>
      </c>
      <c r="AK58" s="365" t="s">
        <v>43</v>
      </c>
      <c r="AL58" s="365" t="s">
        <v>42</v>
      </c>
      <c r="AM58" s="365" t="s">
        <v>44</v>
      </c>
      <c r="AN58" s="365" t="s">
        <v>44</v>
      </c>
      <c r="AO58" s="365" t="s">
        <v>42</v>
      </c>
      <c r="AP58" s="365" t="s">
        <v>41</v>
      </c>
      <c r="AQ58" s="365" t="s">
        <v>44</v>
      </c>
      <c r="AR58" s="365" t="s">
        <v>41</v>
      </c>
      <c r="AS58" s="365" t="s">
        <v>41</v>
      </c>
      <c r="AT58" s="365" t="s">
        <v>42</v>
      </c>
      <c r="AU58" s="368"/>
      <c r="AV58" s="369" t="s">
        <v>44</v>
      </c>
      <c r="AW58" s="370">
        <v>4.0</v>
      </c>
      <c r="AX58" s="370">
        <v>3.0</v>
      </c>
      <c r="AY58" s="370">
        <v>2.0</v>
      </c>
      <c r="AZ58" s="370">
        <v>2.0</v>
      </c>
      <c r="BA58" s="371">
        <f t="shared" si="1"/>
        <v>68.75</v>
      </c>
      <c r="BB58" s="372" t="str">
        <f t="shared" si="2"/>
        <v>Adequado</v>
      </c>
      <c r="BC58" s="373"/>
      <c r="BD58" s="374">
        <f t="shared" si="3"/>
        <v>17</v>
      </c>
      <c r="BE58" s="374">
        <f t="shared" si="4"/>
        <v>387</v>
      </c>
      <c r="BF58" s="375" t="str">
        <f t="shared" si="5"/>
        <v>Avançado</v>
      </c>
      <c r="BG58" s="376">
        <f t="shared" si="6"/>
        <v>19</v>
      </c>
      <c r="BH58" s="374">
        <f t="shared" si="7"/>
        <v>431</v>
      </c>
      <c r="BI58" s="377" t="str">
        <f t="shared" si="8"/>
        <v>Avançado</v>
      </c>
      <c r="BJ58" s="25"/>
      <c r="BK58" s="25"/>
    </row>
    <row r="59" ht="15.75" customHeight="1">
      <c r="A59" s="441">
        <v>30.0</v>
      </c>
      <c r="B59" s="378"/>
      <c r="C59" s="383"/>
      <c r="D59" s="384"/>
      <c r="E59" s="365"/>
      <c r="F59" s="365"/>
      <c r="G59" s="365"/>
      <c r="H59" s="365"/>
      <c r="I59" s="365"/>
      <c r="J59" s="365"/>
      <c r="K59" s="365"/>
      <c r="L59" s="365"/>
      <c r="M59" s="365"/>
      <c r="N59" s="365"/>
      <c r="O59" s="365"/>
      <c r="P59" s="365"/>
      <c r="Q59" s="365"/>
      <c r="R59" s="365"/>
      <c r="S59" s="365"/>
      <c r="T59" s="365"/>
      <c r="U59" s="365"/>
      <c r="V59" s="365"/>
      <c r="W59" s="365"/>
      <c r="X59" s="366"/>
      <c r="Y59" s="367"/>
      <c r="Z59" s="365"/>
      <c r="AA59" s="365"/>
      <c r="AB59" s="365"/>
      <c r="AC59" s="365"/>
      <c r="AD59" s="365"/>
      <c r="AE59" s="365"/>
      <c r="AF59" s="365"/>
      <c r="AG59" s="365"/>
      <c r="AH59" s="365"/>
      <c r="AI59" s="365"/>
      <c r="AJ59" s="365"/>
      <c r="AK59" s="365"/>
      <c r="AL59" s="365"/>
      <c r="AM59" s="365"/>
      <c r="AN59" s="365"/>
      <c r="AO59" s="365"/>
      <c r="AP59" s="365"/>
      <c r="AQ59" s="365"/>
      <c r="AR59" s="365"/>
      <c r="AS59" s="365"/>
      <c r="AT59" s="365"/>
      <c r="AU59" s="368"/>
      <c r="AV59" s="369"/>
      <c r="AW59" s="385"/>
      <c r="AX59" s="385"/>
      <c r="AY59" s="385"/>
      <c r="AZ59" s="385"/>
      <c r="BA59" s="371"/>
      <c r="BB59" s="372"/>
      <c r="BC59" s="373"/>
      <c r="BD59" s="374"/>
      <c r="BE59" s="374"/>
      <c r="BF59" s="375"/>
      <c r="BG59" s="376"/>
      <c r="BH59" s="374"/>
      <c r="BI59" s="377"/>
      <c r="BJ59" s="25"/>
      <c r="BK59" s="25"/>
    </row>
    <row r="60" ht="15.75" customHeight="1">
      <c r="A60" s="441">
        <v>31.0</v>
      </c>
      <c r="B60" s="378"/>
      <c r="C60" s="383"/>
      <c r="D60" s="384"/>
      <c r="E60" s="365"/>
      <c r="F60" s="365"/>
      <c r="G60" s="365"/>
      <c r="H60" s="365"/>
      <c r="I60" s="365"/>
      <c r="J60" s="365"/>
      <c r="K60" s="365"/>
      <c r="L60" s="365"/>
      <c r="M60" s="365"/>
      <c r="N60" s="365"/>
      <c r="O60" s="365"/>
      <c r="P60" s="365"/>
      <c r="Q60" s="365"/>
      <c r="R60" s="365"/>
      <c r="S60" s="365"/>
      <c r="T60" s="365"/>
      <c r="U60" s="365"/>
      <c r="V60" s="365"/>
      <c r="W60" s="365"/>
      <c r="X60" s="366"/>
      <c r="Y60" s="367"/>
      <c r="Z60" s="365"/>
      <c r="AA60" s="365"/>
      <c r="AB60" s="365"/>
      <c r="AC60" s="365"/>
      <c r="AD60" s="365"/>
      <c r="AE60" s="365"/>
      <c r="AF60" s="365"/>
      <c r="AG60" s="365"/>
      <c r="AH60" s="365"/>
      <c r="AI60" s="365"/>
      <c r="AJ60" s="365"/>
      <c r="AK60" s="365"/>
      <c r="AL60" s="365"/>
      <c r="AM60" s="365"/>
      <c r="AN60" s="365"/>
      <c r="AO60" s="365"/>
      <c r="AP60" s="365"/>
      <c r="AQ60" s="365"/>
      <c r="AR60" s="365"/>
      <c r="AS60" s="365"/>
      <c r="AT60" s="365"/>
      <c r="AU60" s="368"/>
      <c r="AV60" s="369"/>
      <c r="AW60" s="385"/>
      <c r="AX60" s="385"/>
      <c r="AY60" s="385"/>
      <c r="AZ60" s="385"/>
      <c r="BA60" s="371"/>
      <c r="BB60" s="372"/>
      <c r="BC60" s="373"/>
      <c r="BD60" s="374"/>
      <c r="BE60" s="374"/>
      <c r="BF60" s="375"/>
      <c r="BG60" s="376"/>
      <c r="BH60" s="374"/>
      <c r="BI60" s="377"/>
      <c r="BJ60" s="25"/>
      <c r="BK60" s="25"/>
    </row>
    <row r="61" ht="15.75" customHeight="1">
      <c r="A61" s="441">
        <v>32.0</v>
      </c>
      <c r="B61" s="378"/>
      <c r="C61" s="383"/>
      <c r="D61" s="384"/>
      <c r="E61" s="365"/>
      <c r="F61" s="365"/>
      <c r="G61" s="365"/>
      <c r="H61" s="365"/>
      <c r="I61" s="365"/>
      <c r="J61" s="365"/>
      <c r="K61" s="365"/>
      <c r="L61" s="365"/>
      <c r="M61" s="365"/>
      <c r="N61" s="365"/>
      <c r="O61" s="365"/>
      <c r="P61" s="365"/>
      <c r="Q61" s="365"/>
      <c r="R61" s="365"/>
      <c r="S61" s="365"/>
      <c r="T61" s="365"/>
      <c r="U61" s="365"/>
      <c r="V61" s="365"/>
      <c r="W61" s="365"/>
      <c r="X61" s="366"/>
      <c r="Y61" s="367"/>
      <c r="Z61" s="365"/>
      <c r="AA61" s="365"/>
      <c r="AB61" s="365"/>
      <c r="AC61" s="365"/>
      <c r="AD61" s="365"/>
      <c r="AE61" s="365"/>
      <c r="AF61" s="365"/>
      <c r="AG61" s="365"/>
      <c r="AH61" s="365"/>
      <c r="AI61" s="365"/>
      <c r="AJ61" s="365"/>
      <c r="AK61" s="365"/>
      <c r="AL61" s="365"/>
      <c r="AM61" s="365"/>
      <c r="AN61" s="365"/>
      <c r="AO61" s="365"/>
      <c r="AP61" s="365"/>
      <c r="AQ61" s="365"/>
      <c r="AR61" s="365"/>
      <c r="AS61" s="365"/>
      <c r="AT61" s="365"/>
      <c r="AU61" s="368"/>
      <c r="AV61" s="369"/>
      <c r="AW61" s="385"/>
      <c r="AX61" s="385"/>
      <c r="AY61" s="385"/>
      <c r="AZ61" s="385"/>
      <c r="BA61" s="371"/>
      <c r="BB61" s="372"/>
      <c r="BC61" s="373"/>
      <c r="BD61" s="374"/>
      <c r="BE61" s="374"/>
      <c r="BF61" s="375"/>
      <c r="BG61" s="376"/>
      <c r="BH61" s="374"/>
      <c r="BI61" s="377"/>
      <c r="BJ61" s="25"/>
      <c r="BK61" s="25"/>
    </row>
    <row r="62" ht="15.75" customHeight="1">
      <c r="A62" s="441">
        <v>33.0</v>
      </c>
      <c r="B62" s="378"/>
      <c r="C62" s="383"/>
      <c r="D62" s="384"/>
      <c r="E62" s="365"/>
      <c r="F62" s="365"/>
      <c r="G62" s="365"/>
      <c r="H62" s="365"/>
      <c r="I62" s="365"/>
      <c r="J62" s="365"/>
      <c r="K62" s="365"/>
      <c r="L62" s="365"/>
      <c r="M62" s="365"/>
      <c r="N62" s="365"/>
      <c r="O62" s="365"/>
      <c r="P62" s="365"/>
      <c r="Q62" s="365"/>
      <c r="R62" s="365"/>
      <c r="S62" s="365"/>
      <c r="T62" s="365"/>
      <c r="U62" s="365"/>
      <c r="V62" s="365"/>
      <c r="W62" s="365"/>
      <c r="X62" s="366"/>
      <c r="Y62" s="367"/>
      <c r="Z62" s="365"/>
      <c r="AA62" s="365"/>
      <c r="AB62" s="365"/>
      <c r="AC62" s="365"/>
      <c r="AD62" s="365"/>
      <c r="AE62" s="365"/>
      <c r="AF62" s="365"/>
      <c r="AG62" s="365"/>
      <c r="AH62" s="365"/>
      <c r="AI62" s="365"/>
      <c r="AJ62" s="365"/>
      <c r="AK62" s="365"/>
      <c r="AL62" s="365"/>
      <c r="AM62" s="365"/>
      <c r="AN62" s="365"/>
      <c r="AO62" s="365"/>
      <c r="AP62" s="365"/>
      <c r="AQ62" s="365"/>
      <c r="AR62" s="365"/>
      <c r="AS62" s="365"/>
      <c r="AT62" s="365"/>
      <c r="AU62" s="368"/>
      <c r="AV62" s="369"/>
      <c r="AW62" s="385"/>
      <c r="AX62" s="385"/>
      <c r="AY62" s="385"/>
      <c r="AZ62" s="385"/>
      <c r="BA62" s="371"/>
      <c r="BB62" s="372"/>
      <c r="BC62" s="373"/>
      <c r="BD62" s="374"/>
      <c r="BE62" s="374"/>
      <c r="BF62" s="375"/>
      <c r="BG62" s="376"/>
      <c r="BH62" s="374"/>
      <c r="BI62" s="377"/>
      <c r="BJ62" s="25"/>
      <c r="BK62" s="25"/>
    </row>
    <row r="63" ht="15.75" customHeight="1">
      <c r="A63" s="441">
        <v>34.0</v>
      </c>
      <c r="B63" s="378"/>
      <c r="C63" s="383"/>
      <c r="D63" s="384"/>
      <c r="E63" s="365"/>
      <c r="F63" s="365"/>
      <c r="G63" s="365"/>
      <c r="H63" s="365"/>
      <c r="I63" s="365"/>
      <c r="J63" s="365"/>
      <c r="K63" s="365"/>
      <c r="L63" s="365"/>
      <c r="M63" s="365"/>
      <c r="N63" s="365"/>
      <c r="O63" s="365"/>
      <c r="P63" s="365"/>
      <c r="Q63" s="365"/>
      <c r="R63" s="365"/>
      <c r="S63" s="365"/>
      <c r="T63" s="365"/>
      <c r="U63" s="365"/>
      <c r="V63" s="365"/>
      <c r="W63" s="365"/>
      <c r="X63" s="366"/>
      <c r="Y63" s="367"/>
      <c r="Z63" s="365"/>
      <c r="AA63" s="365"/>
      <c r="AB63" s="365"/>
      <c r="AC63" s="365"/>
      <c r="AD63" s="365"/>
      <c r="AE63" s="365"/>
      <c r="AF63" s="365"/>
      <c r="AG63" s="365"/>
      <c r="AH63" s="365"/>
      <c r="AI63" s="365"/>
      <c r="AJ63" s="365"/>
      <c r="AK63" s="365"/>
      <c r="AL63" s="365"/>
      <c r="AM63" s="365"/>
      <c r="AN63" s="365"/>
      <c r="AO63" s="365"/>
      <c r="AP63" s="365"/>
      <c r="AQ63" s="365"/>
      <c r="AR63" s="365"/>
      <c r="AS63" s="365"/>
      <c r="AT63" s="365"/>
      <c r="AU63" s="368"/>
      <c r="AV63" s="369"/>
      <c r="AW63" s="385"/>
      <c r="AX63" s="385"/>
      <c r="AY63" s="385"/>
      <c r="AZ63" s="385"/>
      <c r="BA63" s="371"/>
      <c r="BB63" s="372"/>
      <c r="BC63" s="373"/>
      <c r="BD63" s="374"/>
      <c r="BE63" s="374"/>
      <c r="BF63" s="375"/>
      <c r="BG63" s="376"/>
      <c r="BH63" s="374"/>
      <c r="BI63" s="377"/>
      <c r="BJ63" s="25"/>
      <c r="BK63" s="25"/>
    </row>
    <row r="64" ht="15.75" customHeight="1">
      <c r="A64" s="441">
        <v>35.0</v>
      </c>
      <c r="B64" s="378"/>
      <c r="C64" s="383"/>
      <c r="D64" s="384"/>
      <c r="E64" s="365"/>
      <c r="F64" s="365"/>
      <c r="G64" s="365"/>
      <c r="H64" s="365"/>
      <c r="I64" s="365"/>
      <c r="J64" s="365"/>
      <c r="K64" s="365"/>
      <c r="L64" s="365"/>
      <c r="M64" s="365"/>
      <c r="N64" s="365"/>
      <c r="O64" s="365"/>
      <c r="P64" s="365"/>
      <c r="Q64" s="365"/>
      <c r="R64" s="365"/>
      <c r="S64" s="365"/>
      <c r="T64" s="365"/>
      <c r="U64" s="365"/>
      <c r="V64" s="365"/>
      <c r="W64" s="365"/>
      <c r="X64" s="366"/>
      <c r="Y64" s="367"/>
      <c r="Z64" s="365"/>
      <c r="AA64" s="365"/>
      <c r="AB64" s="365"/>
      <c r="AC64" s="365"/>
      <c r="AD64" s="365"/>
      <c r="AE64" s="365"/>
      <c r="AF64" s="365"/>
      <c r="AG64" s="365"/>
      <c r="AH64" s="365"/>
      <c r="AI64" s="365"/>
      <c r="AJ64" s="365"/>
      <c r="AK64" s="365"/>
      <c r="AL64" s="365"/>
      <c r="AM64" s="365"/>
      <c r="AN64" s="365"/>
      <c r="AO64" s="365"/>
      <c r="AP64" s="365"/>
      <c r="AQ64" s="365"/>
      <c r="AR64" s="365"/>
      <c r="AS64" s="365"/>
      <c r="AT64" s="365"/>
      <c r="AU64" s="368"/>
      <c r="AV64" s="369"/>
      <c r="AW64" s="385"/>
      <c r="AX64" s="385"/>
      <c r="AY64" s="385"/>
      <c r="AZ64" s="385"/>
      <c r="BA64" s="371"/>
      <c r="BB64" s="372"/>
      <c r="BC64" s="373"/>
      <c r="BD64" s="374"/>
      <c r="BE64" s="374"/>
      <c r="BF64" s="375"/>
      <c r="BG64" s="376"/>
      <c r="BH64" s="374"/>
      <c r="BI64" s="377"/>
      <c r="BJ64" s="25"/>
      <c r="BK64" s="25"/>
    </row>
    <row r="65" ht="15.75" customHeight="1">
      <c r="A65" s="441">
        <v>36.0</v>
      </c>
      <c r="B65" s="378"/>
      <c r="C65" s="383"/>
      <c r="D65" s="384"/>
      <c r="E65" s="365"/>
      <c r="F65" s="365"/>
      <c r="G65" s="365"/>
      <c r="H65" s="365"/>
      <c r="I65" s="365"/>
      <c r="J65" s="365"/>
      <c r="K65" s="365"/>
      <c r="L65" s="365"/>
      <c r="M65" s="365"/>
      <c r="N65" s="365"/>
      <c r="O65" s="365"/>
      <c r="P65" s="365"/>
      <c r="Q65" s="365"/>
      <c r="R65" s="365"/>
      <c r="S65" s="365"/>
      <c r="T65" s="365"/>
      <c r="U65" s="365"/>
      <c r="V65" s="365"/>
      <c r="W65" s="365"/>
      <c r="X65" s="366"/>
      <c r="Y65" s="367"/>
      <c r="Z65" s="365"/>
      <c r="AA65" s="365"/>
      <c r="AB65" s="365"/>
      <c r="AC65" s="365"/>
      <c r="AD65" s="365"/>
      <c r="AE65" s="365"/>
      <c r="AF65" s="365"/>
      <c r="AG65" s="365"/>
      <c r="AH65" s="365"/>
      <c r="AI65" s="365"/>
      <c r="AJ65" s="365"/>
      <c r="AK65" s="365"/>
      <c r="AL65" s="365"/>
      <c r="AM65" s="365"/>
      <c r="AN65" s="365"/>
      <c r="AO65" s="365"/>
      <c r="AP65" s="365"/>
      <c r="AQ65" s="365"/>
      <c r="AR65" s="365"/>
      <c r="AS65" s="365"/>
      <c r="AT65" s="365"/>
      <c r="AU65" s="368"/>
      <c r="AV65" s="369"/>
      <c r="AW65" s="385"/>
      <c r="AX65" s="385"/>
      <c r="AY65" s="385"/>
      <c r="AZ65" s="385"/>
      <c r="BA65" s="371"/>
      <c r="BB65" s="372"/>
      <c r="BC65" s="373"/>
      <c r="BD65" s="374"/>
      <c r="BE65" s="374"/>
      <c r="BF65" s="375"/>
      <c r="BG65" s="376"/>
      <c r="BH65" s="374"/>
      <c r="BI65" s="377"/>
      <c r="BJ65" s="25"/>
      <c r="BK65" s="25"/>
    </row>
    <row r="66" ht="15.75" customHeight="1">
      <c r="A66" s="441">
        <v>37.0</v>
      </c>
      <c r="B66" s="378"/>
      <c r="C66" s="383"/>
      <c r="D66" s="384"/>
      <c r="E66" s="365"/>
      <c r="F66" s="365"/>
      <c r="G66" s="365"/>
      <c r="H66" s="365"/>
      <c r="I66" s="365"/>
      <c r="J66" s="365"/>
      <c r="K66" s="365"/>
      <c r="L66" s="365"/>
      <c r="M66" s="365"/>
      <c r="N66" s="365"/>
      <c r="O66" s="365"/>
      <c r="P66" s="365"/>
      <c r="Q66" s="365"/>
      <c r="R66" s="365"/>
      <c r="S66" s="365"/>
      <c r="T66" s="365"/>
      <c r="U66" s="365"/>
      <c r="V66" s="365"/>
      <c r="W66" s="365"/>
      <c r="X66" s="366"/>
      <c r="Y66" s="367"/>
      <c r="Z66" s="365"/>
      <c r="AA66" s="365"/>
      <c r="AB66" s="365"/>
      <c r="AC66" s="365"/>
      <c r="AD66" s="365"/>
      <c r="AE66" s="365"/>
      <c r="AF66" s="365"/>
      <c r="AG66" s="365"/>
      <c r="AH66" s="365"/>
      <c r="AI66" s="365"/>
      <c r="AJ66" s="365"/>
      <c r="AK66" s="365"/>
      <c r="AL66" s="365"/>
      <c r="AM66" s="365"/>
      <c r="AN66" s="365"/>
      <c r="AO66" s="365"/>
      <c r="AP66" s="365"/>
      <c r="AQ66" s="365"/>
      <c r="AR66" s="365"/>
      <c r="AS66" s="365"/>
      <c r="AT66" s="365"/>
      <c r="AU66" s="368"/>
      <c r="AV66" s="369"/>
      <c r="AW66" s="385"/>
      <c r="AX66" s="385"/>
      <c r="AY66" s="385"/>
      <c r="AZ66" s="385"/>
      <c r="BA66" s="371"/>
      <c r="BB66" s="372"/>
      <c r="BC66" s="373"/>
      <c r="BD66" s="374"/>
      <c r="BE66" s="374"/>
      <c r="BF66" s="375"/>
      <c r="BG66" s="376"/>
      <c r="BH66" s="374"/>
      <c r="BI66" s="377"/>
      <c r="BJ66" s="25"/>
      <c r="BK66" s="25"/>
    </row>
    <row r="67" ht="15.75" customHeight="1">
      <c r="A67" s="441">
        <v>38.0</v>
      </c>
      <c r="B67" s="378"/>
      <c r="C67" s="383"/>
      <c r="D67" s="384"/>
      <c r="E67" s="365"/>
      <c r="F67" s="365"/>
      <c r="G67" s="365"/>
      <c r="H67" s="365"/>
      <c r="I67" s="365"/>
      <c r="J67" s="365"/>
      <c r="K67" s="365"/>
      <c r="L67" s="365"/>
      <c r="M67" s="365"/>
      <c r="N67" s="365"/>
      <c r="O67" s="365"/>
      <c r="P67" s="365"/>
      <c r="Q67" s="365"/>
      <c r="R67" s="365"/>
      <c r="S67" s="365"/>
      <c r="T67" s="365"/>
      <c r="U67" s="365"/>
      <c r="V67" s="365"/>
      <c r="W67" s="365"/>
      <c r="X67" s="366"/>
      <c r="Y67" s="367"/>
      <c r="Z67" s="365"/>
      <c r="AA67" s="365"/>
      <c r="AB67" s="365"/>
      <c r="AC67" s="365"/>
      <c r="AD67" s="365"/>
      <c r="AE67" s="365"/>
      <c r="AF67" s="365"/>
      <c r="AG67" s="365"/>
      <c r="AH67" s="365"/>
      <c r="AI67" s="365"/>
      <c r="AJ67" s="365"/>
      <c r="AK67" s="365"/>
      <c r="AL67" s="365"/>
      <c r="AM67" s="365"/>
      <c r="AN67" s="365"/>
      <c r="AO67" s="365"/>
      <c r="AP67" s="365"/>
      <c r="AQ67" s="365"/>
      <c r="AR67" s="365"/>
      <c r="AS67" s="365"/>
      <c r="AT67" s="365"/>
      <c r="AU67" s="368"/>
      <c r="AV67" s="369"/>
      <c r="AW67" s="385"/>
      <c r="AX67" s="385"/>
      <c r="AY67" s="385"/>
      <c r="AZ67" s="385"/>
      <c r="BA67" s="371"/>
      <c r="BB67" s="372"/>
      <c r="BC67" s="373"/>
      <c r="BD67" s="374"/>
      <c r="BE67" s="374"/>
      <c r="BF67" s="375"/>
      <c r="BG67" s="376"/>
      <c r="BH67" s="374"/>
      <c r="BI67" s="377"/>
      <c r="BJ67" s="25"/>
      <c r="BK67" s="25"/>
    </row>
    <row r="68" ht="15.75" customHeight="1">
      <c r="A68" s="441">
        <v>39.0</v>
      </c>
      <c r="B68" s="378"/>
      <c r="C68" s="383"/>
      <c r="D68" s="384"/>
      <c r="E68" s="365"/>
      <c r="F68" s="365"/>
      <c r="G68" s="365"/>
      <c r="H68" s="365"/>
      <c r="I68" s="365"/>
      <c r="J68" s="365"/>
      <c r="K68" s="365"/>
      <c r="L68" s="365"/>
      <c r="M68" s="365"/>
      <c r="N68" s="365"/>
      <c r="O68" s="365"/>
      <c r="P68" s="365"/>
      <c r="Q68" s="365"/>
      <c r="R68" s="365"/>
      <c r="S68" s="365"/>
      <c r="T68" s="365"/>
      <c r="U68" s="365"/>
      <c r="V68" s="365"/>
      <c r="W68" s="365"/>
      <c r="X68" s="366"/>
      <c r="Y68" s="367"/>
      <c r="Z68" s="365"/>
      <c r="AA68" s="365"/>
      <c r="AB68" s="365"/>
      <c r="AC68" s="365"/>
      <c r="AD68" s="365"/>
      <c r="AE68" s="365"/>
      <c r="AF68" s="365"/>
      <c r="AG68" s="365"/>
      <c r="AH68" s="365"/>
      <c r="AI68" s="365"/>
      <c r="AJ68" s="365"/>
      <c r="AK68" s="365"/>
      <c r="AL68" s="365"/>
      <c r="AM68" s="365"/>
      <c r="AN68" s="365"/>
      <c r="AO68" s="365"/>
      <c r="AP68" s="365"/>
      <c r="AQ68" s="365"/>
      <c r="AR68" s="365"/>
      <c r="AS68" s="365"/>
      <c r="AT68" s="365"/>
      <c r="AU68" s="368"/>
      <c r="AV68" s="369"/>
      <c r="AW68" s="385"/>
      <c r="AX68" s="385"/>
      <c r="AY68" s="385"/>
      <c r="AZ68" s="385"/>
      <c r="BA68" s="371"/>
      <c r="BB68" s="372"/>
      <c r="BC68" s="373"/>
      <c r="BD68" s="374"/>
      <c r="BE68" s="374"/>
      <c r="BF68" s="375"/>
      <c r="BG68" s="376"/>
      <c r="BH68" s="374"/>
      <c r="BI68" s="377"/>
      <c r="BJ68" s="25"/>
      <c r="BK68" s="25"/>
    </row>
    <row r="69" ht="15.75" customHeight="1">
      <c r="A69" s="441">
        <v>40.0</v>
      </c>
      <c r="B69" s="378"/>
      <c r="C69" s="383"/>
      <c r="D69" s="384"/>
      <c r="E69" s="365"/>
      <c r="F69" s="365"/>
      <c r="G69" s="365"/>
      <c r="H69" s="365"/>
      <c r="I69" s="365"/>
      <c r="J69" s="365"/>
      <c r="K69" s="365"/>
      <c r="L69" s="365"/>
      <c r="M69" s="365"/>
      <c r="N69" s="365"/>
      <c r="O69" s="365"/>
      <c r="P69" s="365"/>
      <c r="Q69" s="365"/>
      <c r="R69" s="365"/>
      <c r="S69" s="365"/>
      <c r="T69" s="365"/>
      <c r="U69" s="365"/>
      <c r="V69" s="365"/>
      <c r="W69" s="365"/>
      <c r="X69" s="366"/>
      <c r="Y69" s="367"/>
      <c r="Z69" s="365"/>
      <c r="AA69" s="365"/>
      <c r="AB69" s="365"/>
      <c r="AC69" s="365"/>
      <c r="AD69" s="365"/>
      <c r="AE69" s="365"/>
      <c r="AF69" s="365"/>
      <c r="AG69" s="365"/>
      <c r="AH69" s="365"/>
      <c r="AI69" s="365"/>
      <c r="AJ69" s="365"/>
      <c r="AK69" s="365"/>
      <c r="AL69" s="365"/>
      <c r="AM69" s="365"/>
      <c r="AN69" s="365"/>
      <c r="AO69" s="365"/>
      <c r="AP69" s="365"/>
      <c r="AQ69" s="365"/>
      <c r="AR69" s="365"/>
      <c r="AS69" s="365"/>
      <c r="AT69" s="365"/>
      <c r="AU69" s="368"/>
      <c r="AV69" s="369"/>
      <c r="AW69" s="385"/>
      <c r="AX69" s="385"/>
      <c r="AY69" s="385"/>
      <c r="AZ69" s="385"/>
      <c r="BA69" s="371"/>
      <c r="BB69" s="372"/>
      <c r="BC69" s="373"/>
      <c r="BD69" s="374"/>
      <c r="BE69" s="374"/>
      <c r="BF69" s="375"/>
      <c r="BG69" s="376"/>
      <c r="BH69" s="374"/>
      <c r="BI69" s="377"/>
      <c r="BJ69" s="25"/>
      <c r="BK69" s="25"/>
    </row>
    <row r="70" ht="15.75" customHeight="1">
      <c r="A70" s="442" t="s">
        <v>202</v>
      </c>
      <c r="B70" s="29"/>
      <c r="C70" s="41"/>
      <c r="D70" s="387">
        <f>COUNTIF(D30:D69,"D")</f>
        <v>2</v>
      </c>
      <c r="E70" s="387">
        <f>COUNTIF(E30:E69,"C")</f>
        <v>21</v>
      </c>
      <c r="F70" s="387">
        <f>COUNTIF(F30:F69,"D")</f>
        <v>0</v>
      </c>
      <c r="G70" s="387">
        <f>COUNTIF(G30:G69,"A")</f>
        <v>2</v>
      </c>
      <c r="H70" s="387">
        <f>COUNTIF(H30:H69,"B")</f>
        <v>24</v>
      </c>
      <c r="I70" s="387">
        <f>COUNTIF(I30:I69,"A")</f>
        <v>19</v>
      </c>
      <c r="J70" s="387">
        <f>COUNTIF(J30:J69,"C")</f>
        <v>1</v>
      </c>
      <c r="K70" s="387">
        <f t="shared" ref="K70:L70" si="9">COUNTIF(K30:K69,"D")</f>
        <v>1</v>
      </c>
      <c r="L70" s="387">
        <f t="shared" si="9"/>
        <v>2</v>
      </c>
      <c r="M70" s="387">
        <f>COUNTIF(M30:M69,"C")</f>
        <v>22</v>
      </c>
      <c r="N70" s="387">
        <f>COUNTIF(N30:N69,"B")</f>
        <v>1</v>
      </c>
      <c r="O70" s="387">
        <f>COUNTIF(O30:O69,"C")</f>
        <v>22</v>
      </c>
      <c r="P70" s="387">
        <f>COUNTIF(P30:P69,"B")</f>
        <v>2</v>
      </c>
      <c r="Q70" s="387">
        <f>COUNTIF(Q30:Q69,"C")</f>
        <v>1</v>
      </c>
      <c r="R70" s="387">
        <f>COUNTIF(R30:R69,"B")</f>
        <v>19</v>
      </c>
      <c r="S70" s="387">
        <f>COUNTIF(S30:S69,"D")</f>
        <v>0</v>
      </c>
      <c r="T70" s="387">
        <f t="shared" ref="T70:U70" si="10">COUNTIF(T30:T69,"C")</f>
        <v>1</v>
      </c>
      <c r="U70" s="387">
        <f t="shared" si="10"/>
        <v>5</v>
      </c>
      <c r="V70" s="387">
        <f t="shared" ref="V70:W70" si="11">COUNTIF(V30:V69,"A")</f>
        <v>1</v>
      </c>
      <c r="W70" s="387">
        <f t="shared" si="11"/>
        <v>1</v>
      </c>
      <c r="X70" s="388">
        <f>COUNTIF(X30:X69,"B")</f>
        <v>21</v>
      </c>
      <c r="Y70" s="389">
        <f>COUNTIF(Y30:Y69,"C")</f>
        <v>0</v>
      </c>
      <c r="Z70" s="390">
        <f>COUNTIF(Z30:Z69,"A")</f>
        <v>0</v>
      </c>
      <c r="AA70" s="390">
        <f>COUNTIF(AA30:AA69,"B")</f>
        <v>25</v>
      </c>
      <c r="AB70" s="390">
        <f>COUNTIF(AB30:AB69,"D")</f>
        <v>24</v>
      </c>
      <c r="AC70" s="390">
        <f>COUNTIF(AC30:AC69,"A")</f>
        <v>1</v>
      </c>
      <c r="AD70" s="390">
        <f>COUNTIF(AD30:AD69,"D")</f>
        <v>1</v>
      </c>
      <c r="AE70" s="390">
        <f>COUNTIF(AE30:AE69,"B")</f>
        <v>21</v>
      </c>
      <c r="AF70" s="390">
        <f>COUNTIF(AF30:AF69,"C")</f>
        <v>0</v>
      </c>
      <c r="AG70" s="390">
        <f>COUNTIF(AG30:AG69,"A")</f>
        <v>1</v>
      </c>
      <c r="AH70" s="390">
        <f>COUNTIF(AH30:AH69,"C")</f>
        <v>1</v>
      </c>
      <c r="AI70" s="390">
        <f>COUNTIF(AI30:AI69,"B")</f>
        <v>2</v>
      </c>
      <c r="AJ70" s="390">
        <f>COUNTIF(AJ30:AJ69,"C")</f>
        <v>0</v>
      </c>
      <c r="AK70" s="390">
        <f>COUNTIF(AK30:AK69,"A")</f>
        <v>1</v>
      </c>
      <c r="AL70" s="390">
        <f t="shared" ref="AL70:AM70" si="12">COUNTIF(AL30:AL69,"D")</f>
        <v>0</v>
      </c>
      <c r="AM70" s="390">
        <f t="shared" si="12"/>
        <v>0</v>
      </c>
      <c r="AN70" s="390">
        <f t="shared" ref="AN70:AO70" si="13">COUNTIF(AN30:AN69,"C")</f>
        <v>2</v>
      </c>
      <c r="AO70" s="390">
        <f t="shared" si="13"/>
        <v>2</v>
      </c>
      <c r="AP70" s="390">
        <f>COUNTIF(AP30:AP69,"A")</f>
        <v>1</v>
      </c>
      <c r="AQ70" s="390">
        <f>COUNTIF(AQ30:AQ69,"D")</f>
        <v>21</v>
      </c>
      <c r="AR70" s="390">
        <f>COUNTIF(AR30:AR69,"B")</f>
        <v>3</v>
      </c>
      <c r="AS70" s="390">
        <f>COUNTIF(AS30:AS69,"D")</f>
        <v>1</v>
      </c>
      <c r="AT70" s="390">
        <f>COUNTIF(AT30:AT69,"A")</f>
        <v>4</v>
      </c>
      <c r="AU70" s="368"/>
      <c r="AV70" s="368"/>
      <c r="AW70" s="368"/>
      <c r="AX70" s="368"/>
      <c r="AY70" s="368"/>
      <c r="AZ70" s="368"/>
      <c r="BA70" s="368"/>
      <c r="BB70" s="368"/>
      <c r="BC70" s="368"/>
      <c r="BD70" s="368"/>
      <c r="BE70" s="368"/>
      <c r="BF70" s="368"/>
      <c r="BG70" s="368"/>
      <c r="BH70" s="368"/>
      <c r="BI70" s="368"/>
    </row>
    <row r="71" ht="64.5" customHeight="1">
      <c r="AU71" s="88"/>
    </row>
    <row r="72" ht="12.0" customHeight="1">
      <c r="A72" s="89"/>
      <c r="B72" s="90"/>
      <c r="C72" s="90"/>
      <c r="D72" s="391" t="s">
        <v>51</v>
      </c>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c r="AE72" s="392"/>
      <c r="AF72" s="392"/>
      <c r="AG72" s="392"/>
      <c r="AH72" s="392"/>
      <c r="AI72" s="393"/>
      <c r="AJ72" s="93"/>
      <c r="AK72" s="394" t="s">
        <v>87</v>
      </c>
      <c r="AL72" s="395"/>
      <c r="AM72" s="395"/>
      <c r="AN72" s="395"/>
      <c r="AO72" s="395"/>
      <c r="AP72" s="395"/>
      <c r="AQ72" s="395"/>
      <c r="AR72" s="395"/>
      <c r="AS72" s="395"/>
      <c r="AT72" s="396"/>
    </row>
    <row r="73" ht="12.0" customHeight="1">
      <c r="A73" s="94"/>
      <c r="B73" s="95"/>
      <c r="C73" s="95"/>
      <c r="D73" s="397" t="s">
        <v>52</v>
      </c>
      <c r="E73" s="14"/>
      <c r="F73" s="398" t="s">
        <v>53</v>
      </c>
      <c r="G73" s="399" t="s">
        <v>54</v>
      </c>
      <c r="H73" s="400" t="s">
        <v>55</v>
      </c>
      <c r="AI73" s="14"/>
      <c r="AJ73" s="101"/>
      <c r="AK73" s="401"/>
      <c r="AL73" s="402"/>
      <c r="AM73" s="402"/>
      <c r="AN73" s="402"/>
      <c r="AO73" s="402"/>
      <c r="AP73" s="402"/>
      <c r="AQ73" s="402"/>
      <c r="AR73" s="402"/>
      <c r="AS73" s="402"/>
      <c r="AT73" s="403"/>
    </row>
    <row r="74">
      <c r="A74" s="94"/>
      <c r="B74" s="95"/>
      <c r="C74" s="95"/>
      <c r="D74" s="102"/>
      <c r="E74" s="24"/>
      <c r="F74" s="65"/>
      <c r="G74" s="65"/>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4"/>
      <c r="AJ74" s="101"/>
      <c r="AK74" s="404"/>
      <c r="AL74" s="405"/>
      <c r="AM74" s="406" t="s">
        <v>10</v>
      </c>
      <c r="AN74" s="407" t="s">
        <v>44</v>
      </c>
      <c r="AO74" s="408" t="s">
        <v>10</v>
      </c>
      <c r="AP74" s="409" t="s">
        <v>42</v>
      </c>
      <c r="AQ74" s="408" t="s">
        <v>10</v>
      </c>
      <c r="AR74" s="409" t="s">
        <v>41</v>
      </c>
      <c r="AS74" s="408" t="s">
        <v>10</v>
      </c>
      <c r="AT74" s="409" t="s">
        <v>43</v>
      </c>
    </row>
    <row r="75">
      <c r="A75" s="94"/>
      <c r="B75" s="95"/>
      <c r="C75" s="103"/>
      <c r="D75" s="104" t="s">
        <v>16</v>
      </c>
      <c r="E75" s="105">
        <v>1.0</v>
      </c>
      <c r="F75" s="106">
        <f>D70</f>
        <v>2</v>
      </c>
      <c r="G75" s="107">
        <f t="shared" ref="G75:G117" si="14">SUM(F75/C$18*100)</f>
        <v>6.896551724</v>
      </c>
      <c r="H75" s="108" t="s">
        <v>56</v>
      </c>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10"/>
      <c r="AJ75" s="111"/>
      <c r="AK75" s="156" t="s">
        <v>16</v>
      </c>
      <c r="AL75" s="112">
        <v>1.0</v>
      </c>
      <c r="AM75" s="113">
        <f>COUNTIF(D30:D69,"A")</f>
        <v>3</v>
      </c>
      <c r="AN75" s="410">
        <f>SUM(AM75/C18*100)</f>
        <v>10.34482759</v>
      </c>
      <c r="AO75" s="208">
        <f>COUNTIF(D30:D69,"B")</f>
        <v>2</v>
      </c>
      <c r="AP75" s="410">
        <f>SUM(AO75/C18*100)</f>
        <v>6.896551724</v>
      </c>
      <c r="AQ75" s="208">
        <f>COUNTIF(D30:D69,"C")</f>
        <v>20</v>
      </c>
      <c r="AR75" s="410">
        <f>SUM(AQ75/C18*100)</f>
        <v>68.96551724</v>
      </c>
      <c r="AS75" s="208">
        <f>COUNTIF(D30:D69,"D")</f>
        <v>2</v>
      </c>
      <c r="AT75" s="411">
        <f>SUM(AS75/C18*100)</f>
        <v>6.896551724</v>
      </c>
    </row>
    <row r="76">
      <c r="A76" s="94"/>
      <c r="B76" s="95"/>
      <c r="C76" s="103"/>
      <c r="D76" s="47"/>
      <c r="E76" s="112">
        <v>2.0</v>
      </c>
      <c r="F76" s="113">
        <f>E70</f>
        <v>21</v>
      </c>
      <c r="G76" s="107">
        <f t="shared" si="14"/>
        <v>72.4137931</v>
      </c>
      <c r="H76" s="108" t="s">
        <v>57</v>
      </c>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10"/>
      <c r="AJ76" s="111"/>
      <c r="AL76" s="112">
        <v>2.0</v>
      </c>
      <c r="AM76" s="113">
        <f>COUNTIF(E30:E69,"A")</f>
        <v>0</v>
      </c>
      <c r="AN76" s="410">
        <f>SUM(AM76/C18*100)</f>
        <v>0</v>
      </c>
      <c r="AO76" s="208">
        <f>COUNTIF(E30:E69,"B")</f>
        <v>3</v>
      </c>
      <c r="AP76" s="410">
        <f>SUM(AO76/C18*100)</f>
        <v>10.34482759</v>
      </c>
      <c r="AQ76" s="208">
        <f>COUNTIF(E30:E69,"C")</f>
        <v>21</v>
      </c>
      <c r="AR76" s="410">
        <f>SUM(AQ76/C18*100)</f>
        <v>72.4137931</v>
      </c>
      <c r="AS76" s="208">
        <f>COUNTIF(E30:E69,"D")</f>
        <v>3</v>
      </c>
      <c r="AT76" s="411">
        <f>SUM(AS76/C18*100)</f>
        <v>10.34482759</v>
      </c>
    </row>
    <row r="77">
      <c r="A77" s="94"/>
      <c r="B77" s="95"/>
      <c r="C77" s="103"/>
      <c r="D77" s="47"/>
      <c r="E77" s="112">
        <v>3.0</v>
      </c>
      <c r="F77" s="114">
        <f>F70</f>
        <v>0</v>
      </c>
      <c r="G77" s="107">
        <f t="shared" si="14"/>
        <v>0</v>
      </c>
      <c r="H77" s="108" t="s">
        <v>58</v>
      </c>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10"/>
      <c r="AJ77" s="111"/>
      <c r="AL77" s="112">
        <v>3.0</v>
      </c>
      <c r="AM77" s="113">
        <f>COUNTIF(F30:F69,"A")</f>
        <v>1</v>
      </c>
      <c r="AN77" s="410">
        <f>SUM(AM77/C18*100)</f>
        <v>3.448275862</v>
      </c>
      <c r="AO77" s="208">
        <f>COUNTIF(F30:F69,"B")</f>
        <v>2</v>
      </c>
      <c r="AP77" s="410">
        <f>SUM(AO77/C18*100)</f>
        <v>6.896551724</v>
      </c>
      <c r="AQ77" s="208">
        <f>COUNTIF(F30:F69,"C")</f>
        <v>24</v>
      </c>
      <c r="AR77" s="410">
        <f>SUM(AQ77/C18*100)</f>
        <v>82.75862069</v>
      </c>
      <c r="AS77" s="208">
        <f>COUNTIF(F30:F69,"D")</f>
        <v>0</v>
      </c>
      <c r="AT77" s="411">
        <f>SUM(AS77/C18*100)</f>
        <v>0</v>
      </c>
    </row>
    <row r="78">
      <c r="A78" s="94"/>
      <c r="B78" s="95"/>
      <c r="C78" s="103"/>
      <c r="D78" s="47"/>
      <c r="E78" s="112">
        <v>4.0</v>
      </c>
      <c r="F78" s="113">
        <f>G70</f>
        <v>2</v>
      </c>
      <c r="G78" s="107">
        <f t="shared" si="14"/>
        <v>6.896551724</v>
      </c>
      <c r="H78" s="412" t="s">
        <v>57</v>
      </c>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10"/>
      <c r="AJ78" s="111"/>
      <c r="AL78" s="112">
        <v>4.0</v>
      </c>
      <c r="AM78" s="113">
        <f>COUNTIF(G30:G69,"A")</f>
        <v>2</v>
      </c>
      <c r="AN78" s="410">
        <f>SUM(AM78/C18*100)</f>
        <v>6.896551724</v>
      </c>
      <c r="AO78" s="208">
        <f>COUNTIF(G30:G69,"B")</f>
        <v>23</v>
      </c>
      <c r="AP78" s="410">
        <f>SUM(AO78/C18*100)</f>
        <v>79.31034483</v>
      </c>
      <c r="AQ78" s="208">
        <f>COUNTIF(G30:G69,"C")</f>
        <v>1</v>
      </c>
      <c r="AR78" s="410">
        <f>SUM(AQ78/C18*100)</f>
        <v>3.448275862</v>
      </c>
      <c r="AS78" s="208">
        <f>COUNTIF(G30:G69,"D")</f>
        <v>1</v>
      </c>
      <c r="AT78" s="411">
        <f>SUM(AS78/C18*100)</f>
        <v>3.448275862</v>
      </c>
    </row>
    <row r="79">
      <c r="A79" s="94"/>
      <c r="B79" s="95"/>
      <c r="C79" s="103"/>
      <c r="D79" s="47"/>
      <c r="E79" s="112">
        <v>5.0</v>
      </c>
      <c r="F79" s="113">
        <f>H70</f>
        <v>24</v>
      </c>
      <c r="G79" s="107">
        <f t="shared" si="14"/>
        <v>82.75862069</v>
      </c>
      <c r="H79" s="412" t="s">
        <v>59</v>
      </c>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10"/>
      <c r="AJ79" s="111"/>
      <c r="AL79" s="112">
        <v>5.0</v>
      </c>
      <c r="AM79" s="113">
        <f>COUNTIF(H30:H69,"A")</f>
        <v>0</v>
      </c>
      <c r="AN79" s="410">
        <f>SUM(AM79/C18*100)</f>
        <v>0</v>
      </c>
      <c r="AO79" s="208">
        <f>COUNTIF(H30:H69,"B")</f>
        <v>24</v>
      </c>
      <c r="AP79" s="410">
        <f>SUM(AO79/C18*100)</f>
        <v>82.75862069</v>
      </c>
      <c r="AQ79" s="208">
        <f>COUNTIF(H30:H69,"C")</f>
        <v>2</v>
      </c>
      <c r="AR79" s="410">
        <f>SUM(AQ79/C18*100)</f>
        <v>6.896551724</v>
      </c>
      <c r="AS79" s="208">
        <f>COUNTIF(H30:H69,"D")</f>
        <v>1</v>
      </c>
      <c r="AT79" s="411">
        <f>SUM(AS79/C18*100)</f>
        <v>3.448275862</v>
      </c>
    </row>
    <row r="80">
      <c r="A80" s="94"/>
      <c r="B80" s="95"/>
      <c r="C80" s="103"/>
      <c r="D80" s="47"/>
      <c r="E80" s="112">
        <v>6.0</v>
      </c>
      <c r="F80" s="113">
        <f>I70</f>
        <v>19</v>
      </c>
      <c r="G80" s="107">
        <f t="shared" si="14"/>
        <v>65.51724138</v>
      </c>
      <c r="H80" s="412" t="s">
        <v>57</v>
      </c>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10"/>
      <c r="AJ80" s="111"/>
      <c r="AL80" s="112">
        <v>6.0</v>
      </c>
      <c r="AM80" s="113">
        <f>COUNTIF(I30:I69,"A")</f>
        <v>19</v>
      </c>
      <c r="AN80" s="410">
        <f>SUM(AM80/C18*100)</f>
        <v>65.51724138</v>
      </c>
      <c r="AO80" s="208">
        <f>COUNTIF(I30:I69,"B")</f>
        <v>4</v>
      </c>
      <c r="AP80" s="410">
        <f>SUM(AO80/C18*100)</f>
        <v>13.79310345</v>
      </c>
      <c r="AQ80" s="208">
        <f>COUNTIF(I30:I69,"C")</f>
        <v>1</v>
      </c>
      <c r="AR80" s="410">
        <f>SUM(AQ80/C18*100)</f>
        <v>3.448275862</v>
      </c>
      <c r="AS80" s="208">
        <f>COUNTIF(I30:I69,"D")</f>
        <v>3</v>
      </c>
      <c r="AT80" s="411">
        <f>SUM(AS80/C18*100)</f>
        <v>10.34482759</v>
      </c>
    </row>
    <row r="81">
      <c r="A81" s="94"/>
      <c r="B81" s="95"/>
      <c r="C81" s="103"/>
      <c r="D81" s="47"/>
      <c r="E81" s="112">
        <v>7.0</v>
      </c>
      <c r="F81" s="113">
        <f>J70</f>
        <v>1</v>
      </c>
      <c r="G81" s="107">
        <f t="shared" si="14"/>
        <v>3.448275862</v>
      </c>
      <c r="H81" s="412" t="s">
        <v>60</v>
      </c>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10"/>
      <c r="AJ81" s="111"/>
      <c r="AL81" s="112">
        <v>7.0</v>
      </c>
      <c r="AM81" s="113">
        <f>COUNTIF(J30:J69,"A")</f>
        <v>3</v>
      </c>
      <c r="AN81" s="410">
        <f>SUM(AM81/C18*100)</f>
        <v>10.34482759</v>
      </c>
      <c r="AO81" s="208">
        <f>COUNTIF(J30:J69,"B")</f>
        <v>22</v>
      </c>
      <c r="AP81" s="410">
        <f>SUM(AO81/C18*100)</f>
        <v>75.86206897</v>
      </c>
      <c r="AQ81" s="208">
        <f>COUNTIF(J30:J69,"C")</f>
        <v>1</v>
      </c>
      <c r="AR81" s="410">
        <f>SUM(AQ81/C18*100)</f>
        <v>3.448275862</v>
      </c>
      <c r="AS81" s="208">
        <f>COUNTIF(J30:J69,"D")</f>
        <v>1</v>
      </c>
      <c r="AT81" s="411">
        <f>SUM(AS81/C18*100)</f>
        <v>3.448275862</v>
      </c>
    </row>
    <row r="82">
      <c r="A82" s="94"/>
      <c r="B82" s="95"/>
      <c r="C82" s="103"/>
      <c r="D82" s="47"/>
      <c r="E82" s="112">
        <v>8.0</v>
      </c>
      <c r="F82" s="113">
        <f>K70</f>
        <v>1</v>
      </c>
      <c r="G82" s="107">
        <f t="shared" si="14"/>
        <v>3.448275862</v>
      </c>
      <c r="H82" s="412" t="s">
        <v>61</v>
      </c>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10"/>
      <c r="AJ82" s="115"/>
      <c r="AL82" s="112">
        <v>8.0</v>
      </c>
      <c r="AM82" s="113">
        <f>COUNTIF(K30:K69,"A")</f>
        <v>3</v>
      </c>
      <c r="AN82" s="410">
        <f>SUM(AM82/C18*100)</f>
        <v>10.34482759</v>
      </c>
      <c r="AO82" s="208">
        <f>COUNTIF(K30:K69,"B")</f>
        <v>22</v>
      </c>
      <c r="AP82" s="410">
        <f>SUM(AO82/C18*100)</f>
        <v>75.86206897</v>
      </c>
      <c r="AQ82" s="208">
        <f>COUNTIF(K30:K69,"C")</f>
        <v>1</v>
      </c>
      <c r="AR82" s="410">
        <f>SUM(AQ82/C18*100)</f>
        <v>3.448275862</v>
      </c>
      <c r="AS82" s="208">
        <f>COUNTIF(K30:K69,"D")</f>
        <v>1</v>
      </c>
      <c r="AT82" s="411">
        <f>SUM(AS82/C18*100)</f>
        <v>3.448275862</v>
      </c>
    </row>
    <row r="83">
      <c r="A83" s="94"/>
      <c r="B83" s="95"/>
      <c r="C83" s="103"/>
      <c r="D83" s="47"/>
      <c r="E83" s="112">
        <v>9.0</v>
      </c>
      <c r="F83" s="113">
        <f>L70</f>
        <v>2</v>
      </c>
      <c r="G83" s="107">
        <f t="shared" si="14"/>
        <v>6.896551724</v>
      </c>
      <c r="H83" s="412" t="s">
        <v>62</v>
      </c>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10"/>
      <c r="AJ83" s="111"/>
      <c r="AL83" s="112">
        <v>9.0</v>
      </c>
      <c r="AM83" s="413">
        <f>COUNTIF(L30:L69,"A")</f>
        <v>22</v>
      </c>
      <c r="AN83" s="410">
        <f>SUM(AM83/C18*100)</f>
        <v>75.86206897</v>
      </c>
      <c r="AO83" s="414">
        <f>COUNTIF(L30:L69,"B")</f>
        <v>2</v>
      </c>
      <c r="AP83" s="410">
        <f>SUM(AO83/C18*100)</f>
        <v>6.896551724</v>
      </c>
      <c r="AQ83" s="414">
        <f>COUNTIF(L30:L69,"C")</f>
        <v>1</v>
      </c>
      <c r="AR83" s="410">
        <f>SUM(AQ83/C18*100)</f>
        <v>3.448275862</v>
      </c>
      <c r="AS83" s="414">
        <f>COUNTIF(L30:L69,"D")</f>
        <v>2</v>
      </c>
      <c r="AT83" s="411">
        <f>SUM(AS83/C18*100)</f>
        <v>6.896551724</v>
      </c>
    </row>
    <row r="84">
      <c r="A84" s="94"/>
      <c r="B84" s="95"/>
      <c r="C84" s="103"/>
      <c r="D84" s="47"/>
      <c r="E84" s="112">
        <v>10.0</v>
      </c>
      <c r="F84" s="113">
        <f>M70</f>
        <v>22</v>
      </c>
      <c r="G84" s="107">
        <f t="shared" si="14"/>
        <v>75.86206897</v>
      </c>
      <c r="H84" s="412" t="s">
        <v>58</v>
      </c>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10"/>
      <c r="AJ84" s="111"/>
      <c r="AL84" s="112">
        <v>10.0</v>
      </c>
      <c r="AM84" s="113">
        <f>COUNTIF(M30:M69,"A")</f>
        <v>3</v>
      </c>
      <c r="AN84" s="410">
        <f>SUM(AM84/C18*100)</f>
        <v>10.34482759</v>
      </c>
      <c r="AO84" s="208">
        <f>COUNTIF(M30:M69,"B")</f>
        <v>1</v>
      </c>
      <c r="AP84" s="410">
        <f>SUM(AO84/C18*100)</f>
        <v>3.448275862</v>
      </c>
      <c r="AQ84" s="208">
        <f>COUNTIF(M30:M69,"C")</f>
        <v>22</v>
      </c>
      <c r="AR84" s="410">
        <f>SUM(AQ84/C18*100)</f>
        <v>75.86206897</v>
      </c>
      <c r="AS84" s="208">
        <f>COUNTIF(M30:M69,"D")</f>
        <v>1</v>
      </c>
      <c r="AT84" s="411">
        <f>SUM(AS84/C18*100)</f>
        <v>3.448275862</v>
      </c>
    </row>
    <row r="85">
      <c r="A85" s="94"/>
      <c r="B85" s="95"/>
      <c r="C85" s="103"/>
      <c r="D85" s="47"/>
      <c r="E85" s="112">
        <v>11.0</v>
      </c>
      <c r="F85" s="113">
        <f>N70</f>
        <v>1</v>
      </c>
      <c r="G85" s="107">
        <f t="shared" si="14"/>
        <v>3.448275862</v>
      </c>
      <c r="H85" s="412" t="s">
        <v>63</v>
      </c>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10"/>
      <c r="AJ85" s="111"/>
      <c r="AL85" s="112">
        <v>11.0</v>
      </c>
      <c r="AM85" s="113">
        <f>COUNTIF(N30:N69,"A")</f>
        <v>2</v>
      </c>
      <c r="AN85" s="410">
        <f>SUM(AM85/C18*100)</f>
        <v>6.896551724</v>
      </c>
      <c r="AO85" s="208">
        <f>COUNTIF(N30:N69,"B")</f>
        <v>1</v>
      </c>
      <c r="AP85" s="410">
        <f>SUM(AO85/C18*100)</f>
        <v>3.448275862</v>
      </c>
      <c r="AQ85" s="208">
        <f>COUNTIF(N30:N69,"C")</f>
        <v>23</v>
      </c>
      <c r="AR85" s="410">
        <f>SUM(AQ85/C18*100)</f>
        <v>79.31034483</v>
      </c>
      <c r="AS85" s="208">
        <f>COUNTIF(N30:N69,"D")</f>
        <v>1</v>
      </c>
      <c r="AT85" s="411">
        <f>SUM(AS85/C18*100)</f>
        <v>3.448275862</v>
      </c>
    </row>
    <row r="86">
      <c r="A86" s="94"/>
      <c r="B86" s="95"/>
      <c r="C86" s="103"/>
      <c r="D86" s="47"/>
      <c r="E86" s="112">
        <v>12.0</v>
      </c>
      <c r="F86" s="113">
        <f>O70</f>
        <v>22</v>
      </c>
      <c r="G86" s="107">
        <f t="shared" si="14"/>
        <v>75.86206897</v>
      </c>
      <c r="H86" s="108" t="s">
        <v>64</v>
      </c>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10"/>
      <c r="AJ86" s="116"/>
      <c r="AL86" s="112">
        <v>12.0</v>
      </c>
      <c r="AM86" s="113">
        <f>COUNTIF(O30:O69,"A")</f>
        <v>3</v>
      </c>
      <c r="AN86" s="410">
        <f>SUM(AM86/C18*100)</f>
        <v>10.34482759</v>
      </c>
      <c r="AO86" s="208">
        <f>COUNTIF(O30:O69,"B")</f>
        <v>1</v>
      </c>
      <c r="AP86" s="410">
        <f>SUM(AO86/C18*100)</f>
        <v>3.448275862</v>
      </c>
      <c r="AQ86" s="208">
        <f>COUNTIF(O30:O69,"C")</f>
        <v>22</v>
      </c>
      <c r="AR86" s="410">
        <f>SUM(AQ86/C18*100)</f>
        <v>75.86206897</v>
      </c>
      <c r="AS86" s="208">
        <f>COUNTIF(O30:O69,"D")</f>
        <v>1</v>
      </c>
      <c r="AT86" s="411">
        <f>SUM(AS86/C18*100)</f>
        <v>3.448275862</v>
      </c>
    </row>
    <row r="87">
      <c r="A87" s="94"/>
      <c r="B87" s="95"/>
      <c r="C87" s="103"/>
      <c r="D87" s="47"/>
      <c r="E87" s="112">
        <v>13.0</v>
      </c>
      <c r="F87" s="113">
        <f>P70</f>
        <v>2</v>
      </c>
      <c r="G87" s="107">
        <f t="shared" si="14"/>
        <v>6.896551724</v>
      </c>
      <c r="H87" s="412" t="s">
        <v>63</v>
      </c>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10"/>
      <c r="AJ87" s="111"/>
      <c r="AL87" s="112">
        <v>13.0</v>
      </c>
      <c r="AM87" s="113">
        <f>COUNTIF(P30:P69,"A")</f>
        <v>21</v>
      </c>
      <c r="AN87" s="410">
        <f>SUM(AM87/C18*100)</f>
        <v>72.4137931</v>
      </c>
      <c r="AO87" s="208">
        <f>COUNTIF(P30:P69,"B")</f>
        <v>2</v>
      </c>
      <c r="AP87" s="410">
        <f>SUM(AO87/C18*100)</f>
        <v>6.896551724</v>
      </c>
      <c r="AQ87" s="208">
        <f>COUNTIF(P30:P69,"C")</f>
        <v>3</v>
      </c>
      <c r="AR87" s="410">
        <f>SUM(AQ87/C18*100)</f>
        <v>10.34482759</v>
      </c>
      <c r="AS87" s="208">
        <f>COUNTIF(P30:P69,"D")</f>
        <v>1</v>
      </c>
      <c r="AT87" s="411">
        <f>SUM(AS87/C18*100)</f>
        <v>3.448275862</v>
      </c>
    </row>
    <row r="88">
      <c r="A88" s="94"/>
      <c r="B88" s="95"/>
      <c r="C88" s="103"/>
      <c r="D88" s="47"/>
      <c r="E88" s="112">
        <v>14.0</v>
      </c>
      <c r="F88" s="113">
        <f>Q70</f>
        <v>1</v>
      </c>
      <c r="G88" s="107">
        <f t="shared" si="14"/>
        <v>3.448275862</v>
      </c>
      <c r="H88" s="108" t="s">
        <v>65</v>
      </c>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10"/>
      <c r="AJ88" s="111"/>
      <c r="AL88" s="112">
        <v>14.0</v>
      </c>
      <c r="AM88" s="113">
        <f>COUNTIF(Q30:Q69,"A")</f>
        <v>2</v>
      </c>
      <c r="AN88" s="410">
        <f>SUM(AM88/C18*100)</f>
        <v>6.896551724</v>
      </c>
      <c r="AO88" s="208">
        <f>COUNTIF(Q30:Q69,"B")</f>
        <v>24</v>
      </c>
      <c r="AP88" s="410">
        <f>SUM(AO88/C18*100)</f>
        <v>82.75862069</v>
      </c>
      <c r="AQ88" s="208">
        <f>COUNTIF(Q30:Q69,"C")</f>
        <v>1</v>
      </c>
      <c r="AR88" s="410">
        <f>SUM(AQ88/C18*100)</f>
        <v>3.448275862</v>
      </c>
      <c r="AS88" s="208">
        <f>COUNTIF(Q30:Q69,"D")</f>
        <v>0</v>
      </c>
      <c r="AT88" s="411">
        <f>SUM(AS88/C18*100)</f>
        <v>0</v>
      </c>
    </row>
    <row r="89">
      <c r="A89" s="94"/>
      <c r="B89" s="95"/>
      <c r="C89" s="103"/>
      <c r="D89" s="47"/>
      <c r="E89" s="112">
        <v>15.0</v>
      </c>
      <c r="F89" s="113">
        <f>R70</f>
        <v>19</v>
      </c>
      <c r="G89" s="107">
        <f t="shared" si="14"/>
        <v>65.51724138</v>
      </c>
      <c r="H89" s="412" t="s">
        <v>66</v>
      </c>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10"/>
      <c r="AJ89" s="111"/>
      <c r="AL89" s="112">
        <v>15.0</v>
      </c>
      <c r="AM89" s="113">
        <f>COUNTIF(R30:R69,"A")</f>
        <v>4</v>
      </c>
      <c r="AN89" s="410">
        <f>SUM(AM89/C18*100)</f>
        <v>13.79310345</v>
      </c>
      <c r="AO89" s="208">
        <f>COUNTIF(R30:R69,"B")</f>
        <v>19</v>
      </c>
      <c r="AP89" s="410">
        <f>SUM(AO89/C18*100)</f>
        <v>65.51724138</v>
      </c>
      <c r="AQ89" s="208">
        <f>COUNTIF(R30:R69,"C")</f>
        <v>4</v>
      </c>
      <c r="AR89" s="410">
        <f>SUM(AQ89/C18*100)</f>
        <v>13.79310345</v>
      </c>
      <c r="AS89" s="208">
        <f>COUNTIF(R30:R69,"D")</f>
        <v>0</v>
      </c>
      <c r="AT89" s="411">
        <f>SUM(AS89/C18*100)</f>
        <v>0</v>
      </c>
    </row>
    <row r="90">
      <c r="A90" s="94"/>
      <c r="B90" s="95"/>
      <c r="C90" s="103"/>
      <c r="D90" s="47"/>
      <c r="E90" s="112">
        <v>16.0</v>
      </c>
      <c r="F90" s="113">
        <f>S70</f>
        <v>0</v>
      </c>
      <c r="G90" s="107">
        <f t="shared" si="14"/>
        <v>0</v>
      </c>
      <c r="H90" s="412" t="s">
        <v>66</v>
      </c>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10"/>
      <c r="AJ90" s="111"/>
      <c r="AL90" s="112">
        <v>16.0</v>
      </c>
      <c r="AM90" s="113">
        <f>COUNTIF(S30:S69,"A")</f>
        <v>24</v>
      </c>
      <c r="AN90" s="410">
        <f>SUM(AM90/C18*100)</f>
        <v>82.75862069</v>
      </c>
      <c r="AO90" s="208">
        <f>COUNTIF(S30:S69,"B")</f>
        <v>2</v>
      </c>
      <c r="AP90" s="410">
        <f>SUM(AO90/C18*100)</f>
        <v>6.896551724</v>
      </c>
      <c r="AQ90" s="208">
        <f>COUNTIF(S30:S69,"C")</f>
        <v>1</v>
      </c>
      <c r="AR90" s="410">
        <f>SUM(AQ90/C18*100)</f>
        <v>3.448275862</v>
      </c>
      <c r="AS90" s="208">
        <f>COUNTIF(S30:S69,"D")</f>
        <v>0</v>
      </c>
      <c r="AT90" s="411">
        <f>SUM(AS90/C18*100)</f>
        <v>0</v>
      </c>
    </row>
    <row r="91">
      <c r="A91" s="94"/>
      <c r="B91" s="95"/>
      <c r="C91" s="103"/>
      <c r="D91" s="47"/>
      <c r="E91" s="112">
        <v>17.0</v>
      </c>
      <c r="F91" s="113">
        <f>T70</f>
        <v>1</v>
      </c>
      <c r="G91" s="107">
        <f t="shared" si="14"/>
        <v>3.448275862</v>
      </c>
      <c r="H91" s="108" t="s">
        <v>67</v>
      </c>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10"/>
      <c r="AJ91" s="111"/>
      <c r="AL91" s="112">
        <v>17.0</v>
      </c>
      <c r="AM91" s="113">
        <f>COUNTIF(T30:T69,"A")</f>
        <v>17</v>
      </c>
      <c r="AN91" s="410">
        <f>SUM(AM91/C18*100)</f>
        <v>58.62068966</v>
      </c>
      <c r="AO91" s="208">
        <f>COUNTIF(T30:T69,"B")</f>
        <v>6</v>
      </c>
      <c r="AP91" s="410">
        <f>SUM(AO91/C18*100)</f>
        <v>20.68965517</v>
      </c>
      <c r="AQ91" s="208">
        <f>COUNTIF(T30:T69,"C")</f>
        <v>1</v>
      </c>
      <c r="AR91" s="410">
        <f>SUM(AQ91/C18*100)</f>
        <v>3.448275862</v>
      </c>
      <c r="AS91" s="208">
        <f>COUNTIF(T30:T69,"D")</f>
        <v>3</v>
      </c>
      <c r="AT91" s="411">
        <f>SUM(AS91/C18*100)</f>
        <v>10.34482759</v>
      </c>
    </row>
    <row r="92">
      <c r="A92" s="94"/>
      <c r="B92" s="95"/>
      <c r="C92" s="103"/>
      <c r="D92" s="47"/>
      <c r="E92" s="112">
        <v>18.0</v>
      </c>
      <c r="F92" s="113">
        <f>U70</f>
        <v>5</v>
      </c>
      <c r="G92" s="107">
        <f t="shared" si="14"/>
        <v>17.24137931</v>
      </c>
      <c r="H92" s="412" t="s">
        <v>68</v>
      </c>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10"/>
      <c r="AJ92" s="111"/>
      <c r="AL92" s="112">
        <v>18.0</v>
      </c>
      <c r="AM92" s="113">
        <f>COUNTIF(U30:U69,"A")</f>
        <v>18</v>
      </c>
      <c r="AN92" s="410">
        <f>SUM(AM92/C18*100)</f>
        <v>62.06896552</v>
      </c>
      <c r="AO92" s="208">
        <f>COUNTIF(U30:U69,"B")</f>
        <v>1</v>
      </c>
      <c r="AP92" s="410">
        <f>SUM(AO92/C18*100)</f>
        <v>3.448275862</v>
      </c>
      <c r="AQ92" s="208">
        <f>COUNTIF(U30:U69,"C")</f>
        <v>5</v>
      </c>
      <c r="AR92" s="410">
        <f>SUM(AQ92/C18*100)</f>
        <v>17.24137931</v>
      </c>
      <c r="AS92" s="208">
        <f>COUNTIF(U30:U69,"D")</f>
        <v>3</v>
      </c>
      <c r="AT92" s="411">
        <f>SUM(AS92/C18*100)</f>
        <v>10.34482759</v>
      </c>
    </row>
    <row r="93">
      <c r="A93" s="94"/>
      <c r="B93" s="95"/>
      <c r="C93" s="103"/>
      <c r="D93" s="47"/>
      <c r="E93" s="112">
        <v>19.0</v>
      </c>
      <c r="F93" s="113">
        <f>V70</f>
        <v>1</v>
      </c>
      <c r="G93" s="107">
        <f t="shared" si="14"/>
        <v>3.448275862</v>
      </c>
      <c r="H93" s="412" t="s">
        <v>67</v>
      </c>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10"/>
      <c r="AJ93" s="111"/>
      <c r="AL93" s="112">
        <v>19.0</v>
      </c>
      <c r="AM93" s="113">
        <f>COUNTIF(V30:V69,"A")</f>
        <v>1</v>
      </c>
      <c r="AN93" s="410">
        <f>SUM(AM93/C18*100)</f>
        <v>3.448275862</v>
      </c>
      <c r="AO93" s="208">
        <f>COUNTIF(V30:V69,"B")</f>
        <v>2</v>
      </c>
      <c r="AP93" s="410">
        <f>SUM(AO93/C18*100)</f>
        <v>6.896551724</v>
      </c>
      <c r="AQ93" s="208">
        <f>COUNTIF(V30:V69,"C")</f>
        <v>22</v>
      </c>
      <c r="AR93" s="410">
        <f>SUM(AQ93/C18*100)</f>
        <v>75.86206897</v>
      </c>
      <c r="AS93" s="208">
        <f>COUNTIF(V30:V69,"D")</f>
        <v>2</v>
      </c>
      <c r="AT93" s="411">
        <f>SUM(AS93/C18*100)</f>
        <v>6.896551724</v>
      </c>
    </row>
    <row r="94">
      <c r="A94" s="94"/>
      <c r="B94" s="95"/>
      <c r="C94" s="103"/>
      <c r="D94" s="47"/>
      <c r="E94" s="112">
        <v>20.0</v>
      </c>
      <c r="F94" s="113">
        <f>W70</f>
        <v>1</v>
      </c>
      <c r="G94" s="107">
        <f t="shared" si="14"/>
        <v>3.448275862</v>
      </c>
      <c r="H94" s="412" t="s">
        <v>69</v>
      </c>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10"/>
      <c r="AJ94" s="111"/>
      <c r="AL94" s="112">
        <v>20.0</v>
      </c>
      <c r="AM94" s="113">
        <f>COUNTIF(W30:W69,"A")</f>
        <v>1</v>
      </c>
      <c r="AN94" s="410">
        <f>SUM(AM94/C18*100)</f>
        <v>3.448275862</v>
      </c>
      <c r="AO94" s="208">
        <f>COUNTIF(W30:W69,"B")</f>
        <v>5</v>
      </c>
      <c r="AP94" s="410">
        <f>SUM(AO94/C18*100)</f>
        <v>17.24137931</v>
      </c>
      <c r="AQ94" s="208">
        <f>COUNTIF(W30:W69,"C")</f>
        <v>1</v>
      </c>
      <c r="AR94" s="410">
        <f>SUM(AQ94/C18*100)</f>
        <v>3.448275862</v>
      </c>
      <c r="AS94" s="208">
        <f>COUNTIF(W30:W69,"D")</f>
        <v>20</v>
      </c>
      <c r="AT94" s="411">
        <f>SUM(AS94/C18*100)</f>
        <v>68.96551724</v>
      </c>
    </row>
    <row r="95">
      <c r="A95" s="94"/>
      <c r="B95" s="95"/>
      <c r="C95" s="103"/>
      <c r="D95" s="117"/>
      <c r="E95" s="118">
        <v>21.0</v>
      </c>
      <c r="F95" s="119">
        <f>X70</f>
        <v>21</v>
      </c>
      <c r="G95" s="120">
        <f t="shared" si="14"/>
        <v>72.4137931</v>
      </c>
      <c r="H95" s="415" t="s">
        <v>70</v>
      </c>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3"/>
      <c r="AJ95" s="111"/>
      <c r="AL95" s="112">
        <v>21.0</v>
      </c>
      <c r="AM95" s="113">
        <f>COUNTIF(X30:X69,"A")</f>
        <v>1</v>
      </c>
      <c r="AN95" s="410">
        <f>SUM(AM95/C18*100)</f>
        <v>3.448275862</v>
      </c>
      <c r="AO95" s="208">
        <f>COUNTIF(X30:X69,"B")</f>
        <v>21</v>
      </c>
      <c r="AP95" s="410">
        <f>SUM(AO95/C18*100)</f>
        <v>72.4137931</v>
      </c>
      <c r="AQ95" s="208">
        <f>COUNTIF(X30:X69,"C")</f>
        <v>1</v>
      </c>
      <c r="AR95" s="410">
        <f>SUM(AQ95/C18*100)</f>
        <v>3.448275862</v>
      </c>
      <c r="AS95" s="208">
        <f>COUNTIF(X30:X69,"D")</f>
        <v>3</v>
      </c>
      <c r="AT95" s="411">
        <f>SUM(AS95/C18*100)</f>
        <v>10.34482759</v>
      </c>
    </row>
    <row r="96">
      <c r="A96" s="94"/>
      <c r="B96" s="95"/>
      <c r="C96" s="103"/>
      <c r="D96" s="124" t="s">
        <v>17</v>
      </c>
      <c r="E96" s="125">
        <v>1.0</v>
      </c>
      <c r="F96" s="106">
        <f>Y70</f>
        <v>0</v>
      </c>
      <c r="G96" s="107">
        <f t="shared" si="14"/>
        <v>0</v>
      </c>
      <c r="H96" s="126" t="s">
        <v>71</v>
      </c>
      <c r="I96" s="416"/>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8"/>
      <c r="AJ96" s="129"/>
      <c r="AK96" s="164" t="s">
        <v>17</v>
      </c>
      <c r="AL96" s="130">
        <v>1.0</v>
      </c>
      <c r="AM96" s="113">
        <f>COUNTIF(Y30:Y69,"A")</f>
        <v>25</v>
      </c>
      <c r="AN96" s="410">
        <f>SUM(AM96/C18*100)</f>
        <v>86.20689655</v>
      </c>
      <c r="AO96" s="208">
        <f>COUNTIF(Y30:Y69,"B")</f>
        <v>1</v>
      </c>
      <c r="AP96" s="410">
        <f>SUM(AO96/C18*100)</f>
        <v>3.448275862</v>
      </c>
      <c r="AQ96" s="208">
        <f>COUNTIF(Y30:Y69,"C")</f>
        <v>0</v>
      </c>
      <c r="AR96" s="410">
        <f>SUM(AQ96/C18*100)</f>
        <v>0</v>
      </c>
      <c r="AS96" s="208">
        <f>COUNTIF(Y30:Y69,"D")</f>
        <v>0</v>
      </c>
      <c r="AT96" s="411">
        <f>SUM(AS96/C18*100)</f>
        <v>0</v>
      </c>
    </row>
    <row r="97">
      <c r="A97" s="94"/>
      <c r="B97" s="95"/>
      <c r="C97" s="103"/>
      <c r="D97" s="47"/>
      <c r="E97" s="130">
        <v>2.0</v>
      </c>
      <c r="F97" s="113">
        <f>Z70</f>
        <v>0</v>
      </c>
      <c r="G97" s="107">
        <f t="shared" si="14"/>
        <v>0</v>
      </c>
      <c r="H97" s="131" t="s">
        <v>72</v>
      </c>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3"/>
      <c r="AJ97" s="134"/>
      <c r="AL97" s="130">
        <v>2.0</v>
      </c>
      <c r="AM97" s="113">
        <f>COUNTIF(Z30:Z69,"A")</f>
        <v>0</v>
      </c>
      <c r="AN97" s="410">
        <f>SUM(AM97/C18*100)</f>
        <v>0</v>
      </c>
      <c r="AO97" s="208">
        <f>COUNTIF(Z30:Z69,"B")</f>
        <v>2</v>
      </c>
      <c r="AP97" s="410">
        <f>SUM(AO97/C18*100)</f>
        <v>6.896551724</v>
      </c>
      <c r="AQ97" s="208">
        <f>COUNTIF(Z30:Z69,"C")</f>
        <v>0</v>
      </c>
      <c r="AR97" s="410">
        <f>SUM(AQ97/C18*100)</f>
        <v>0</v>
      </c>
      <c r="AS97" s="208">
        <f>COUNTIF(Z30:Z69,"D")</f>
        <v>24</v>
      </c>
      <c r="AT97" s="411">
        <f>SUM(AS97/C18*100)</f>
        <v>82.75862069</v>
      </c>
    </row>
    <row r="98">
      <c r="A98" s="94"/>
      <c r="B98" s="95"/>
      <c r="C98" s="103"/>
      <c r="D98" s="47"/>
      <c r="E98" s="130">
        <v>3.0</v>
      </c>
      <c r="F98" s="113">
        <f>AA70</f>
        <v>25</v>
      </c>
      <c r="G98" s="107">
        <f t="shared" si="14"/>
        <v>86.20689655</v>
      </c>
      <c r="H98" s="131" t="s">
        <v>73</v>
      </c>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3"/>
      <c r="AJ98" s="134"/>
      <c r="AL98" s="130">
        <v>3.0</v>
      </c>
      <c r="AM98" s="113">
        <f>COUNTIF(AA30:AA69,"A")</f>
        <v>0</v>
      </c>
      <c r="AN98" s="410">
        <f>SUM(AM98/C18*100)</f>
        <v>0</v>
      </c>
      <c r="AO98" s="208">
        <f>COUNTIF(AA30:AA69,"B")</f>
        <v>25</v>
      </c>
      <c r="AP98" s="410">
        <f>SUM(AO98/C18*100)</f>
        <v>86.20689655</v>
      </c>
      <c r="AQ98" s="208">
        <f>COUNTIF(AA30:AA69,"C")</f>
        <v>0</v>
      </c>
      <c r="AR98" s="410">
        <f>SUM(AQ98/C18*100)</f>
        <v>0</v>
      </c>
      <c r="AS98" s="208">
        <f>COUNTIF(AA30:AA69,"D")</f>
        <v>1</v>
      </c>
      <c r="AT98" s="411">
        <f>SUM(AS98/C18*100)</f>
        <v>3.448275862</v>
      </c>
    </row>
    <row r="99">
      <c r="A99" s="94"/>
      <c r="B99" s="95"/>
      <c r="C99" s="103"/>
      <c r="D99" s="47"/>
      <c r="E99" s="130">
        <v>4.0</v>
      </c>
      <c r="F99" s="113">
        <f>AB70</f>
        <v>24</v>
      </c>
      <c r="G99" s="107">
        <f t="shared" si="14"/>
        <v>82.75862069</v>
      </c>
      <c r="H99" s="135" t="s">
        <v>74</v>
      </c>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3"/>
      <c r="AJ99" s="134"/>
      <c r="AL99" s="130">
        <v>4.0</v>
      </c>
      <c r="AM99" s="113">
        <f>COUNTIF(AB30:AB69,"A")</f>
        <v>0</v>
      </c>
      <c r="AN99" s="410">
        <f>SUM(AM99/C18*100)</f>
        <v>0</v>
      </c>
      <c r="AO99" s="208">
        <f>COUNTIF(AB30:AB69,"B")</f>
        <v>2</v>
      </c>
      <c r="AP99" s="410">
        <f>SUM(AO99/C18*100)</f>
        <v>6.896551724</v>
      </c>
      <c r="AQ99" s="208">
        <f>COUNTIF(AB30:AB69,"C")</f>
        <v>0</v>
      </c>
      <c r="AR99" s="410">
        <f>SUM(AQ99/C18*100)</f>
        <v>0</v>
      </c>
      <c r="AS99" s="208">
        <f>COUNTIF(AB30:AB69,"D")</f>
        <v>24</v>
      </c>
      <c r="AT99" s="411">
        <f>SUM(AS99/C18*100)</f>
        <v>82.75862069</v>
      </c>
    </row>
    <row r="100">
      <c r="A100" s="94"/>
      <c r="B100" s="95"/>
      <c r="C100" s="103"/>
      <c r="D100" s="47"/>
      <c r="E100" s="130">
        <v>5.0</v>
      </c>
      <c r="F100" s="113">
        <f>AC70</f>
        <v>1</v>
      </c>
      <c r="G100" s="107">
        <f t="shared" si="14"/>
        <v>3.448275862</v>
      </c>
      <c r="H100" s="136" t="s">
        <v>71</v>
      </c>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3"/>
      <c r="AJ100" s="134"/>
      <c r="AL100" s="130">
        <v>5.0</v>
      </c>
      <c r="AM100" s="113">
        <f>COUNTIF(AC30:AC69,"A")</f>
        <v>1</v>
      </c>
      <c r="AN100" s="410">
        <f>SUM(AM100/C18*100)</f>
        <v>3.448275862</v>
      </c>
      <c r="AO100" s="208">
        <f>COUNTIF(AC30:AC69,"B")</f>
        <v>1</v>
      </c>
      <c r="AP100" s="410">
        <f>SUM(AO100/C18*100)</f>
        <v>3.448275862</v>
      </c>
      <c r="AQ100" s="208">
        <f>COUNTIF(AC30:AC69,"C")</f>
        <v>24</v>
      </c>
      <c r="AR100" s="410">
        <f>SUM(AQ100/C18*100)</f>
        <v>82.75862069</v>
      </c>
      <c r="AS100" s="208">
        <f>COUNTIF(AC30:AC69,"D")</f>
        <v>0</v>
      </c>
      <c r="AT100" s="411">
        <f>SUM(AS100/C18*100)</f>
        <v>0</v>
      </c>
    </row>
    <row r="101">
      <c r="A101" s="94"/>
      <c r="B101" s="95"/>
      <c r="C101" s="103"/>
      <c r="D101" s="47"/>
      <c r="E101" s="130">
        <v>6.0</v>
      </c>
      <c r="F101" s="113">
        <f>AD70</f>
        <v>1</v>
      </c>
      <c r="G101" s="107">
        <f t="shared" si="14"/>
        <v>3.448275862</v>
      </c>
      <c r="H101" s="137" t="s">
        <v>75</v>
      </c>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3"/>
      <c r="AJ101" s="134"/>
      <c r="AL101" s="130">
        <v>6.0</v>
      </c>
      <c r="AM101" s="113">
        <f>COUNTIF(AD30:AD69,"A")</f>
        <v>2</v>
      </c>
      <c r="AN101" s="410">
        <f>SUM(AM101/C18*100)</f>
        <v>6.896551724</v>
      </c>
      <c r="AO101" s="208">
        <f>COUNTIF(AD30:AD69,"B")</f>
        <v>1</v>
      </c>
      <c r="AP101" s="410">
        <f>SUM(AO101/C18*100)</f>
        <v>3.448275862</v>
      </c>
      <c r="AQ101" s="208">
        <f>COUNTIF(AD30:AD69,"C")</f>
        <v>22</v>
      </c>
      <c r="AR101" s="410">
        <f>SUM(AQ101/C18*100)</f>
        <v>75.86206897</v>
      </c>
      <c r="AS101" s="208">
        <f>COUNTIF(AD30:AD69,"D")</f>
        <v>1</v>
      </c>
      <c r="AT101" s="411">
        <f>SUM(AS101/C18*100)</f>
        <v>3.448275862</v>
      </c>
    </row>
    <row r="102">
      <c r="A102" s="94"/>
      <c r="B102" s="95"/>
      <c r="C102" s="103"/>
      <c r="D102" s="47"/>
      <c r="E102" s="130">
        <v>7.0</v>
      </c>
      <c r="F102" s="113">
        <f>AE70</f>
        <v>21</v>
      </c>
      <c r="G102" s="107">
        <f t="shared" si="14"/>
        <v>72.4137931</v>
      </c>
      <c r="H102" s="135" t="s">
        <v>76</v>
      </c>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3"/>
      <c r="AJ102" s="134"/>
      <c r="AL102" s="130">
        <v>7.0</v>
      </c>
      <c r="AM102" s="113">
        <f>COUNTIF(AE30:AE69,"A")</f>
        <v>1</v>
      </c>
      <c r="AN102" s="410">
        <f>SUM(AM102/C18*100)</f>
        <v>3.448275862</v>
      </c>
      <c r="AO102" s="208">
        <f>COUNTIF(AE30:AE69,"B")</f>
        <v>21</v>
      </c>
      <c r="AP102" s="410">
        <f>SUM(AO102/C18*100)</f>
        <v>72.4137931</v>
      </c>
      <c r="AQ102" s="208">
        <f>COUNTIF(AE30:AE69,"C")</f>
        <v>4</v>
      </c>
      <c r="AR102" s="410">
        <f>SUM(AQ102/C18*100)</f>
        <v>13.79310345</v>
      </c>
      <c r="AS102" s="208">
        <f>COUNTIF(AE30:AE69,"D")</f>
        <v>0</v>
      </c>
      <c r="AT102" s="411">
        <f>SUM(AS102/C18*100)</f>
        <v>0</v>
      </c>
    </row>
    <row r="103">
      <c r="A103" s="94"/>
      <c r="B103" s="95"/>
      <c r="C103" s="103"/>
      <c r="D103" s="47"/>
      <c r="E103" s="130">
        <v>8.0</v>
      </c>
      <c r="F103" s="113">
        <f>AF70</f>
        <v>0</v>
      </c>
      <c r="G103" s="107">
        <f t="shared" si="14"/>
        <v>0</v>
      </c>
      <c r="H103" s="131" t="s">
        <v>77</v>
      </c>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9"/>
      <c r="AJ103" s="134"/>
      <c r="AL103" s="130">
        <v>8.0</v>
      </c>
      <c r="AM103" s="113">
        <f>COUNTIF(AF30:AF69,"A")</f>
        <v>22</v>
      </c>
      <c r="AN103" s="410">
        <f>SUM(AM103/C18*100)</f>
        <v>75.86206897</v>
      </c>
      <c r="AO103" s="208">
        <f>COUNTIF(AF30:AF69,"B")</f>
        <v>0</v>
      </c>
      <c r="AP103" s="410">
        <f>SUM(AO103/C18*100)</f>
        <v>0</v>
      </c>
      <c r="AQ103" s="208">
        <f>COUNTIF(AF30:AF69,"C")</f>
        <v>0</v>
      </c>
      <c r="AR103" s="410">
        <f>SUM(AQ103/C18*100)</f>
        <v>0</v>
      </c>
      <c r="AS103" s="208">
        <f>COUNTIF(AF30:AF69,"D")</f>
        <v>4</v>
      </c>
      <c r="AT103" s="411">
        <f>SUM(AS103/C18*100)</f>
        <v>13.79310345</v>
      </c>
    </row>
    <row r="104">
      <c r="A104" s="94"/>
      <c r="B104" s="95"/>
      <c r="C104" s="103"/>
      <c r="D104" s="47"/>
      <c r="E104" s="130">
        <v>9.0</v>
      </c>
      <c r="F104" s="113">
        <f>AG70</f>
        <v>1</v>
      </c>
      <c r="G104" s="107">
        <f t="shared" si="14"/>
        <v>3.448275862</v>
      </c>
      <c r="H104" s="135" t="s">
        <v>78</v>
      </c>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3"/>
      <c r="AJ104" s="134"/>
      <c r="AL104" s="130">
        <v>9.0</v>
      </c>
      <c r="AM104" s="113">
        <f>COUNTIF(AG30:AG69,"A")</f>
        <v>1</v>
      </c>
      <c r="AN104" s="410">
        <f>SUM(AM104/C18*100)</f>
        <v>3.448275862</v>
      </c>
      <c r="AO104" s="208">
        <f>COUNTIF(AG30:AG69,"B")</f>
        <v>0</v>
      </c>
      <c r="AP104" s="410">
        <f>SUM(AO104/C18*100)</f>
        <v>0</v>
      </c>
      <c r="AQ104" s="208">
        <f>COUNTIF(AG30:AG69,"C")</f>
        <v>2</v>
      </c>
      <c r="AR104" s="410">
        <f>SUM(AQ104/C18*100)</f>
        <v>6.896551724</v>
      </c>
      <c r="AS104" s="208">
        <f>COUNTIF(AG30:AG69,"D")</f>
        <v>23</v>
      </c>
      <c r="AT104" s="411">
        <f>SUM(AS104/C18*100)</f>
        <v>79.31034483</v>
      </c>
    </row>
    <row r="105" ht="15.75" customHeight="1">
      <c r="A105" s="94"/>
      <c r="B105" s="95"/>
      <c r="C105" s="103"/>
      <c r="D105" s="47"/>
      <c r="E105" s="130">
        <v>10.0</v>
      </c>
      <c r="F105" s="113">
        <f>AH70</f>
        <v>1</v>
      </c>
      <c r="G105" s="107">
        <f t="shared" si="14"/>
        <v>3.448275862</v>
      </c>
      <c r="H105" s="137" t="s">
        <v>75</v>
      </c>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3"/>
      <c r="AJ105" s="134"/>
      <c r="AL105" s="130">
        <v>10.0</v>
      </c>
      <c r="AM105" s="113">
        <f>COUNTIF(AH30:AH69,"A")</f>
        <v>21</v>
      </c>
      <c r="AN105" s="410">
        <f>SUM(AM105/C18*100)</f>
        <v>72.4137931</v>
      </c>
      <c r="AO105" s="208">
        <f>COUNTIF(AH30:AH69,"B")</f>
        <v>2</v>
      </c>
      <c r="AP105" s="410">
        <f>SUM(AO105/C18*100)</f>
        <v>6.896551724</v>
      </c>
      <c r="AQ105" s="208">
        <f>COUNTIF(AH30:AH69,"C")</f>
        <v>1</v>
      </c>
      <c r="AR105" s="410">
        <f>SUM(AQ105/C18*100)</f>
        <v>3.448275862</v>
      </c>
      <c r="AS105" s="208">
        <f>COUNTIF(AH30:AH69,"D")</f>
        <v>2</v>
      </c>
      <c r="AT105" s="411">
        <f>SUM(AS105/C18*100)</f>
        <v>6.896551724</v>
      </c>
    </row>
    <row r="106">
      <c r="A106" s="94"/>
      <c r="B106" s="95"/>
      <c r="C106" s="103"/>
      <c r="D106" s="47"/>
      <c r="E106" s="130">
        <v>11.0</v>
      </c>
      <c r="F106" s="113">
        <f>AI70</f>
        <v>2</v>
      </c>
      <c r="G106" s="107">
        <f t="shared" si="14"/>
        <v>6.896551724</v>
      </c>
      <c r="H106" s="135" t="s">
        <v>79</v>
      </c>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3"/>
      <c r="AJ106" s="134"/>
      <c r="AL106" s="130">
        <v>11.0</v>
      </c>
      <c r="AM106" s="113">
        <f>COUNTIF(AI30:AI69,"A")</f>
        <v>2</v>
      </c>
      <c r="AN106" s="410">
        <f>SUM(AM106/C18*100)</f>
        <v>6.896551724</v>
      </c>
      <c r="AO106" s="208">
        <f>COUNTIF(AI30:AI69,"B")</f>
        <v>2</v>
      </c>
      <c r="AP106" s="410">
        <f>SUM(AO106/C18*100)</f>
        <v>6.896551724</v>
      </c>
      <c r="AQ106" s="208">
        <f>COUNTIF(AI30:AI69,"C")</f>
        <v>22</v>
      </c>
      <c r="AR106" s="410">
        <f>SUM(AQ106/C18*100)</f>
        <v>75.86206897</v>
      </c>
      <c r="AS106" s="208">
        <f>COUNTIF(AI30:AI69,"D")</f>
        <v>0</v>
      </c>
      <c r="AT106" s="411">
        <f>SUM(AS106/C18*100)</f>
        <v>0</v>
      </c>
    </row>
    <row r="107">
      <c r="A107" s="94"/>
      <c r="B107" s="95"/>
      <c r="C107" s="103"/>
      <c r="D107" s="47"/>
      <c r="E107" s="130">
        <v>12.0</v>
      </c>
      <c r="F107" s="114">
        <f>AJ70</f>
        <v>0</v>
      </c>
      <c r="G107" s="107">
        <f t="shared" si="14"/>
        <v>0</v>
      </c>
      <c r="H107" s="131" t="s">
        <v>80</v>
      </c>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1"/>
      <c r="AJ107" s="142"/>
      <c r="AL107" s="130">
        <v>12.0</v>
      </c>
      <c r="AM107" s="113">
        <f>COUNTIF(AJ30:AJ69,"A")</f>
        <v>0</v>
      </c>
      <c r="AN107" s="410">
        <f>SUM(AM107/C18*100)</f>
        <v>0</v>
      </c>
      <c r="AO107" s="208">
        <f>COUNTIF(AJ30:AJ69,"B")</f>
        <v>24</v>
      </c>
      <c r="AP107" s="410">
        <f>SUM(AO107/C18*100)</f>
        <v>82.75862069</v>
      </c>
      <c r="AQ107" s="208">
        <f>COUNTIF(AJ30:AJ69,"C")</f>
        <v>0</v>
      </c>
      <c r="AR107" s="410">
        <f>SUM(AQ107/C18*100)</f>
        <v>0</v>
      </c>
      <c r="AS107" s="208">
        <f>COUNTIF(AJ30:AJ69,"D")</f>
        <v>2</v>
      </c>
      <c r="AT107" s="411">
        <f>SUM(AS107/C18*100)</f>
        <v>6.896551724</v>
      </c>
    </row>
    <row r="108">
      <c r="A108" s="94"/>
      <c r="B108" s="95"/>
      <c r="C108" s="103"/>
      <c r="D108" s="47"/>
      <c r="E108" s="130">
        <v>13.0</v>
      </c>
      <c r="F108" s="113">
        <f>AK70</f>
        <v>1</v>
      </c>
      <c r="G108" s="107">
        <f t="shared" si="14"/>
        <v>3.448275862</v>
      </c>
      <c r="H108" s="137" t="s">
        <v>81</v>
      </c>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1"/>
      <c r="AJ108" s="143"/>
      <c r="AL108" s="130">
        <v>13.0</v>
      </c>
      <c r="AM108" s="113">
        <f>COUNTIF(AK30:AK69,"A")</f>
        <v>1</v>
      </c>
      <c r="AN108" s="410">
        <f>SUM(AM108/C18*100)</f>
        <v>3.448275862</v>
      </c>
      <c r="AO108" s="208">
        <f>COUNTIF(AK30:AK69,"B")</f>
        <v>6</v>
      </c>
      <c r="AP108" s="410">
        <f>SUM(AO108/C18*100)</f>
        <v>20.68965517</v>
      </c>
      <c r="AQ108" s="208">
        <f>COUNTIF(AK30:AK69,"C")</f>
        <v>2</v>
      </c>
      <c r="AR108" s="410">
        <f>SUM(AQ108/C18*100)</f>
        <v>6.896551724</v>
      </c>
      <c r="AS108" s="208">
        <f>COUNTIF(AK30:AK69,"D")</f>
        <v>17</v>
      </c>
      <c r="AT108" s="411">
        <f>SUM(AS108/C18*100)</f>
        <v>58.62068966</v>
      </c>
    </row>
    <row r="109">
      <c r="A109" s="94"/>
      <c r="B109" s="95"/>
      <c r="C109" s="103"/>
      <c r="D109" s="47"/>
      <c r="E109" s="130">
        <v>14.0</v>
      </c>
      <c r="F109" s="113">
        <f>AL70</f>
        <v>0</v>
      </c>
      <c r="G109" s="107">
        <f t="shared" si="14"/>
        <v>0</v>
      </c>
      <c r="H109" s="135" t="s">
        <v>79</v>
      </c>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3"/>
      <c r="AJ109" s="134"/>
      <c r="AL109" s="130">
        <v>14.0</v>
      </c>
      <c r="AM109" s="113">
        <f>COUNTIF(AL30:AL69,"A")</f>
        <v>0</v>
      </c>
      <c r="AN109" s="410">
        <f>SUM(AM109/C18*100)</f>
        <v>0</v>
      </c>
      <c r="AO109" s="208">
        <f>COUNTIF(AL30:AL69,"B")</f>
        <v>24</v>
      </c>
      <c r="AP109" s="410">
        <f>SUM(AO109/C18*100)</f>
        <v>82.75862069</v>
      </c>
      <c r="AQ109" s="208">
        <f>COUNTIF(AL30:AL69,"C")</f>
        <v>1</v>
      </c>
      <c r="AR109" s="410">
        <f>SUM(AQ109/C18*100)</f>
        <v>3.448275862</v>
      </c>
      <c r="AS109" s="208">
        <f>COUNTIF(AL30:AL69,"D")</f>
        <v>0</v>
      </c>
      <c r="AT109" s="411">
        <f>SUM(AS109/C18*100)</f>
        <v>0</v>
      </c>
    </row>
    <row r="110">
      <c r="A110" s="94"/>
      <c r="B110" s="95"/>
      <c r="C110" s="103"/>
      <c r="D110" s="47"/>
      <c r="E110" s="130">
        <v>15.0</v>
      </c>
      <c r="F110" s="113">
        <f>AM70</f>
        <v>0</v>
      </c>
      <c r="G110" s="107">
        <f t="shared" si="14"/>
        <v>0</v>
      </c>
      <c r="H110" s="145" t="s">
        <v>82</v>
      </c>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3"/>
      <c r="AJ110" s="134"/>
      <c r="AL110" s="130">
        <v>15.0</v>
      </c>
      <c r="AM110" s="113">
        <f>COUNTIF(AM30:AM69,"A")</f>
        <v>4</v>
      </c>
      <c r="AN110" s="410">
        <f>SUM(AM110/C18*100)</f>
        <v>13.79310345</v>
      </c>
      <c r="AO110" s="208">
        <f>COUNTIF(AM30:AM69,"B")</f>
        <v>1</v>
      </c>
      <c r="AP110" s="410">
        <f>SUM(AO110/C18*100)</f>
        <v>3.448275862</v>
      </c>
      <c r="AQ110" s="208">
        <f>COUNTIF(AM30:AM69,"C")</f>
        <v>20</v>
      </c>
      <c r="AR110" s="410">
        <f>SUM(AQ110/C18*100)</f>
        <v>68.96551724</v>
      </c>
      <c r="AS110" s="208">
        <f>COUNTIF(AM30:AM69,"D")</f>
        <v>0</v>
      </c>
      <c r="AT110" s="411">
        <f>SUM(AS110/C18*100)</f>
        <v>0</v>
      </c>
    </row>
    <row r="111">
      <c r="A111" s="94"/>
      <c r="B111" s="95"/>
      <c r="C111" s="103"/>
      <c r="D111" s="47"/>
      <c r="E111" s="130">
        <v>16.0</v>
      </c>
      <c r="F111" s="113">
        <f>AN70</f>
        <v>2</v>
      </c>
      <c r="G111" s="107">
        <f t="shared" si="14"/>
        <v>6.896551724</v>
      </c>
      <c r="H111" s="135" t="s">
        <v>83</v>
      </c>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3"/>
      <c r="AJ111" s="134"/>
      <c r="AL111" s="130">
        <v>16.0</v>
      </c>
      <c r="AM111" s="113">
        <f>COUNTIF(AN30:AN69,"A")</f>
        <v>13</v>
      </c>
      <c r="AN111" s="410">
        <f>SUM(AM111/C18*100)</f>
        <v>44.82758621</v>
      </c>
      <c r="AO111" s="208">
        <f>COUNTIF(AN30:AN69,"B")</f>
        <v>2</v>
      </c>
      <c r="AP111" s="410">
        <f>SUM(AO111/C18*100)</f>
        <v>6.896551724</v>
      </c>
      <c r="AQ111" s="208">
        <f>COUNTIF(AN30:AN69,"C")</f>
        <v>2</v>
      </c>
      <c r="AR111" s="410">
        <f>SUM(AQ111/C18*100)</f>
        <v>6.896551724</v>
      </c>
      <c r="AS111" s="208">
        <f>COUNTIF(AN30:AN69,"D")</f>
        <v>8</v>
      </c>
      <c r="AT111" s="411">
        <f>SUM(AS111/C18*100)</f>
        <v>27.5862069</v>
      </c>
    </row>
    <row r="112" ht="15.75" customHeight="1">
      <c r="A112" s="94"/>
      <c r="B112" s="95"/>
      <c r="C112" s="103"/>
      <c r="D112" s="47"/>
      <c r="E112" s="130">
        <v>17.0</v>
      </c>
      <c r="F112" s="113">
        <f>AO70</f>
        <v>2</v>
      </c>
      <c r="G112" s="107">
        <f t="shared" si="14"/>
        <v>6.896551724</v>
      </c>
      <c r="H112" s="144" t="s">
        <v>84</v>
      </c>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3"/>
      <c r="AJ112" s="134"/>
      <c r="AL112" s="130">
        <v>17.0</v>
      </c>
      <c r="AM112" s="113">
        <f>COUNTIF(AO30:AO69,"A")</f>
        <v>1</v>
      </c>
      <c r="AN112" s="410">
        <f>SUM(AM112/C18*100)</f>
        <v>3.448275862</v>
      </c>
      <c r="AO112" s="208">
        <f>COUNTIF(AO30:AO69,"B")</f>
        <v>22</v>
      </c>
      <c r="AP112" s="410">
        <f>SUM(AO112/C18*100)</f>
        <v>75.86206897</v>
      </c>
      <c r="AQ112" s="208">
        <f>COUNTIF(AO30:AO69,"C")</f>
        <v>2</v>
      </c>
      <c r="AR112" s="410">
        <f>SUM(AQ112/C18*100)</f>
        <v>6.896551724</v>
      </c>
      <c r="AS112" s="208">
        <f>COUNTIF(AO30:AO69,"D")</f>
        <v>0</v>
      </c>
      <c r="AT112" s="411">
        <f>SUM(AS112/C18*100)</f>
        <v>0</v>
      </c>
    </row>
    <row r="113" ht="15.75" customHeight="1">
      <c r="A113" s="94"/>
      <c r="B113" s="95"/>
      <c r="C113" s="103"/>
      <c r="D113" s="47"/>
      <c r="E113" s="130">
        <v>18.0</v>
      </c>
      <c r="F113" s="113">
        <f>AP70</f>
        <v>1</v>
      </c>
      <c r="G113" s="107">
        <f t="shared" si="14"/>
        <v>3.448275862</v>
      </c>
      <c r="H113" s="135" t="s">
        <v>83</v>
      </c>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3"/>
      <c r="AJ113" s="134"/>
      <c r="AL113" s="130">
        <v>18.0</v>
      </c>
      <c r="AM113" s="113">
        <f>COUNTIF(AP30:AP69,"A")</f>
        <v>1</v>
      </c>
      <c r="AN113" s="410">
        <f>SUM(AM113/C18*100)</f>
        <v>3.448275862</v>
      </c>
      <c r="AO113" s="208">
        <f>COUNTIF(AP30:AP69,"B")</f>
        <v>0</v>
      </c>
      <c r="AP113" s="410">
        <f>SUM(AO113/C18*100)</f>
        <v>0</v>
      </c>
      <c r="AQ113" s="208">
        <f>COUNTIF(AP30:AP69,"C")</f>
        <v>21</v>
      </c>
      <c r="AR113" s="410">
        <f>SUM(AQ113/C18*100)</f>
        <v>72.4137931</v>
      </c>
      <c r="AS113" s="208">
        <f>COUNTIF(AP30:AP69,"D")</f>
        <v>4</v>
      </c>
      <c r="AT113" s="411">
        <f>SUM(AS113/C18*100)</f>
        <v>13.79310345</v>
      </c>
    </row>
    <row r="114" ht="15.75" customHeight="1">
      <c r="A114" s="94"/>
      <c r="B114" s="95"/>
      <c r="C114" s="103"/>
      <c r="D114" s="47"/>
      <c r="E114" s="130">
        <v>19.0</v>
      </c>
      <c r="F114" s="113">
        <f>AQ70</f>
        <v>21</v>
      </c>
      <c r="G114" s="107">
        <f t="shared" si="14"/>
        <v>72.4137931</v>
      </c>
      <c r="H114" s="145" t="s">
        <v>85</v>
      </c>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3"/>
      <c r="AJ114" s="134"/>
      <c r="AL114" s="130">
        <v>19.0</v>
      </c>
      <c r="AM114" s="113">
        <f>COUNTIF(AQ30:AQ69,"A")</f>
        <v>4</v>
      </c>
      <c r="AN114" s="410">
        <f>SUM(AM114/C18*100)</f>
        <v>13.79310345</v>
      </c>
      <c r="AO114" s="208">
        <f>COUNTIF(AQ30:AQ69,"B")</f>
        <v>0</v>
      </c>
      <c r="AP114" s="410">
        <f>SUM(AO114/C18*100)</f>
        <v>0</v>
      </c>
      <c r="AQ114" s="208">
        <f>COUNTIF(AQ30:AQ69,"C")</f>
        <v>1</v>
      </c>
      <c r="AR114" s="410">
        <f>SUM(AQ114/C18*100)</f>
        <v>3.448275862</v>
      </c>
      <c r="AS114" s="208">
        <f>COUNTIF(AQ30:AQ69,"D")</f>
        <v>21</v>
      </c>
      <c r="AT114" s="411">
        <f>SUM(AS114/C18*100)</f>
        <v>72.4137931</v>
      </c>
    </row>
    <row r="115" ht="15.75" customHeight="1">
      <c r="A115" s="94"/>
      <c r="B115" s="95"/>
      <c r="C115" s="103"/>
      <c r="D115" s="47"/>
      <c r="E115" s="130">
        <v>20.0</v>
      </c>
      <c r="F115" s="113">
        <f>AR70</f>
        <v>3</v>
      </c>
      <c r="G115" s="107">
        <f t="shared" si="14"/>
        <v>10.34482759</v>
      </c>
      <c r="H115" s="135" t="s">
        <v>83</v>
      </c>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3"/>
      <c r="AJ115" s="134"/>
      <c r="AL115" s="130">
        <v>20.0</v>
      </c>
      <c r="AM115" s="113">
        <f>COUNTIF(AR30:AR69,"A")</f>
        <v>2</v>
      </c>
      <c r="AN115" s="410">
        <f>SUM(AM115/C18*100)</f>
        <v>6.896551724</v>
      </c>
      <c r="AO115" s="208">
        <f>COUNTIF(AR30:AR69,"B")</f>
        <v>3</v>
      </c>
      <c r="AP115" s="410">
        <f>SUM(AO115/C18*100)</f>
        <v>10.34482759</v>
      </c>
      <c r="AQ115" s="208">
        <f>COUNTIF(AR30:AR69,"C")</f>
        <v>20</v>
      </c>
      <c r="AR115" s="410">
        <f>SUM(AQ115/C18*100)</f>
        <v>68.96551724</v>
      </c>
      <c r="AS115" s="208">
        <f>COUNTIF(AR30:AR69,"D")</f>
        <v>1</v>
      </c>
      <c r="AT115" s="411">
        <f>SUM(AS115/C18*100)</f>
        <v>3.448275862</v>
      </c>
    </row>
    <row r="116" ht="15.75" customHeight="1">
      <c r="A116" s="94"/>
      <c r="B116" s="95"/>
      <c r="C116" s="103"/>
      <c r="D116" s="47"/>
      <c r="E116" s="130">
        <v>21.0</v>
      </c>
      <c r="F116" s="113">
        <f>AS70</f>
        <v>1</v>
      </c>
      <c r="G116" s="107">
        <f t="shared" si="14"/>
        <v>3.448275862</v>
      </c>
      <c r="H116" s="135" t="s">
        <v>78</v>
      </c>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3"/>
      <c r="AJ116" s="134"/>
      <c r="AL116" s="130">
        <v>21.0</v>
      </c>
      <c r="AM116" s="113">
        <f>COUNTIF(AS30:AS69,"A")</f>
        <v>0</v>
      </c>
      <c r="AN116" s="410">
        <f>SUM(AM116/C18*100)</f>
        <v>0</v>
      </c>
      <c r="AO116" s="208">
        <f>COUNTIF(AS30:AS69,"B")</f>
        <v>4</v>
      </c>
      <c r="AP116" s="410">
        <f>SUM(AO116/C18*100)</f>
        <v>13.79310345</v>
      </c>
      <c r="AQ116" s="208">
        <f>COUNTIF(AS30:AS69,"C")</f>
        <v>21</v>
      </c>
      <c r="AR116" s="410">
        <f>SUM(AQ116/C18*100)</f>
        <v>72.4137931</v>
      </c>
      <c r="AS116" s="208">
        <f>COUNTIF(AS30:AS69,"D")</f>
        <v>1</v>
      </c>
      <c r="AT116" s="411">
        <f>SUM(AS116/C18*100)</f>
        <v>3.448275862</v>
      </c>
    </row>
    <row r="117" ht="15.75" customHeight="1">
      <c r="A117" s="85"/>
      <c r="B117" s="85"/>
      <c r="C117" s="146"/>
      <c r="D117" s="65"/>
      <c r="E117" s="130">
        <v>22.0</v>
      </c>
      <c r="F117" s="113">
        <f>AT70</f>
        <v>4</v>
      </c>
      <c r="G117" s="107">
        <f t="shared" si="14"/>
        <v>13.79310345</v>
      </c>
      <c r="H117" s="137" t="s">
        <v>86</v>
      </c>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8"/>
      <c r="AJ117" s="134"/>
      <c r="AL117" s="165">
        <v>22.0</v>
      </c>
      <c r="AM117" s="113">
        <f>COUNTIF(AT30:AT69,"A")</f>
        <v>4</v>
      </c>
      <c r="AN117" s="410">
        <f>SUM(AM117/C18*100)</f>
        <v>13.79310345</v>
      </c>
      <c r="AO117" s="208">
        <f>COUNTIF(AT30:AT69,"B")</f>
        <v>19</v>
      </c>
      <c r="AP117" s="410">
        <f>SUM(AO117/C18*100)</f>
        <v>65.51724138</v>
      </c>
      <c r="AQ117" s="208">
        <f>COUNTIF(AT30:AT69,"C")</f>
        <v>1</v>
      </c>
      <c r="AR117" s="410">
        <f>SUM(AQ117/C18*100)</f>
        <v>3.448275862</v>
      </c>
      <c r="AS117" s="208">
        <f>COUNTIF(AT30:AT69,"D")</f>
        <v>2</v>
      </c>
      <c r="AT117" s="411">
        <f>SUM(AS117/C18*100)</f>
        <v>6.896551724</v>
      </c>
    </row>
    <row r="118" ht="82.5" customHeight="1"/>
    <row r="119" ht="15.75" customHeight="1">
      <c r="A119" s="90"/>
      <c r="B119" s="90"/>
      <c r="C119" s="91"/>
      <c r="D119" s="417" t="s">
        <v>89</v>
      </c>
      <c r="E119" s="418"/>
      <c r="F119" s="418"/>
      <c r="G119" s="418"/>
      <c r="H119" s="418"/>
      <c r="I119" s="419"/>
      <c r="K119" s="170"/>
      <c r="L119" s="171"/>
      <c r="M119" s="171"/>
      <c r="N119" s="171"/>
      <c r="O119" s="171"/>
      <c r="P119" s="171"/>
      <c r="Q119" s="171"/>
      <c r="R119" s="171"/>
      <c r="S119" s="171"/>
      <c r="T119" s="171"/>
      <c r="U119" s="171"/>
      <c r="V119" s="171"/>
      <c r="W119" s="171"/>
      <c r="X119" s="171"/>
      <c r="Y119" s="171"/>
      <c r="Z119" s="171"/>
      <c r="AA119" s="171"/>
      <c r="AB119" s="171"/>
      <c r="AC119" s="171"/>
      <c r="AD119" s="171"/>
      <c r="AE119" s="171"/>
      <c r="AF119" s="171"/>
      <c r="AG119" s="171"/>
      <c r="AH119" s="171"/>
      <c r="AI119" s="171"/>
      <c r="AJ119" s="171"/>
      <c r="AK119" s="171"/>
      <c r="AL119" s="171"/>
      <c r="AM119" s="171"/>
      <c r="AN119" s="171"/>
      <c r="AO119" s="171"/>
      <c r="AP119" s="171"/>
      <c r="AQ119" s="171"/>
      <c r="AR119" s="171"/>
      <c r="AS119" s="171"/>
      <c r="AT119" s="171"/>
      <c r="AU119" s="171"/>
      <c r="AV119" s="171"/>
      <c r="AW119" s="171"/>
      <c r="AX119" s="171"/>
      <c r="AY119" s="171"/>
      <c r="AZ119" s="171"/>
      <c r="BA119" s="171"/>
      <c r="BB119" s="171"/>
      <c r="BC119" s="171"/>
      <c r="BD119" s="171"/>
      <c r="BE119" s="171"/>
      <c r="BF119" s="171"/>
      <c r="BG119" s="171"/>
      <c r="BH119" s="171"/>
      <c r="BI119" s="171"/>
      <c r="BJ119" s="337"/>
    </row>
    <row r="120" ht="15.75" customHeight="1">
      <c r="A120" s="94"/>
      <c r="B120" s="95"/>
      <c r="C120" s="103"/>
      <c r="D120" s="420" t="s">
        <v>10</v>
      </c>
      <c r="E120" s="421" t="s">
        <v>54</v>
      </c>
      <c r="F120" s="422" t="s">
        <v>90</v>
      </c>
      <c r="G120" s="423"/>
      <c r="H120" s="423"/>
      <c r="I120" s="424"/>
      <c r="K120" s="178"/>
      <c r="BJ120" s="338"/>
    </row>
    <row r="121" ht="15.75" customHeight="1">
      <c r="A121" s="94"/>
      <c r="B121" s="95"/>
      <c r="C121" s="103"/>
      <c r="D121" s="193">
        <f>COUNTIF(BB30:BB69,"ABAIXO DO BÁSICO")</f>
        <v>5</v>
      </c>
      <c r="E121" s="425">
        <f>SUM(D121/C18*100)</f>
        <v>17.24137931</v>
      </c>
      <c r="F121" s="426" t="s">
        <v>91</v>
      </c>
      <c r="G121" s="427"/>
      <c r="H121" s="427"/>
      <c r="I121" s="428"/>
      <c r="K121" s="178"/>
      <c r="BJ121" s="338"/>
    </row>
    <row r="122" ht="15.75" customHeight="1">
      <c r="A122" s="94"/>
      <c r="B122" s="95"/>
      <c r="C122" s="103"/>
      <c r="D122" s="193">
        <f>COUNTIF(BB30:BB69,"BÁSICO")</f>
        <v>3</v>
      </c>
      <c r="E122" s="425">
        <f>SUM(D122/C18*100)</f>
        <v>10.34482759</v>
      </c>
      <c r="F122" s="429" t="s">
        <v>92</v>
      </c>
      <c r="G122" s="427"/>
      <c r="H122" s="427"/>
      <c r="I122" s="428"/>
      <c r="K122" s="178"/>
      <c r="L122" s="192" t="s">
        <v>93</v>
      </c>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338"/>
    </row>
    <row r="123" ht="15.75" customHeight="1">
      <c r="A123" s="94"/>
      <c r="B123" s="95"/>
      <c r="C123" s="103"/>
      <c r="D123" s="193">
        <f>COUNTIF(BB30:BB69,"ADEQUADO")</f>
        <v>15</v>
      </c>
      <c r="E123" s="425">
        <f>SUM(D123/C18*100)</f>
        <v>51.72413793</v>
      </c>
      <c r="F123" s="430" t="s">
        <v>94</v>
      </c>
      <c r="G123" s="427"/>
      <c r="H123" s="427"/>
      <c r="I123" s="428"/>
      <c r="K123" s="178"/>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79"/>
      <c r="AN123" s="179"/>
      <c r="AO123" s="179"/>
      <c r="AP123" s="179"/>
      <c r="AQ123" s="179"/>
      <c r="AR123" s="179"/>
      <c r="AS123" s="179"/>
      <c r="AT123" s="179"/>
      <c r="AU123" s="179"/>
      <c r="AV123" s="179"/>
      <c r="AW123" s="179"/>
      <c r="AX123" s="179"/>
      <c r="AY123" s="179"/>
      <c r="AZ123" s="179"/>
      <c r="BA123" s="179"/>
      <c r="BB123" s="179"/>
      <c r="BC123" s="179"/>
      <c r="BD123" s="179"/>
      <c r="BE123" s="179"/>
      <c r="BF123" s="179"/>
      <c r="BG123" s="179"/>
      <c r="BH123" s="179"/>
      <c r="BI123" s="179"/>
      <c r="BJ123" s="338"/>
    </row>
    <row r="124" ht="15.75" customHeight="1">
      <c r="A124" s="94"/>
      <c r="B124" s="95"/>
      <c r="C124" s="103"/>
      <c r="D124" s="193">
        <f>COUNTIF(BB30:BB69,"AVANÇADO")</f>
        <v>6</v>
      </c>
      <c r="E124" s="425">
        <f>SUM(D124/C18*100)</f>
        <v>20.68965517</v>
      </c>
      <c r="F124" s="431" t="s">
        <v>95</v>
      </c>
      <c r="G124" s="427"/>
      <c r="H124" s="427"/>
      <c r="I124" s="428"/>
      <c r="K124" s="178"/>
      <c r="L124" s="179" t="s">
        <v>283</v>
      </c>
      <c r="BJ124" s="338"/>
    </row>
    <row r="125" ht="15.75" customHeight="1">
      <c r="A125" s="94"/>
      <c r="B125" s="95"/>
      <c r="C125" s="103"/>
      <c r="D125" s="226"/>
      <c r="E125" s="226"/>
      <c r="F125" s="226"/>
      <c r="G125" s="226"/>
      <c r="H125" s="432"/>
      <c r="I125" s="226"/>
      <c r="K125" s="178"/>
      <c r="L125" s="179" t="s">
        <v>284</v>
      </c>
      <c r="BJ125" s="338"/>
    </row>
    <row r="126" ht="15.75" customHeight="1">
      <c r="A126" s="94"/>
      <c r="B126" s="95"/>
      <c r="C126" s="103"/>
      <c r="D126" s="433" t="s">
        <v>16</v>
      </c>
      <c r="E126" s="434"/>
      <c r="F126" s="434"/>
      <c r="G126" s="434"/>
      <c r="H126" s="434"/>
      <c r="I126" s="435"/>
      <c r="K126" s="178"/>
      <c r="L126" s="179" t="s">
        <v>285</v>
      </c>
      <c r="BJ126" s="338"/>
    </row>
    <row r="127" ht="15.75" customHeight="1">
      <c r="A127" s="94"/>
      <c r="B127" s="95"/>
      <c r="C127" s="103"/>
      <c r="D127" s="420" t="s">
        <v>10</v>
      </c>
      <c r="E127" s="421" t="s">
        <v>54</v>
      </c>
      <c r="F127" s="422" t="s">
        <v>90</v>
      </c>
      <c r="G127" s="423"/>
      <c r="H127" s="423"/>
      <c r="I127" s="424"/>
      <c r="K127" s="178"/>
      <c r="L127" s="179" t="s">
        <v>286</v>
      </c>
      <c r="BJ127" s="338"/>
    </row>
    <row r="128" ht="15.75" customHeight="1">
      <c r="A128" s="94"/>
      <c r="B128" s="95"/>
      <c r="C128" s="103"/>
      <c r="D128" s="193">
        <f>COUNTIF(BF30:BF69,"ABAIXO DO BÁSICO")</f>
        <v>4</v>
      </c>
      <c r="E128" s="425">
        <f>SUM(D128/C18*100)</f>
        <v>13.79310345</v>
      </c>
      <c r="F128" s="426" t="s">
        <v>91</v>
      </c>
      <c r="G128" s="436"/>
      <c r="H128" s="436"/>
      <c r="I128" s="437"/>
      <c r="K128" s="178"/>
      <c r="L128" s="179"/>
      <c r="BJ128" s="338"/>
    </row>
    <row r="129" ht="15.75" customHeight="1">
      <c r="A129" s="94"/>
      <c r="B129" s="95"/>
      <c r="C129" s="103"/>
      <c r="D129" s="193">
        <f>COUNTIF(BF30:BF69,"BÁSICO")</f>
        <v>2</v>
      </c>
      <c r="E129" s="425">
        <f>SUM(D129/C18*100)</f>
        <v>6.896551724</v>
      </c>
      <c r="F129" s="429" t="s">
        <v>92</v>
      </c>
      <c r="G129" s="436"/>
      <c r="H129" s="436"/>
      <c r="I129" s="437"/>
      <c r="K129" s="178"/>
      <c r="L129" s="179" t="s">
        <v>287</v>
      </c>
      <c r="BJ129" s="338"/>
    </row>
    <row r="130" ht="15.75" customHeight="1">
      <c r="A130" s="94"/>
      <c r="B130" s="95"/>
      <c r="C130" s="103"/>
      <c r="D130" s="193">
        <f>COUNTIF(BF30:BF69,"ADEQUADO")</f>
        <v>8</v>
      </c>
      <c r="E130" s="425">
        <f>SUM(D130/C18*100)</f>
        <v>27.5862069</v>
      </c>
      <c r="F130" s="430" t="s">
        <v>94</v>
      </c>
      <c r="G130" s="436"/>
      <c r="H130" s="436"/>
      <c r="I130" s="437"/>
      <c r="K130" s="178"/>
      <c r="L130" s="179" t="s">
        <v>288</v>
      </c>
      <c r="BJ130" s="338"/>
    </row>
    <row r="131" ht="15.75" customHeight="1">
      <c r="A131" s="94"/>
      <c r="B131" s="95"/>
      <c r="C131" s="103"/>
      <c r="D131" s="193">
        <f>COUNTIF(BF30:BF69,"AVANÇADO")</f>
        <v>15</v>
      </c>
      <c r="E131" s="425">
        <f>SUM(D131/C18*100)</f>
        <v>51.72413793</v>
      </c>
      <c r="F131" s="431" t="s">
        <v>95</v>
      </c>
      <c r="G131" s="436"/>
      <c r="H131" s="436"/>
      <c r="I131" s="437"/>
      <c r="K131" s="178"/>
      <c r="L131" s="179" t="s">
        <v>289</v>
      </c>
      <c r="BJ131" s="338"/>
    </row>
    <row r="132" ht="15.75" customHeight="1">
      <c r="A132" s="94"/>
      <c r="B132" s="95"/>
      <c r="C132" s="103"/>
      <c r="D132" s="226"/>
      <c r="E132" s="226"/>
      <c r="F132" s="226"/>
      <c r="G132" s="226"/>
      <c r="H132" s="226"/>
      <c r="I132" s="226"/>
      <c r="K132" s="178"/>
      <c r="L132" s="179"/>
      <c r="BJ132" s="338"/>
    </row>
    <row r="133" ht="15.75" customHeight="1">
      <c r="A133" s="94"/>
      <c r="B133" s="95"/>
      <c r="C133" s="103"/>
      <c r="D133" s="438" t="s">
        <v>17</v>
      </c>
      <c r="E133" s="439"/>
      <c r="F133" s="439"/>
      <c r="G133" s="439"/>
      <c r="H133" s="439"/>
      <c r="I133" s="440"/>
      <c r="K133" s="178"/>
      <c r="L133" s="179" t="s">
        <v>290</v>
      </c>
      <c r="BJ133" s="338"/>
    </row>
    <row r="134" ht="15.75" customHeight="1">
      <c r="A134" s="94"/>
      <c r="B134" s="95"/>
      <c r="C134" s="103"/>
      <c r="D134" s="420" t="s">
        <v>10</v>
      </c>
      <c r="E134" s="421" t="s">
        <v>54</v>
      </c>
      <c r="F134" s="422" t="s">
        <v>90</v>
      </c>
      <c r="G134" s="423"/>
      <c r="H134" s="423"/>
      <c r="I134" s="424"/>
      <c r="K134" s="178"/>
      <c r="L134" s="179" t="s">
        <v>291</v>
      </c>
      <c r="BJ134" s="338"/>
    </row>
    <row r="135" ht="15.75" customHeight="1">
      <c r="A135" s="94"/>
      <c r="B135" s="95"/>
      <c r="C135" s="103"/>
      <c r="D135" s="193">
        <f>COUNTIF(BI30:BI69,"ABAIXO DO BÁSICO")</f>
        <v>5</v>
      </c>
      <c r="E135" s="425">
        <f>SUM(D135/C18*100)</f>
        <v>17.24137931</v>
      </c>
      <c r="F135" s="426" t="s">
        <v>91</v>
      </c>
      <c r="G135" s="427"/>
      <c r="H135" s="427"/>
      <c r="I135" s="428"/>
      <c r="K135" s="178"/>
      <c r="L135" s="179" t="s">
        <v>292</v>
      </c>
      <c r="BJ135" s="338"/>
    </row>
    <row r="136" ht="15.75" customHeight="1">
      <c r="A136" s="94"/>
      <c r="B136" s="95"/>
      <c r="C136" s="103"/>
      <c r="D136" s="193">
        <f>COUNTIF(BI30:BI69,"BÁSICO")</f>
        <v>1</v>
      </c>
      <c r="E136" s="425">
        <f>SUM(D136/C18*100)</f>
        <v>3.448275862</v>
      </c>
      <c r="F136" s="429" t="s">
        <v>92</v>
      </c>
      <c r="G136" s="427"/>
      <c r="H136" s="427"/>
      <c r="I136" s="428"/>
      <c r="K136" s="178"/>
      <c r="BJ136" s="338"/>
    </row>
    <row r="137" ht="15.75" customHeight="1">
      <c r="A137" s="94"/>
      <c r="B137" s="95"/>
      <c r="C137" s="103"/>
      <c r="D137" s="193">
        <f>COUNTIF(BI30:BI69,"ADEQUADO")</f>
        <v>6</v>
      </c>
      <c r="E137" s="425">
        <f>SUM(D137/C18*100)</f>
        <v>20.68965517</v>
      </c>
      <c r="F137" s="430" t="s">
        <v>94</v>
      </c>
      <c r="G137" s="427"/>
      <c r="H137" s="427"/>
      <c r="I137" s="428"/>
      <c r="K137" s="178"/>
      <c r="BJ137" s="338"/>
    </row>
    <row r="138" ht="15.75" customHeight="1">
      <c r="A138" s="84"/>
      <c r="B138" s="85"/>
      <c r="C138" s="146"/>
      <c r="D138" s="193">
        <f>COUNTIF(BI30:BI69,"AVANÇADO")</f>
        <v>17</v>
      </c>
      <c r="E138" s="425">
        <f>SUM(D138/C18*100)</f>
        <v>58.62068966</v>
      </c>
      <c r="F138" s="431" t="s">
        <v>95</v>
      </c>
      <c r="G138" s="427"/>
      <c r="H138" s="427"/>
      <c r="I138" s="428"/>
      <c r="K138" s="223"/>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c r="BC138" s="224"/>
      <c r="BD138" s="224"/>
      <c r="BE138" s="224"/>
      <c r="BF138" s="224"/>
      <c r="BG138" s="224"/>
      <c r="BH138" s="224"/>
      <c r="BI138" s="224"/>
      <c r="BJ138" s="340"/>
    </row>
    <row r="139" ht="15.75" customHeight="1"/>
    <row r="140" ht="15.75" customHeight="1"/>
    <row r="141" ht="15.75" customHeight="1"/>
    <row r="142" ht="15.75" customHeight="1"/>
    <row r="143" ht="15.75" customHeight="1"/>
    <row r="144" ht="15.75" customHeight="1"/>
    <row r="145" ht="15.75" customHeight="1"/>
    <row r="146" ht="73.5" customHeight="1">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180"/>
    </row>
    <row r="147" ht="15.75" customHeight="1"/>
    <row r="148" ht="15.75" customHeight="1">
      <c r="BA148" s="226" t="s">
        <v>107</v>
      </c>
    </row>
    <row r="149" ht="15.75" customHeight="1">
      <c r="AL149" s="227"/>
      <c r="AM149" s="227"/>
      <c r="AN149" s="227"/>
      <c r="AO149" s="227"/>
      <c r="AP149" s="227"/>
      <c r="AQ149" s="227"/>
      <c r="AR149" s="227"/>
      <c r="AS149" s="227"/>
      <c r="AT149" s="227"/>
      <c r="AU149" s="227"/>
      <c r="AV149" s="227"/>
      <c r="AW149" s="227"/>
      <c r="AX149" s="227"/>
      <c r="BA149" s="227" t="s">
        <v>108</v>
      </c>
    </row>
    <row r="150" ht="15.75" customHeight="1"/>
  </sheetData>
  <mergeCells count="60">
    <mergeCell ref="A19:B19"/>
    <mergeCell ref="A20:B20"/>
    <mergeCell ref="A21:B21"/>
    <mergeCell ref="A23:C23"/>
    <mergeCell ref="D25:BB25"/>
    <mergeCell ref="BD25:BI25"/>
    <mergeCell ref="A26:A29"/>
    <mergeCell ref="BI27:BI29"/>
    <mergeCell ref="BG26:BI26"/>
    <mergeCell ref="AV27:AV29"/>
    <mergeCell ref="AW27:AW29"/>
    <mergeCell ref="AX27:AX29"/>
    <mergeCell ref="AY27:AY29"/>
    <mergeCell ref="AZ27:AZ29"/>
    <mergeCell ref="BA27:BA29"/>
    <mergeCell ref="B26:B29"/>
    <mergeCell ref="C26:C29"/>
    <mergeCell ref="A70:C70"/>
    <mergeCell ref="D72:AI72"/>
    <mergeCell ref="AK72:AT73"/>
    <mergeCell ref="D73:E74"/>
    <mergeCell ref="F73:F74"/>
    <mergeCell ref="G73:G74"/>
    <mergeCell ref="H73:AI74"/>
    <mergeCell ref="D75:D95"/>
    <mergeCell ref="AK75:AK95"/>
    <mergeCell ref="D96:D117"/>
    <mergeCell ref="AK96:AK117"/>
    <mergeCell ref="L122:T122"/>
    <mergeCell ref="D6:AX7"/>
    <mergeCell ref="D9:AX10"/>
    <mergeCell ref="D12:AX12"/>
    <mergeCell ref="A15:C15"/>
    <mergeCell ref="A16:C16"/>
    <mergeCell ref="A17:C17"/>
    <mergeCell ref="A18:B18"/>
    <mergeCell ref="D26:X26"/>
    <mergeCell ref="Y26:AT26"/>
    <mergeCell ref="AV26:BB26"/>
    <mergeCell ref="BD26:BF26"/>
    <mergeCell ref="BB27:BB29"/>
    <mergeCell ref="BD27:BD29"/>
    <mergeCell ref="BE27:BE29"/>
    <mergeCell ref="BF27:BF29"/>
    <mergeCell ref="BG27:BG29"/>
    <mergeCell ref="BH27:BH29"/>
    <mergeCell ref="L131:BI131"/>
    <mergeCell ref="L132:BI132"/>
    <mergeCell ref="L133:BI133"/>
    <mergeCell ref="L134:BI134"/>
    <mergeCell ref="L135:BI135"/>
    <mergeCell ref="L136:BI136"/>
    <mergeCell ref="L137:BI137"/>
    <mergeCell ref="L124:BI124"/>
    <mergeCell ref="L125:BI125"/>
    <mergeCell ref="L126:BI126"/>
    <mergeCell ref="L127:BI127"/>
    <mergeCell ref="L128:BI128"/>
    <mergeCell ref="L129:BI129"/>
    <mergeCell ref="L130:BI130"/>
  </mergeCells>
  <conditionalFormatting sqref="C30:C69">
    <cfRule type="containsText" dxfId="6" priority="1" operator="containsText" text="NÃO">
      <formula>NOT(ISERROR(SEARCH(("NÃO"),(C30))))</formula>
    </cfRule>
  </conditionalFormatting>
  <conditionalFormatting sqref="C30:C69">
    <cfRule type="containsText" dxfId="1" priority="2" operator="containsText" text="SIM">
      <formula>NOT(ISERROR(SEARCH(("SIM"),(C30))))</formula>
    </cfRule>
  </conditionalFormatting>
  <conditionalFormatting sqref="AV30:AZ69">
    <cfRule type="containsText" dxfId="6" priority="3" operator="containsText" text="F">
      <formula>NOT(ISERROR(SEARCH(("F"),(AV30))))</formula>
    </cfRule>
  </conditionalFormatting>
  <conditionalFormatting sqref="F30:F69">
    <cfRule type="containsText" dxfId="5" priority="4" operator="containsText" text="B">
      <formula>NOT(ISERROR(SEARCH(("B"),(F30))))</formula>
    </cfRule>
  </conditionalFormatting>
  <conditionalFormatting sqref="F30:F69">
    <cfRule type="containsText" dxfId="4" priority="5" operator="containsText" text="C">
      <formula>NOT(ISERROR(SEARCH(("C"),(F30))))</formula>
    </cfRule>
  </conditionalFormatting>
  <conditionalFormatting sqref="F30:F69">
    <cfRule type="containsText" dxfId="5" priority="6" operator="containsText" text="D">
      <formula>NOT(ISERROR(SEARCH(("D"),(F30))))</formula>
    </cfRule>
  </conditionalFormatting>
  <conditionalFormatting sqref="G30:G69">
    <cfRule type="containsText" dxfId="5" priority="7" operator="containsText" text="A">
      <formula>NOT(ISERROR(SEARCH(("A"),(G30))))</formula>
    </cfRule>
  </conditionalFormatting>
  <conditionalFormatting sqref="G30:G69">
    <cfRule type="containsText" dxfId="4" priority="8" operator="containsText" text="B">
      <formula>NOT(ISERROR(SEARCH(("B"),(G30))))</formula>
    </cfRule>
  </conditionalFormatting>
  <conditionalFormatting sqref="G30:G69">
    <cfRule type="containsText" dxfId="5" priority="9" operator="containsText" text="C">
      <formula>NOT(ISERROR(SEARCH(("C"),(G30))))</formula>
    </cfRule>
  </conditionalFormatting>
  <conditionalFormatting sqref="G30:G69">
    <cfRule type="containsText" dxfId="11" priority="10" operator="containsText" text="D">
      <formula>NOT(ISERROR(SEARCH(("D"),(G30))))</formula>
    </cfRule>
  </conditionalFormatting>
  <conditionalFormatting sqref="H30:H69">
    <cfRule type="containsText" dxfId="5" priority="11" operator="containsText" text="A">
      <formula>NOT(ISERROR(SEARCH(("A"),(H30))))</formula>
    </cfRule>
  </conditionalFormatting>
  <conditionalFormatting sqref="H30:H69">
    <cfRule type="containsText" dxfId="4" priority="12" operator="containsText" text="B">
      <formula>NOT(ISERROR(SEARCH(("B"),(H30))))</formula>
    </cfRule>
  </conditionalFormatting>
  <conditionalFormatting sqref="H30:H69">
    <cfRule type="containsText" dxfId="5" priority="13" operator="containsText" text="C">
      <formula>NOT(ISERROR(SEARCH(("C"),(H30))))</formula>
    </cfRule>
  </conditionalFormatting>
  <conditionalFormatting sqref="H30:H69">
    <cfRule type="containsText" dxfId="5" priority="14" operator="containsText" text="D">
      <formula>NOT(ISERROR(SEARCH(("D"),(H30))))</formula>
    </cfRule>
  </conditionalFormatting>
  <conditionalFormatting sqref="I30:I69">
    <cfRule type="containsText" dxfId="11" priority="15" operator="containsText" text="A">
      <formula>NOT(ISERROR(SEARCH(("A"),(I30))))</formula>
    </cfRule>
  </conditionalFormatting>
  <conditionalFormatting sqref="I30:I69">
    <cfRule type="containsText" dxfId="5" priority="16" operator="containsText" text="B">
      <formula>NOT(ISERROR(SEARCH(("B"),(I30))))</formula>
    </cfRule>
  </conditionalFormatting>
  <conditionalFormatting sqref="I30:I69">
    <cfRule type="containsText" dxfId="5" priority="17" operator="containsText" text="C">
      <formula>NOT(ISERROR(SEARCH(("C"),(I30))))</formula>
    </cfRule>
  </conditionalFormatting>
  <conditionalFormatting sqref="I30:I69">
    <cfRule type="containsText" dxfId="4" priority="18" operator="containsText" text="D">
      <formula>NOT(ISERROR(SEARCH(("D"),(I30))))</formula>
    </cfRule>
  </conditionalFormatting>
  <conditionalFormatting sqref="J30:J69">
    <cfRule type="containsText" dxfId="5" priority="19" operator="containsText" text="A">
      <formula>NOT(ISERROR(SEARCH(("A"),(J30))))</formula>
    </cfRule>
  </conditionalFormatting>
  <conditionalFormatting sqref="J30:J69">
    <cfRule type="containsText" dxfId="4" priority="20" operator="containsText" text="B">
      <formula>NOT(ISERROR(SEARCH(("B"),(J30))))</formula>
    </cfRule>
  </conditionalFormatting>
  <conditionalFormatting sqref="J30:J69">
    <cfRule type="containsText" dxfId="5" priority="21" operator="containsText" text="C">
      <formula>NOT(ISERROR(SEARCH(("C"),(J30))))</formula>
    </cfRule>
  </conditionalFormatting>
  <conditionalFormatting sqref="J30:J69">
    <cfRule type="containsText" dxfId="5" priority="22" operator="containsText" text="D">
      <formula>NOT(ISERROR(SEARCH(("D"),(J30))))</formula>
    </cfRule>
  </conditionalFormatting>
  <conditionalFormatting sqref="K30:K69">
    <cfRule type="containsText" dxfId="11" priority="23" operator="containsText" text="A">
      <formula>NOT(ISERROR(SEARCH(("A"),(K30))))</formula>
    </cfRule>
  </conditionalFormatting>
  <conditionalFormatting sqref="K30:K69">
    <cfRule type="containsText" dxfId="4" priority="24" operator="containsText" text="B">
      <formula>NOT(ISERROR(SEARCH(("B"),(K30))))</formula>
    </cfRule>
  </conditionalFormatting>
  <conditionalFormatting sqref="K30:K69">
    <cfRule type="containsText" dxfId="5" priority="25" operator="containsText" text="C">
      <formula>NOT(ISERROR(SEARCH(("C"),(K30))))</formula>
    </cfRule>
  </conditionalFormatting>
  <conditionalFormatting sqref="K30:K69">
    <cfRule type="containsText" dxfId="5" priority="26" operator="containsText" text="D">
      <formula>NOT(ISERROR(SEARCH(("D"),(K30))))</formula>
    </cfRule>
  </conditionalFormatting>
  <conditionalFormatting sqref="L30:L69">
    <cfRule type="containsText" dxfId="4" priority="27" operator="containsText" text="A">
      <formula>NOT(ISERROR(SEARCH(("A"),(L30))))</formula>
    </cfRule>
  </conditionalFormatting>
  <conditionalFormatting sqref="L30:L69">
    <cfRule type="containsText" dxfId="5" priority="28" operator="containsText" text="B">
      <formula>NOT(ISERROR(SEARCH(("B"),(L30))))</formula>
    </cfRule>
  </conditionalFormatting>
  <conditionalFormatting sqref="L30:L69">
    <cfRule type="containsText" dxfId="5" priority="29" operator="containsText" text="C">
      <formula>NOT(ISERROR(SEARCH(("C"),(L30))))</formula>
    </cfRule>
  </conditionalFormatting>
  <conditionalFormatting sqref="L30:L69">
    <cfRule type="containsText" dxfId="11" priority="30" operator="containsText" text="D">
      <formula>NOT(ISERROR(SEARCH(("D"),(L30))))</formula>
    </cfRule>
  </conditionalFormatting>
  <conditionalFormatting sqref="M30:M69">
    <cfRule type="containsText" dxfId="5" priority="31" operator="containsText" text="A">
      <formula>NOT(ISERROR(SEARCH(("A"),(M30))))</formula>
    </cfRule>
  </conditionalFormatting>
  <conditionalFormatting sqref="M30:M69">
    <cfRule type="containsText" dxfId="4" priority="32" operator="containsText" text="B">
      <formula>NOT(ISERROR(SEARCH(("B"),(M30))))</formula>
    </cfRule>
  </conditionalFormatting>
  <conditionalFormatting sqref="M30:M69">
    <cfRule type="containsText" dxfId="5" priority="33" operator="containsText" text="C">
      <formula>NOT(ISERROR(SEARCH(("C"),(M30))))</formula>
    </cfRule>
  </conditionalFormatting>
  <conditionalFormatting sqref="M30:M69">
    <cfRule type="containsText" dxfId="5" priority="34" operator="containsText" text="D">
      <formula>NOT(ISERROR(SEARCH(("D"),(M30))))</formula>
    </cfRule>
  </conditionalFormatting>
  <conditionalFormatting sqref="N30:N69">
    <cfRule type="containsText" dxfId="5" priority="35" operator="containsText" text="A">
      <formula>NOT(ISERROR(SEARCH(("A"),(N30))))</formula>
    </cfRule>
  </conditionalFormatting>
  <conditionalFormatting sqref="N30:N69">
    <cfRule type="containsText" dxfId="11" priority="36" operator="containsText" text="B">
      <formula>NOT(ISERROR(SEARCH(("B"),(N30))))</formula>
    </cfRule>
  </conditionalFormatting>
  <conditionalFormatting sqref="N30:N69">
    <cfRule type="containsText" dxfId="4" priority="37" operator="containsText" text="C">
      <formula>NOT(ISERROR(SEARCH(("C"),(N30))))</formula>
    </cfRule>
  </conditionalFormatting>
  <conditionalFormatting sqref="N30:N69">
    <cfRule type="containsText" dxfId="5" priority="38" operator="containsText" text="D">
      <formula>NOT(ISERROR(SEARCH(("D"),(N30))))</formula>
    </cfRule>
  </conditionalFormatting>
  <conditionalFormatting sqref="O30:O69">
    <cfRule type="containsText" dxfId="5" priority="39" operator="containsText" text="A">
      <formula>NOT(ISERROR(SEARCH(("A"),(O30))))</formula>
    </cfRule>
  </conditionalFormatting>
  <conditionalFormatting sqref="O30:O69">
    <cfRule type="containsText" dxfId="5" priority="40" operator="containsText" text="B">
      <formula>NOT(ISERROR(SEARCH(("B"),(O30))))</formula>
    </cfRule>
  </conditionalFormatting>
  <conditionalFormatting sqref="O30:O69">
    <cfRule type="containsText" dxfId="4" priority="41" operator="containsText" text="C">
      <formula>NOT(ISERROR(SEARCH(("C"),(O30))))</formula>
    </cfRule>
  </conditionalFormatting>
  <conditionalFormatting sqref="O30:O69">
    <cfRule type="containsText" dxfId="5" priority="42" operator="containsText" text="D">
      <formula>NOT(ISERROR(SEARCH(("D"),(O30))))</formula>
    </cfRule>
  </conditionalFormatting>
  <conditionalFormatting sqref="P30:P69">
    <cfRule type="containsText" dxfId="4" priority="43" operator="containsText" text="A">
      <formula>NOT(ISERROR(SEARCH(("A"),(P30))))</formula>
    </cfRule>
  </conditionalFormatting>
  <conditionalFormatting sqref="P30:P69">
    <cfRule type="containsText" dxfId="5" priority="44" operator="containsText" text="B">
      <formula>NOT(ISERROR(SEARCH(("B"),(P30))))</formula>
    </cfRule>
  </conditionalFormatting>
  <conditionalFormatting sqref="P30:P69">
    <cfRule type="containsText" dxfId="5" priority="45" operator="containsText" text="C">
      <formula>NOT(ISERROR(SEARCH(("C"),(P30))))</formula>
    </cfRule>
  </conditionalFormatting>
  <conditionalFormatting sqref="P30:P69">
    <cfRule type="containsText" dxfId="5" priority="46" operator="containsText" text="D">
      <formula>NOT(ISERROR(SEARCH(("D"),(P30))))</formula>
    </cfRule>
  </conditionalFormatting>
  <conditionalFormatting sqref="Q30:Q69">
    <cfRule type="containsText" dxfId="11" priority="47" operator="containsText" text="A">
      <formula>NOT(ISERROR(SEARCH(("A"),(Q30))))</formula>
    </cfRule>
  </conditionalFormatting>
  <conditionalFormatting sqref="Q30:Q69">
    <cfRule type="containsText" dxfId="12" priority="48" operator="containsText" text="B">
      <formula>NOT(ISERROR(SEARCH(("B"),(Q30))))</formula>
    </cfRule>
  </conditionalFormatting>
  <conditionalFormatting sqref="Q30:Q69">
    <cfRule type="containsText" dxfId="11" priority="49" operator="containsText" text="C">
      <formula>NOT(ISERROR(SEARCH(("C"),(Q30))))</formula>
    </cfRule>
  </conditionalFormatting>
  <conditionalFormatting sqref="Q30:Q69">
    <cfRule type="containsText" dxfId="5" priority="50" operator="containsText" text="D">
      <formula>NOT(ISERROR(SEARCH(("D"),(Q30))))</formula>
    </cfRule>
  </conditionalFormatting>
  <conditionalFormatting sqref="R30:R69">
    <cfRule type="containsText" dxfId="5" priority="51" operator="containsText" text="A">
      <formula>NOT(ISERROR(SEARCH(("A"),(R30))))</formula>
    </cfRule>
  </conditionalFormatting>
  <conditionalFormatting sqref="R30:R69">
    <cfRule type="containsText" dxfId="5" priority="52" operator="containsText" text="B">
      <formula>NOT(ISERROR(SEARCH(("B"),(R30))))</formula>
    </cfRule>
  </conditionalFormatting>
  <conditionalFormatting sqref="R30:R69">
    <cfRule type="containsText" dxfId="5" priority="53" operator="containsText" text="C">
      <formula>NOT(ISERROR(SEARCH(("C"),(R30))))</formula>
    </cfRule>
  </conditionalFormatting>
  <conditionalFormatting sqref="R30:R69">
    <cfRule type="containsText" dxfId="4" priority="54" operator="containsText" text="D">
      <formula>NOT(ISERROR(SEARCH(("D"),(R30))))</formula>
    </cfRule>
  </conditionalFormatting>
  <conditionalFormatting sqref="S30:S69">
    <cfRule type="containsText" dxfId="4" priority="55" operator="containsText" text="A">
      <formula>NOT(ISERROR(SEARCH(("A"),(S30))))</formula>
    </cfRule>
  </conditionalFormatting>
  <conditionalFormatting sqref="S30:S69">
    <cfRule type="containsText" dxfId="5" priority="56" operator="containsText" text="B">
      <formula>NOT(ISERROR(SEARCH(("B"),(S30))))</formula>
    </cfRule>
  </conditionalFormatting>
  <conditionalFormatting sqref="S30:S69">
    <cfRule type="containsText" dxfId="5" priority="57" operator="containsText" text="C">
      <formula>NOT(ISERROR(SEARCH(("C"),(S30))))</formula>
    </cfRule>
  </conditionalFormatting>
  <conditionalFormatting sqref="S30:S69">
    <cfRule type="containsText" dxfId="5" priority="58" operator="containsText" text="D">
      <formula>NOT(ISERROR(SEARCH(("D"),(S30))))</formula>
    </cfRule>
  </conditionalFormatting>
  <conditionalFormatting sqref="T30:T69">
    <cfRule type="containsText" dxfId="4" priority="59" operator="containsText" text="A">
      <formula>NOT(ISERROR(SEARCH(("A"),(T30))))</formula>
    </cfRule>
  </conditionalFormatting>
  <conditionalFormatting sqref="T30:T69">
    <cfRule type="containsText" dxfId="5" priority="60" operator="containsText" text="B">
      <formula>NOT(ISERROR(SEARCH(("B"),(T30))))</formula>
    </cfRule>
  </conditionalFormatting>
  <conditionalFormatting sqref="T30:T69">
    <cfRule type="containsText" dxfId="5" priority="61" operator="containsText" text="C">
      <formula>NOT(ISERROR(SEARCH(("C"),(T30))))</formula>
    </cfRule>
  </conditionalFormatting>
  <conditionalFormatting sqref="T30:T69">
    <cfRule type="containsText" dxfId="5" priority="62" operator="containsText" text="D">
      <formula>NOT(ISERROR(SEARCH(("D"),(T30))))</formula>
    </cfRule>
  </conditionalFormatting>
  <conditionalFormatting sqref="U30:U69">
    <cfRule type="containsText" dxfId="4" priority="63" operator="containsText" text="A">
      <formula>NOT(ISERROR(SEARCH(("A"),(U30))))</formula>
    </cfRule>
  </conditionalFormatting>
  <conditionalFormatting sqref="U30:U69">
    <cfRule type="containsText" dxfId="5" priority="64" operator="containsText" text="B">
      <formula>NOT(ISERROR(SEARCH(("B"),(U30))))</formula>
    </cfRule>
  </conditionalFormatting>
  <conditionalFormatting sqref="U30:U69">
    <cfRule type="containsText" dxfId="5" priority="65" operator="containsText" text="C">
      <formula>NOT(ISERROR(SEARCH(("C"),(U30))))</formula>
    </cfRule>
  </conditionalFormatting>
  <conditionalFormatting sqref="U30:U69">
    <cfRule type="containsText" dxfId="5" priority="66" operator="containsText" text="D">
      <formula>NOT(ISERROR(SEARCH(("D"),(U30))))</formula>
    </cfRule>
  </conditionalFormatting>
  <conditionalFormatting sqref="V30:V69">
    <cfRule type="containsText" dxfId="5" priority="67" operator="containsText" text="A">
      <formula>NOT(ISERROR(SEARCH(("A"),(V30))))</formula>
    </cfRule>
  </conditionalFormatting>
  <conditionalFormatting sqref="V30:V69">
    <cfRule type="containsText" dxfId="5" priority="68" operator="containsText" text="B">
      <formula>NOT(ISERROR(SEARCH(("B"),(V30))))</formula>
    </cfRule>
  </conditionalFormatting>
  <conditionalFormatting sqref="V30:V69">
    <cfRule type="containsText" dxfId="4" priority="69" operator="containsText" text="C">
      <formula>NOT(ISERROR(SEARCH(("C"),(V30))))</formula>
    </cfRule>
  </conditionalFormatting>
  <conditionalFormatting sqref="V30:V69">
    <cfRule type="containsText" dxfId="5" priority="70" operator="containsText" text="D">
      <formula>NOT(ISERROR(SEARCH(("D"),(V30))))</formula>
    </cfRule>
  </conditionalFormatting>
  <conditionalFormatting sqref="W30:W69">
    <cfRule type="containsText" dxfId="5" priority="71" operator="containsText" text="A">
      <formula>NOT(ISERROR(SEARCH(("A"),(W30))))</formula>
    </cfRule>
  </conditionalFormatting>
  <conditionalFormatting sqref="W30:W69">
    <cfRule type="containsText" dxfId="5" priority="72" operator="containsText" text="B">
      <formula>NOT(ISERROR(SEARCH(("B"),(W30))))</formula>
    </cfRule>
  </conditionalFormatting>
  <conditionalFormatting sqref="W30:W69">
    <cfRule type="containsText" dxfId="5" priority="73" operator="containsText" text="C">
      <formula>NOT(ISERROR(SEARCH(("C"),(W30))))</formula>
    </cfRule>
  </conditionalFormatting>
  <conditionalFormatting sqref="W30:W69">
    <cfRule type="containsText" dxfId="4" priority="74" operator="containsText" text="D">
      <formula>NOT(ISERROR(SEARCH(("D"),(W30))))</formula>
    </cfRule>
  </conditionalFormatting>
  <conditionalFormatting sqref="X30:X69">
    <cfRule type="containsText" dxfId="5" priority="75" operator="containsText" text="A">
      <formula>NOT(ISERROR(SEARCH(("A"),(X30))))</formula>
    </cfRule>
  </conditionalFormatting>
  <conditionalFormatting sqref="X30:X69">
    <cfRule type="containsText" dxfId="12" priority="76" operator="containsText" text="B">
      <formula>NOT(ISERROR(SEARCH(("B"),(X30))))</formula>
    </cfRule>
  </conditionalFormatting>
  <conditionalFormatting sqref="X30:X69">
    <cfRule type="containsText" dxfId="11" priority="77" operator="containsText" text="C">
      <formula>NOT(ISERROR(SEARCH(("C"),(X30))))</formula>
    </cfRule>
  </conditionalFormatting>
  <conditionalFormatting sqref="X30:X69">
    <cfRule type="containsText" dxfId="11" priority="78" operator="containsText" text="D">
      <formula>NOT(ISERROR(SEARCH(("D"),(X30))))</formula>
    </cfRule>
  </conditionalFormatting>
  <conditionalFormatting sqref="Y30:Y69">
    <cfRule type="containsText" dxfId="4" priority="79" operator="containsText" text="A">
      <formula>NOT(ISERROR(SEARCH(("A"),(Y30))))</formula>
    </cfRule>
  </conditionalFormatting>
  <conditionalFormatting sqref="Y30:Y69">
    <cfRule type="containsText" dxfId="5" priority="80" operator="containsText" text="B">
      <formula>NOT(ISERROR(SEARCH(("B"),(Y30))))</formula>
    </cfRule>
  </conditionalFormatting>
  <conditionalFormatting sqref="Y30:Y69">
    <cfRule type="containsText" dxfId="5" priority="81" operator="containsText" text="C">
      <formula>NOT(ISERROR(SEARCH(("C"),(Y30))))</formula>
    </cfRule>
  </conditionalFormatting>
  <conditionalFormatting sqref="Y30:Y69">
    <cfRule type="containsText" dxfId="5" priority="82" operator="containsText" text="D">
      <formula>NOT(ISERROR(SEARCH(("D"),(Y30))))</formula>
    </cfRule>
  </conditionalFormatting>
  <conditionalFormatting sqref="AB30:AB69">
    <cfRule type="containsText" dxfId="5" priority="83" operator="containsText" text="A">
      <formula>NOT(ISERROR(SEARCH(("A"),(AB30))))</formula>
    </cfRule>
  </conditionalFormatting>
  <conditionalFormatting sqref="AB30:AB69">
    <cfRule type="containsText" dxfId="5" priority="84" operator="containsText" text="B">
      <formula>NOT(ISERROR(SEARCH(("B"),(AB30))))</formula>
    </cfRule>
  </conditionalFormatting>
  <conditionalFormatting sqref="AB30:AB69">
    <cfRule type="containsText" dxfId="5" priority="85" operator="containsText" text="C">
      <formula>NOT(ISERROR(SEARCH(("C"),(AB30))))</formula>
    </cfRule>
  </conditionalFormatting>
  <conditionalFormatting sqref="AB30:AB69">
    <cfRule type="containsText" dxfId="4" priority="86" operator="containsText" text="D">
      <formula>NOT(ISERROR(SEARCH(("D"),(AB30))))</formula>
    </cfRule>
  </conditionalFormatting>
  <conditionalFormatting sqref="AC30:AC69">
    <cfRule type="containsText" dxfId="5" priority="87" operator="containsText" text="A">
      <formula>NOT(ISERROR(SEARCH(("A"),(AC30))))</formula>
    </cfRule>
  </conditionalFormatting>
  <conditionalFormatting sqref="AC30:AC69">
    <cfRule type="containsText" dxfId="5" priority="88" operator="containsText" text="B">
      <formula>NOT(ISERROR(SEARCH(("B"),(AC30))))</formula>
    </cfRule>
  </conditionalFormatting>
  <conditionalFormatting sqref="AC30:AC69">
    <cfRule type="containsText" dxfId="4" priority="89" operator="containsText" text="C">
      <formula>NOT(ISERROR(SEARCH(("C"),(AC30))))</formula>
    </cfRule>
  </conditionalFormatting>
  <conditionalFormatting sqref="AC30:AC69">
    <cfRule type="containsText" dxfId="5" priority="90" operator="containsText" text="D">
      <formula>NOT(ISERROR(SEARCH(("D"),(AC30))))</formula>
    </cfRule>
  </conditionalFormatting>
  <conditionalFormatting sqref="AD30:AD69">
    <cfRule type="containsText" dxfId="5" priority="91" operator="containsText" text="A">
      <formula>NOT(ISERROR(SEARCH(("A"),(AD30))))</formula>
    </cfRule>
  </conditionalFormatting>
  <conditionalFormatting sqref="AD30:AD69">
    <cfRule type="containsText" dxfId="5" priority="92" operator="containsText" text="B">
      <formula>NOT(ISERROR(SEARCH(("B"),(AD30))))</formula>
    </cfRule>
  </conditionalFormatting>
  <conditionalFormatting sqref="AD30:AD69">
    <cfRule type="containsText" dxfId="4" priority="93" operator="containsText" text="C">
      <formula>NOT(ISERROR(SEARCH(("C"),(AD30))))</formula>
    </cfRule>
  </conditionalFormatting>
  <conditionalFormatting sqref="AD30:AD69">
    <cfRule type="containsText" dxfId="5" priority="94" operator="containsText" text="D">
      <formula>NOT(ISERROR(SEARCH(("D"),(AD30))))</formula>
    </cfRule>
  </conditionalFormatting>
  <conditionalFormatting sqref="AE30:AE69">
    <cfRule type="containsText" dxfId="5" priority="95" operator="containsText" text="A">
      <formula>NOT(ISERROR(SEARCH(("A"),(AE30))))</formula>
    </cfRule>
  </conditionalFormatting>
  <conditionalFormatting sqref="AE30:AE69">
    <cfRule type="containsText" dxfId="4" priority="96" operator="containsText" text="B">
      <formula>NOT(ISERROR(SEARCH(("B"),(AE30))))</formula>
    </cfRule>
  </conditionalFormatting>
  <conditionalFormatting sqref="AE30:AE69">
    <cfRule type="containsText" dxfId="5" priority="97" operator="containsText" text="C">
      <formula>NOT(ISERROR(SEARCH(("C"),(AE30))))</formula>
    </cfRule>
  </conditionalFormatting>
  <conditionalFormatting sqref="AE30:AE69">
    <cfRule type="containsText" dxfId="5" priority="98" operator="containsText" text="D">
      <formula>NOT(ISERROR(SEARCH(("D"),(AE30))))</formula>
    </cfRule>
  </conditionalFormatting>
  <conditionalFormatting sqref="AF30:AF69">
    <cfRule type="containsText" dxfId="4" priority="99" operator="containsText" text="A">
      <formula>NOT(ISERROR(SEARCH(("A"),(AF30))))</formula>
    </cfRule>
  </conditionalFormatting>
  <conditionalFormatting sqref="AF30:AF69">
    <cfRule type="containsText" dxfId="5" priority="100" operator="containsText" text="B">
      <formula>NOT(ISERROR(SEARCH(("B"),(AF30))))</formula>
    </cfRule>
  </conditionalFormatting>
  <conditionalFormatting sqref="AF30:AF69">
    <cfRule type="containsText" dxfId="11" priority="101" operator="containsText" text="C">
      <formula>NOT(ISERROR(SEARCH(("C"),(AF30))))</formula>
    </cfRule>
  </conditionalFormatting>
  <conditionalFormatting sqref="AF30:AF69">
    <cfRule type="containsText" dxfId="11" priority="102" operator="containsText" text="D">
      <formula>NOT(ISERROR(SEARCH(("D"),(AF30))))</formula>
    </cfRule>
  </conditionalFormatting>
  <conditionalFormatting sqref="AG30:AG69">
    <cfRule type="containsText" dxfId="5" priority="103" operator="containsText" text="A">
      <formula>NOT(ISERROR(SEARCH(("A"),(AG30))))</formula>
    </cfRule>
  </conditionalFormatting>
  <conditionalFormatting sqref="AG30:AG69">
    <cfRule type="containsText" dxfId="5" priority="104" operator="containsText" text="B">
      <formula>NOT(ISERROR(SEARCH(("B"),(AG30))))</formula>
    </cfRule>
  </conditionalFormatting>
  <conditionalFormatting sqref="AG30:AG69">
    <cfRule type="containsText" dxfId="5" priority="105" operator="containsText" text="C">
      <formula>NOT(ISERROR(SEARCH(("C"),(AG30))))</formula>
    </cfRule>
  </conditionalFormatting>
  <conditionalFormatting sqref="AG30:AG69">
    <cfRule type="containsText" dxfId="4" priority="106" operator="containsText" text="D">
      <formula>NOT(ISERROR(SEARCH(("D"),(AG30))))</formula>
    </cfRule>
  </conditionalFormatting>
  <conditionalFormatting sqref="AH30:AH69">
    <cfRule type="containsText" dxfId="4" priority="107" operator="containsText" text="A">
      <formula>NOT(ISERROR(SEARCH(("A"),(AH30))))</formula>
    </cfRule>
  </conditionalFormatting>
  <conditionalFormatting sqref="AH30:AH69">
    <cfRule type="containsText" dxfId="5" priority="108" operator="containsText" text="B">
      <formula>NOT(ISERROR(SEARCH(("B"),(AH30))))</formula>
    </cfRule>
  </conditionalFormatting>
  <conditionalFormatting sqref="AH30:AH69">
    <cfRule type="containsText" dxfId="5" priority="109" operator="containsText" text="C">
      <formula>NOT(ISERROR(SEARCH(("C"),(AH30))))</formula>
    </cfRule>
  </conditionalFormatting>
  <conditionalFormatting sqref="AH30:AH69">
    <cfRule type="containsText" dxfId="5" priority="110" operator="containsText" text="D">
      <formula>NOT(ISERROR(SEARCH(("D"),(AH30))))</formula>
    </cfRule>
  </conditionalFormatting>
  <conditionalFormatting sqref="AI30:AI69">
    <cfRule type="containsText" dxfId="5" priority="111" operator="containsText" text="A">
      <formula>NOT(ISERROR(SEARCH(("A"),(AI30))))</formula>
    </cfRule>
  </conditionalFormatting>
  <conditionalFormatting sqref="AI30:AI69">
    <cfRule type="containsText" dxfId="5" priority="112" operator="containsText" text="B">
      <formula>NOT(ISERROR(SEARCH(("B"),(AI30))))</formula>
    </cfRule>
  </conditionalFormatting>
  <conditionalFormatting sqref="AI30:AI69">
    <cfRule type="containsText" dxfId="4" priority="113" operator="containsText" text="C">
      <formula>NOT(ISERROR(SEARCH(("C"),(AI30))))</formula>
    </cfRule>
  </conditionalFormatting>
  <conditionalFormatting sqref="AI30:AI69">
    <cfRule type="containsText" dxfId="5" priority="114" operator="containsText" text="D">
      <formula>NOT(ISERROR(SEARCH(("D"),(AI30))))</formula>
    </cfRule>
  </conditionalFormatting>
  <conditionalFormatting sqref="AJ30:AJ69">
    <cfRule type="containsText" dxfId="5" priority="115" operator="containsText" text="A">
      <formula>NOT(ISERROR(SEARCH(("A"),(AJ30))))</formula>
    </cfRule>
  </conditionalFormatting>
  <conditionalFormatting sqref="AJ30:AJ69">
    <cfRule type="containsText" dxfId="4" priority="116" operator="containsText" text="B">
      <formula>NOT(ISERROR(SEARCH(("B"),(AJ30))))</formula>
    </cfRule>
  </conditionalFormatting>
  <conditionalFormatting sqref="AJ30:AJ69">
    <cfRule type="containsText" dxfId="5" priority="117" operator="containsText" text="C">
      <formula>NOT(ISERROR(SEARCH(("C"),(AJ30))))</formula>
    </cfRule>
  </conditionalFormatting>
  <conditionalFormatting sqref="AJ30:AJ69">
    <cfRule type="containsText" dxfId="5" priority="118" operator="containsText" text="D">
      <formula>NOT(ISERROR(SEARCH(("D"),(AJ30))))</formula>
    </cfRule>
  </conditionalFormatting>
  <conditionalFormatting sqref="AK30:AK69">
    <cfRule type="containsText" dxfId="5" priority="119" operator="containsText" text="A">
      <formula>NOT(ISERROR(SEARCH(("A"),(AK30))))</formula>
    </cfRule>
  </conditionalFormatting>
  <conditionalFormatting sqref="AK30:AK69">
    <cfRule type="containsText" dxfId="5" priority="120" operator="containsText" text="B">
      <formula>NOT(ISERROR(SEARCH(("B"),(AK30))))</formula>
    </cfRule>
  </conditionalFormatting>
  <conditionalFormatting sqref="AK30:AK69">
    <cfRule type="containsText" dxfId="5" priority="121" operator="containsText" text="C">
      <formula>NOT(ISERROR(SEARCH(("C"),(AK30))))</formula>
    </cfRule>
  </conditionalFormatting>
  <conditionalFormatting sqref="AK30:AK69">
    <cfRule type="containsText" dxfId="4" priority="122" operator="containsText" text="D">
      <formula>NOT(ISERROR(SEARCH(("D"),(AK30))))</formula>
    </cfRule>
  </conditionalFormatting>
  <conditionalFormatting sqref="AL30:AL69">
    <cfRule type="containsText" dxfId="5" priority="123" operator="containsText" text="A">
      <formula>NOT(ISERROR(SEARCH(("A"),(AL30))))</formula>
    </cfRule>
  </conditionalFormatting>
  <conditionalFormatting sqref="AL30:AL69">
    <cfRule type="containsText" dxfId="4" priority="124" operator="containsText" text="B">
      <formula>NOT(ISERROR(SEARCH(("B"),(AL30))))</formula>
    </cfRule>
  </conditionalFormatting>
  <conditionalFormatting sqref="AL30:AL69">
    <cfRule type="containsText" dxfId="5" priority="125" operator="containsText" text="C">
      <formula>NOT(ISERROR(SEARCH(("C"),(AL30))))</formula>
    </cfRule>
  </conditionalFormatting>
  <conditionalFormatting sqref="AL30:AL69">
    <cfRule type="containsText" dxfId="5" priority="126" operator="containsText" text="D">
      <formula>NOT(ISERROR(SEARCH(("D"),(AL30))))</formula>
    </cfRule>
  </conditionalFormatting>
  <conditionalFormatting sqref="AM30:AM69">
    <cfRule type="containsText" dxfId="5" priority="127" operator="containsText" text="A">
      <formula>NOT(ISERROR(SEARCH(("A"),(AM30))))</formula>
    </cfRule>
  </conditionalFormatting>
  <conditionalFormatting sqref="AM30:AM69">
    <cfRule type="containsText" dxfId="5" priority="128" operator="containsText" text="B">
      <formula>NOT(ISERROR(SEARCH(("B"),(AM30))))</formula>
    </cfRule>
  </conditionalFormatting>
  <conditionalFormatting sqref="AM30:AM69">
    <cfRule type="containsText" dxfId="4" priority="129" operator="containsText" text="C">
      <formula>NOT(ISERROR(SEARCH(("C"),(AM30))))</formula>
    </cfRule>
  </conditionalFormatting>
  <conditionalFormatting sqref="AM30:AM69">
    <cfRule type="containsText" dxfId="5" priority="130" operator="containsText" text="D">
      <formula>NOT(ISERROR(SEARCH(("D"),(AM30))))</formula>
    </cfRule>
  </conditionalFormatting>
  <conditionalFormatting sqref="AN30:AN69">
    <cfRule type="containsText" dxfId="4" priority="131" operator="containsText" text="A">
      <formula>NOT(ISERROR(SEARCH(("A"),(AN30))))</formula>
    </cfRule>
  </conditionalFormatting>
  <conditionalFormatting sqref="AN30:AN69">
    <cfRule type="containsText" dxfId="5" priority="132" operator="containsText" text="B">
      <formula>NOT(ISERROR(SEARCH(("B"),(AN30))))</formula>
    </cfRule>
  </conditionalFormatting>
  <conditionalFormatting sqref="AN30:AN69">
    <cfRule type="containsText" dxfId="11" priority="133" operator="containsText" text="C">
      <formula>NOT(ISERROR(SEARCH(("C"),(AN30))))</formula>
    </cfRule>
  </conditionalFormatting>
  <conditionalFormatting sqref="AN30:AN69">
    <cfRule type="containsText" dxfId="11" priority="134" operator="containsText" text="D">
      <formula>NOT(ISERROR(SEARCH(("D"),(AN30))))</formula>
    </cfRule>
  </conditionalFormatting>
  <conditionalFormatting sqref="AO30:AO69">
    <cfRule type="containsText" dxfId="5" priority="135" operator="containsText" text="A">
      <formula>NOT(ISERROR(SEARCH(("A"),(AO30))))</formula>
    </cfRule>
  </conditionalFormatting>
  <conditionalFormatting sqref="AO30:AO69">
    <cfRule type="containsText" dxfId="4" priority="136" operator="containsText" text="B">
      <formula>NOT(ISERROR(SEARCH(("B"),(AO30))))</formula>
    </cfRule>
  </conditionalFormatting>
  <conditionalFormatting sqref="AO30:AO69">
    <cfRule type="containsText" dxfId="11" priority="137" operator="containsText" text="C">
      <formula>NOT(ISERROR(SEARCH(("C"),(AO30))))</formula>
    </cfRule>
  </conditionalFormatting>
  <conditionalFormatting sqref="AO30:AO69">
    <cfRule type="containsText" dxfId="5" priority="138" operator="containsText" text="D">
      <formula>NOT(ISERROR(SEARCH(("D"),(AO30))))</formula>
    </cfRule>
  </conditionalFormatting>
  <conditionalFormatting sqref="AP30:AP69">
    <cfRule type="containsText" dxfId="5" priority="139" operator="containsText" text="A">
      <formula>NOT(ISERROR(SEARCH(("A"),(AP30))))</formula>
    </cfRule>
  </conditionalFormatting>
  <conditionalFormatting sqref="AP30:AP69">
    <cfRule type="containsText" dxfId="5" priority="140" operator="containsText" text="B">
      <formula>NOT(ISERROR(SEARCH(("B"),(AP30))))</formula>
    </cfRule>
  </conditionalFormatting>
  <conditionalFormatting sqref="AP30:AP69">
    <cfRule type="containsText" dxfId="5" priority="141" operator="containsText" text="C">
      <formula>NOT(ISERROR(SEARCH(("C"),(AP30))))</formula>
    </cfRule>
  </conditionalFormatting>
  <conditionalFormatting sqref="AP30:AP69">
    <cfRule type="containsText" dxfId="4" priority="142" operator="containsText" text="D">
      <formula>NOT(ISERROR(SEARCH(("D"),(AP30))))</formula>
    </cfRule>
  </conditionalFormatting>
  <conditionalFormatting sqref="AQ30:AQ69">
    <cfRule type="containsText" dxfId="4" priority="143" operator="containsText" text="A">
      <formula>NOT(ISERROR(SEARCH(("A"),(AQ30))))</formula>
    </cfRule>
  </conditionalFormatting>
  <conditionalFormatting sqref="AQ30:AQ69">
    <cfRule type="containsText" dxfId="5" priority="144" operator="containsText" text="B">
      <formula>NOT(ISERROR(SEARCH(("B"),(AQ30))))</formula>
    </cfRule>
  </conditionalFormatting>
  <conditionalFormatting sqref="AQ30:AQ69">
    <cfRule type="containsText" dxfId="5" priority="145" operator="containsText" text="C">
      <formula>NOT(ISERROR(SEARCH(("C"),(AQ30))))</formula>
    </cfRule>
  </conditionalFormatting>
  <conditionalFormatting sqref="AQ30:AQ69">
    <cfRule type="containsText" dxfId="11" priority="146" operator="containsText" text="D">
      <formula>NOT(ISERROR(SEARCH(("D"),(AQ30))))</formula>
    </cfRule>
  </conditionalFormatting>
  <conditionalFormatting sqref="AR30:AR69">
    <cfRule type="containsText" dxfId="5" priority="147" operator="containsText" text="A">
      <formula>NOT(ISERROR(SEARCH(("A"),(AR30))))</formula>
    </cfRule>
  </conditionalFormatting>
  <conditionalFormatting sqref="AR30:AR69">
    <cfRule type="containsText" dxfId="5" priority="148" operator="containsText" text="B">
      <formula>NOT(ISERROR(SEARCH(("B"),(AR30))))</formula>
    </cfRule>
  </conditionalFormatting>
  <conditionalFormatting sqref="AR30:AR69">
    <cfRule type="containsText" dxfId="4" priority="149" operator="containsText" text="C">
      <formula>NOT(ISERROR(SEARCH(("C"),(AR30))))</formula>
    </cfRule>
  </conditionalFormatting>
  <conditionalFormatting sqref="AR30:AR69">
    <cfRule type="containsText" dxfId="5" priority="150" operator="containsText" text="D">
      <formula>NOT(ISERROR(SEARCH(("D"),(AR30))))</formula>
    </cfRule>
  </conditionalFormatting>
  <conditionalFormatting sqref="AS30:AS69">
    <cfRule type="containsText" dxfId="5" priority="151" operator="containsText" text="A">
      <formula>NOT(ISERROR(SEARCH(("A"),(AS30))))</formula>
    </cfRule>
  </conditionalFormatting>
  <conditionalFormatting sqref="AS30:AS69">
    <cfRule type="containsText" dxfId="5" priority="152" operator="containsText" text="B">
      <formula>NOT(ISERROR(SEARCH(("B"),(AS30))))</formula>
    </cfRule>
  </conditionalFormatting>
  <conditionalFormatting sqref="AS30:AS69">
    <cfRule type="containsText" dxfId="4" priority="153" operator="containsText" text="C">
      <formula>NOT(ISERROR(SEARCH(("C"),(AS30))))</formula>
    </cfRule>
  </conditionalFormatting>
  <conditionalFormatting sqref="AS30:AS69">
    <cfRule type="containsText" dxfId="5" priority="154" operator="containsText" text="D">
      <formula>NOT(ISERROR(SEARCH(("D"),(AS30))))</formula>
    </cfRule>
  </conditionalFormatting>
  <conditionalFormatting sqref="AT30:AT69">
    <cfRule type="containsText" dxfId="5" priority="155" operator="containsText" text="A">
      <formula>NOT(ISERROR(SEARCH(("A"),(AT30))))</formula>
    </cfRule>
  </conditionalFormatting>
  <conditionalFormatting sqref="AT30:AT69">
    <cfRule type="containsText" dxfId="12" priority="156" operator="containsText" text="B">
      <formula>NOT(ISERROR(SEARCH(("B"),(AT30))))</formula>
    </cfRule>
  </conditionalFormatting>
  <conditionalFormatting sqref="AT30:AT69">
    <cfRule type="containsText" dxfId="11" priority="157" operator="containsText" text="C">
      <formula>NOT(ISERROR(SEARCH(("C"),(AT30))))</formula>
    </cfRule>
  </conditionalFormatting>
  <conditionalFormatting sqref="AT30:AT69">
    <cfRule type="containsText" dxfId="11" priority="158" operator="containsText" text="D">
      <formula>NOT(ISERROR(SEARCH(("D"),(AT30))))</formula>
    </cfRule>
  </conditionalFormatting>
  <conditionalFormatting sqref="AV30:AV69">
    <cfRule type="containsText" dxfId="4" priority="159" operator="containsText" text="A">
      <formula>NOT(ISERROR(SEARCH(("A"),(AV30))))</formula>
    </cfRule>
  </conditionalFormatting>
  <conditionalFormatting sqref="AV30:AV69">
    <cfRule type="containsText" dxfId="5" priority="160" operator="containsText" text="B">
      <formula>NOT(ISERROR(SEARCH(("B"),(AV30))))</formula>
    </cfRule>
  </conditionalFormatting>
  <conditionalFormatting sqref="AV30:AV69">
    <cfRule type="containsText" dxfId="5" priority="161" operator="containsText" text="C">
      <formula>NOT(ISERROR(SEARCH(("C"),(AV30))))</formula>
    </cfRule>
  </conditionalFormatting>
  <conditionalFormatting sqref="AV30:AV69">
    <cfRule type="containsText" dxfId="5" priority="162" operator="containsText" text="X">
      <formula>NOT(ISERROR(SEARCH(("X"),(AV30))))</formula>
    </cfRule>
  </conditionalFormatting>
  <conditionalFormatting sqref="BA30:BA69">
    <cfRule type="containsText" dxfId="6" priority="163" operator="containsText" text="F">
      <formula>NOT(ISERROR(SEARCH(("F"),(BA30))))</formula>
    </cfRule>
  </conditionalFormatting>
  <conditionalFormatting sqref="BB30:BB69 BF30:BF69 BI30:BI69">
    <cfRule type="containsText" dxfId="13" priority="164" operator="containsText" text="Abaixo do Básico">
      <formula>NOT(ISERROR(SEARCH(("Abaixo do Básico"),(BB30))))</formula>
    </cfRule>
  </conditionalFormatting>
  <conditionalFormatting sqref="BB30:BB69 BF30:BF69 BI30:BI69">
    <cfRule type="containsText" dxfId="14" priority="165" operator="containsText" text="Básico">
      <formula>NOT(ISERROR(SEARCH(("Básico"),(BB30))))</formula>
    </cfRule>
  </conditionalFormatting>
  <conditionalFormatting sqref="BB30:BB69 BF30:BF69 BI30:BI69">
    <cfRule type="containsText" dxfId="15" priority="166" operator="containsText" text="Adequado">
      <formula>NOT(ISERROR(SEARCH(("Adequado"),(BB30))))</formula>
    </cfRule>
  </conditionalFormatting>
  <conditionalFormatting sqref="BB30:BB69 BF30:BF69 BI30:BI69">
    <cfRule type="containsText" dxfId="16" priority="167" operator="containsText" text="Avançado">
      <formula>NOT(ISERROR(SEARCH(("Avançado"),(BB30))))</formula>
    </cfRule>
  </conditionalFormatting>
  <conditionalFormatting sqref="AV30:BB69">
    <cfRule type="containsBlanks" dxfId="6" priority="168">
      <formula>LEN(TRIM(AV30))=0</formula>
    </cfRule>
  </conditionalFormatting>
  <conditionalFormatting sqref="BD30:BI69">
    <cfRule type="containsBlanks" dxfId="6" priority="169">
      <formula>LEN(TRIM(BD30))=0</formula>
    </cfRule>
  </conditionalFormatting>
  <conditionalFormatting sqref="D30:D69">
    <cfRule type="containsText" dxfId="5" priority="170" operator="containsText" text="A">
      <formula>NOT(ISERROR(SEARCH(("A"),(D30))))</formula>
    </cfRule>
  </conditionalFormatting>
  <conditionalFormatting sqref="D30:D69">
    <cfRule type="containsText" dxfId="5" priority="171" operator="containsText" text="B">
      <formula>NOT(ISERROR(SEARCH(("B"),(D30))))</formula>
    </cfRule>
  </conditionalFormatting>
  <conditionalFormatting sqref="D30:D69">
    <cfRule type="containsText" dxfId="4" priority="172" operator="containsText" text="C">
      <formula>NOT(ISERROR(SEARCH(("C"),(D30))))</formula>
    </cfRule>
  </conditionalFormatting>
  <conditionalFormatting sqref="D30:D69">
    <cfRule type="containsText" dxfId="5" priority="173" operator="containsText" text="D">
      <formula>NOT(ISERROR(SEARCH(("D"),(D30))))</formula>
    </cfRule>
  </conditionalFormatting>
  <conditionalFormatting sqref="Z30:Z69">
    <cfRule type="containsText" dxfId="5" priority="174" operator="containsText" text="A">
      <formula>NOT(ISERROR(SEARCH(("A"),(Z30))))</formula>
    </cfRule>
  </conditionalFormatting>
  <conditionalFormatting sqref="Z30:Z69">
    <cfRule type="containsText" dxfId="5" priority="175" operator="containsText" text="B">
      <formula>NOT(ISERROR(SEARCH(("B"),(Z30))))</formula>
    </cfRule>
  </conditionalFormatting>
  <conditionalFormatting sqref="Z30:Z69">
    <cfRule type="containsText" dxfId="5" priority="176" operator="containsText" text="C">
      <formula>NOT(ISERROR(SEARCH(("C"),(Z30))))</formula>
    </cfRule>
  </conditionalFormatting>
  <conditionalFormatting sqref="Z30:Z69">
    <cfRule type="containsText" dxfId="4" priority="177" operator="containsText" text="D">
      <formula>NOT(ISERROR(SEARCH(("D"),(Z30))))</formula>
    </cfRule>
  </conditionalFormatting>
  <conditionalFormatting sqref="AA30:AA69">
    <cfRule type="containsText" dxfId="5" priority="178" operator="containsText" text="A">
      <formula>NOT(ISERROR(SEARCH(("A"),(AA30))))</formula>
    </cfRule>
  </conditionalFormatting>
  <conditionalFormatting sqref="AA30:AA69">
    <cfRule type="containsText" dxfId="5" priority="179" operator="containsText" text="B">
      <formula>NOT(ISERROR(SEARCH(("B"),(AA30))))</formula>
    </cfRule>
  </conditionalFormatting>
  <conditionalFormatting sqref="AA30:AA69">
    <cfRule type="containsText" dxfId="4" priority="180" operator="containsText" text="C">
      <formula>NOT(ISERROR(SEARCH(("C"),(AA30))))</formula>
    </cfRule>
  </conditionalFormatting>
  <conditionalFormatting sqref="AA30:AA69">
    <cfRule type="containsText" dxfId="5" priority="181" operator="containsText" text="D">
      <formula>NOT(ISERROR(SEARCH(("D"),(AA30))))</formula>
    </cfRule>
  </conditionalFormatting>
  <conditionalFormatting sqref="D30:AT69">
    <cfRule type="containsText" dxfId="6" priority="182" operator="containsText" text="F">
      <formula>NOT(ISERROR(SEARCH(("F"),(D30))))</formula>
    </cfRule>
  </conditionalFormatting>
  <conditionalFormatting sqref="D30:AT69">
    <cfRule type="containsText" dxfId="5" priority="183" operator="containsText" text="X">
      <formula>NOT(ISERROR(SEARCH(("X"),(D30))))</formula>
    </cfRule>
  </conditionalFormatting>
  <conditionalFormatting sqref="D30:AT69">
    <cfRule type="containsBlanks" dxfId="6" priority="184">
      <formula>LEN(TRIM(D30))=0</formula>
    </cfRule>
  </conditionalFormatting>
  <conditionalFormatting sqref="B30:B69">
    <cfRule type="containsBlanks" dxfId="6" priority="185">
      <formula>LEN(TRIM(B30))=0</formula>
    </cfRule>
  </conditionalFormatting>
  <conditionalFormatting sqref="F30:F69">
    <cfRule type="containsText" dxfId="5" priority="186" operator="containsText" text="A">
      <formula>NOT(ISERROR(SEARCH(("A"),(F30))))</formula>
    </cfRule>
  </conditionalFormatting>
  <conditionalFormatting sqref="E30:E69">
    <cfRule type="containsText" dxfId="5" priority="187" operator="containsText" text="A">
      <formula>NOT(ISERROR(SEARCH(("A"),(E30))))</formula>
    </cfRule>
  </conditionalFormatting>
  <conditionalFormatting sqref="E30:E69">
    <cfRule type="containsText" dxfId="5" priority="188" operator="containsText" text="B">
      <formula>NOT(ISERROR(SEARCH(("B"),(E30))))</formula>
    </cfRule>
  </conditionalFormatting>
  <conditionalFormatting sqref="E30:E69">
    <cfRule type="containsText" dxfId="4" priority="189" operator="containsText" text="C">
      <formula>NOT(ISERROR(SEARCH(("C"),(E30))))</formula>
    </cfRule>
  </conditionalFormatting>
  <conditionalFormatting sqref="E30:E69">
    <cfRule type="containsText" dxfId="5" priority="190" operator="containsText" text="D">
      <formula>NOT(ISERROR(SEARCH(("D"),(E30))))</formula>
    </cfRule>
  </conditionalFormatting>
  <hyperlinks>
    <hyperlink r:id="rId1" ref="A23"/>
  </hyperlinks>
  <printOptions horizontalCentered="1"/>
  <pageMargins bottom="0.75" footer="0.0" header="0.0" left="0.7" right="0.7" top="0.75"/>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46" width="4.75"/>
    <col customWidth="1" min="47" max="47" width="3.38"/>
    <col customWidth="1" min="48" max="49" width="4.13"/>
    <col customWidth="1" min="50" max="50" width="4.25"/>
    <col customWidth="1" min="51" max="51" width="4.63"/>
    <col customWidth="1" min="52" max="52" width="4.75"/>
    <col customWidth="1" min="53" max="53" width="4.25"/>
    <col customWidth="1" min="54" max="54" width="14.13"/>
    <col customWidth="1" min="55" max="55" width="1.88"/>
    <col customWidth="1" min="56" max="56" width="5.25"/>
    <col customWidth="1" min="57" max="57" width="5.0"/>
    <col customWidth="1" min="58" max="58" width="14.13"/>
    <col customWidth="1" min="59" max="59" width="5.13"/>
    <col customWidth="1" min="60" max="60" width="4.75"/>
    <col customWidth="1" min="61" max="61" width="15.75"/>
    <col customWidth="1" min="62" max="63"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row>
    <row r="6" ht="25.5" customHeight="1">
      <c r="A6" s="1"/>
      <c r="B6" s="1"/>
      <c r="C6" s="1"/>
      <c r="D6" s="5" t="s">
        <v>0</v>
      </c>
      <c r="AY6" s="5"/>
      <c r="AZ6" s="5"/>
      <c r="BA6" s="5"/>
      <c r="BB6" s="5"/>
      <c r="BC6" s="5"/>
      <c r="BD6" s="5"/>
      <c r="BE6" s="5"/>
      <c r="BF6" s="4"/>
      <c r="BG6" s="4"/>
      <c r="BH6" s="4"/>
      <c r="BI6" s="3"/>
      <c r="BJ6" s="3"/>
      <c r="BK6" s="3"/>
    </row>
    <row r="7" ht="25.5" customHeight="1">
      <c r="A7" s="1"/>
      <c r="B7" s="1"/>
      <c r="C7" s="1"/>
      <c r="AY7" s="5"/>
      <c r="AZ7" s="5"/>
      <c r="BA7" s="5"/>
      <c r="BB7" s="5"/>
      <c r="BC7" s="5"/>
      <c r="BD7" s="5"/>
      <c r="BE7" s="5"/>
      <c r="BF7" s="4"/>
      <c r="BG7" s="4"/>
      <c r="BH7" s="4"/>
      <c r="BI7" s="3"/>
      <c r="BJ7" s="3"/>
      <c r="BK7" s="3"/>
    </row>
    <row r="8" ht="25.5" customHeight="1">
      <c r="A8" s="1"/>
      <c r="B8" s="1"/>
      <c r="C8" s="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4"/>
      <c r="BG8" s="4"/>
      <c r="BH8" s="4"/>
      <c r="BI8" s="3"/>
      <c r="BJ8" s="3"/>
      <c r="BK8" s="3"/>
    </row>
    <row r="9" ht="25.5" customHeight="1">
      <c r="A9" s="1"/>
      <c r="B9" s="1"/>
      <c r="C9" s="1"/>
      <c r="D9" s="6" t="s">
        <v>1</v>
      </c>
      <c r="AY9" s="7"/>
      <c r="AZ9" s="7"/>
      <c r="BA9" s="7"/>
      <c r="BB9" s="7"/>
      <c r="BC9" s="7"/>
      <c r="BD9" s="7"/>
      <c r="BE9" s="7"/>
      <c r="BF9" s="4"/>
      <c r="BG9" s="4"/>
      <c r="BH9" s="4"/>
      <c r="BI9" s="3"/>
      <c r="BJ9" s="3"/>
      <c r="BK9" s="3"/>
    </row>
    <row r="10" ht="25.5" customHeight="1">
      <c r="A10" s="1"/>
      <c r="B10" s="1"/>
      <c r="C10" s="1"/>
      <c r="AY10" s="7"/>
      <c r="AZ10" s="7"/>
      <c r="BA10" s="7"/>
      <c r="BB10" s="7"/>
      <c r="BC10" s="7"/>
      <c r="BD10" s="7"/>
      <c r="BE10" s="7"/>
      <c r="BF10" s="4"/>
      <c r="BG10" s="4"/>
      <c r="BH10" s="4"/>
      <c r="BI10" s="3"/>
      <c r="BJ10" s="3"/>
      <c r="BK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row>
    <row r="12" ht="25.5" customHeight="1">
      <c r="A12" s="1"/>
      <c r="B12" s="1"/>
      <c r="C12" s="1"/>
      <c r="D12" s="8" t="s">
        <v>2</v>
      </c>
      <c r="AY12" s="9"/>
      <c r="AZ12" s="9"/>
      <c r="BA12" s="9"/>
      <c r="BB12" s="9"/>
      <c r="BC12" s="9"/>
      <c r="BD12" s="9"/>
      <c r="BE12" s="9"/>
      <c r="BF12" s="4"/>
      <c r="BG12" s="4"/>
      <c r="BH12" s="4"/>
      <c r="BI12" s="3"/>
      <c r="BJ12" s="3"/>
      <c r="BK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V13" s="3"/>
      <c r="AW13" s="3"/>
      <c r="AX13" s="3"/>
      <c r="AY13" s="3"/>
      <c r="AZ13" s="3"/>
      <c r="BA13" s="3"/>
      <c r="BB13" s="4"/>
      <c r="BC13" s="4"/>
      <c r="BD13" s="4"/>
      <c r="BE13" s="4"/>
      <c r="BF13" s="4"/>
      <c r="BG13" s="4"/>
      <c r="BH13" s="4"/>
      <c r="BI13" s="3"/>
      <c r="BJ13" s="3"/>
      <c r="BK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V14" s="3"/>
      <c r="AW14" s="3"/>
      <c r="AX14" s="3"/>
      <c r="AY14" s="3"/>
      <c r="AZ14" s="3"/>
      <c r="BA14" s="3"/>
      <c r="BB14" s="4"/>
      <c r="BC14" s="4"/>
      <c r="BD14" s="4"/>
      <c r="BE14" s="4"/>
      <c r="BF14" s="4"/>
      <c r="BG14" s="4"/>
      <c r="BH14" s="4"/>
      <c r="BI14" s="3"/>
      <c r="BJ14" s="3"/>
      <c r="BK14" s="3"/>
    </row>
    <row r="15" ht="25.5" customHeight="1">
      <c r="A15" s="13"/>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V15" s="3"/>
      <c r="AW15" s="3"/>
      <c r="AX15" s="3"/>
      <c r="AY15" s="3"/>
      <c r="AZ15" s="3"/>
      <c r="BA15" s="3"/>
      <c r="BB15" s="4"/>
      <c r="BC15" s="4"/>
      <c r="BD15" s="4"/>
      <c r="BE15" s="4"/>
      <c r="BF15" s="4"/>
      <c r="BG15" s="4"/>
      <c r="BH15" s="4"/>
      <c r="BI15" s="3"/>
      <c r="BJ15" s="3"/>
      <c r="BK15" s="3"/>
    </row>
    <row r="16" ht="25.5" customHeight="1">
      <c r="A16" s="15" t="s">
        <v>48</v>
      </c>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V16" s="3"/>
      <c r="AW16" s="3"/>
      <c r="AX16" s="3"/>
      <c r="AY16" s="3"/>
      <c r="AZ16" s="3"/>
      <c r="BA16" s="3"/>
      <c r="BB16" s="4"/>
      <c r="BC16" s="4"/>
      <c r="BD16" s="4"/>
      <c r="BE16" s="4"/>
      <c r="BF16" s="4"/>
      <c r="BG16" s="4"/>
      <c r="BH16" s="4"/>
      <c r="BI16" s="3"/>
      <c r="BJ16" s="3"/>
      <c r="BK16" s="3"/>
    </row>
    <row r="17" ht="25.5" customHeight="1">
      <c r="A17" s="13"/>
      <c r="C17" s="14"/>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V17" s="3"/>
      <c r="AW17" s="3"/>
      <c r="AX17" s="3"/>
      <c r="AY17" s="3"/>
      <c r="AZ17" s="3"/>
      <c r="BA17" s="3"/>
      <c r="BB17" s="4"/>
      <c r="BC17" s="4"/>
      <c r="BD17" s="4"/>
      <c r="BE17" s="4"/>
      <c r="BF17" s="4"/>
      <c r="BG17" s="4"/>
      <c r="BH17" s="4"/>
      <c r="BI17" s="3"/>
      <c r="BJ17" s="3"/>
      <c r="BK17" s="3"/>
    </row>
    <row r="18" ht="21.0" customHeight="1">
      <c r="A18" s="16" t="s">
        <v>4</v>
      </c>
      <c r="C18" s="18">
        <f>COUNTA(B30:B69)</f>
        <v>30</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V18" s="3"/>
      <c r="AW18" s="3"/>
      <c r="AX18" s="3"/>
      <c r="AY18" s="3"/>
      <c r="AZ18" s="3"/>
      <c r="BA18" s="3"/>
      <c r="BB18" s="4"/>
      <c r="BC18" s="4"/>
      <c r="BD18" s="4"/>
      <c r="BE18" s="4"/>
      <c r="BF18" s="4"/>
      <c r="BG18" s="4"/>
      <c r="BH18" s="4"/>
      <c r="BI18" s="3"/>
      <c r="BJ18" s="3"/>
      <c r="BK18" s="3"/>
    </row>
    <row r="19" ht="21.75" customHeight="1">
      <c r="A19" s="16" t="s">
        <v>5</v>
      </c>
      <c r="C19" s="18">
        <f>SUMPRODUCT(LEN(D30:D69) - LEN(SUBSTITUTE(SUBSTITUTE(SUBSTITUTE(SUBSTITUTE(SUBSTITUTE(D30:D69,"A",""),"B",""),"C",""),"D",""),"X","")))</f>
        <v>27</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V19" s="3"/>
      <c r="AW19" s="3"/>
      <c r="AX19" s="3"/>
      <c r="AY19" s="3"/>
      <c r="AZ19" s="3"/>
      <c r="BA19" s="3"/>
      <c r="BB19" s="4"/>
      <c r="BC19" s="4"/>
      <c r="BD19" s="4"/>
      <c r="BE19" s="4"/>
      <c r="BF19" s="4"/>
      <c r="BG19" s="4"/>
      <c r="BH19" s="4"/>
      <c r="BI19" s="3"/>
      <c r="BJ19" s="3"/>
      <c r="BK19" s="3"/>
    </row>
    <row r="20" ht="21.0" customHeight="1">
      <c r="A20" s="16" t="s">
        <v>6</v>
      </c>
      <c r="C20" s="18">
        <f>COUNTIF(D30:D69,"F")</f>
        <v>3</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V20" s="3"/>
      <c r="AW20" s="3"/>
      <c r="AX20" s="3"/>
      <c r="AY20" s="3"/>
      <c r="AZ20" s="3"/>
      <c r="BA20" s="3"/>
      <c r="BB20" s="4"/>
      <c r="BC20" s="4"/>
      <c r="BD20" s="4"/>
      <c r="BE20" s="4"/>
      <c r="BF20" s="4"/>
      <c r="BG20" s="4"/>
      <c r="BH20" s="4"/>
      <c r="BI20" s="3"/>
      <c r="BJ20" s="3"/>
      <c r="BK20" s="3"/>
    </row>
    <row r="21" ht="24.0" customHeight="1">
      <c r="A21" s="16" t="s">
        <v>7</v>
      </c>
      <c r="C21" s="18">
        <f>COUNTIF(C30:C69,"SIM")</f>
        <v>2</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V21" s="3"/>
      <c r="AW21" s="3"/>
      <c r="AX21" s="3"/>
      <c r="AY21" s="3"/>
      <c r="AZ21" s="3"/>
      <c r="BA21" s="3"/>
      <c r="BB21" s="4"/>
      <c r="BC21" s="4"/>
      <c r="BD21" s="4"/>
      <c r="BE21" s="4"/>
      <c r="BF21" s="4"/>
      <c r="BG21" s="4"/>
      <c r="BH21" s="4"/>
      <c r="BI21" s="3"/>
      <c r="BJ21" s="3"/>
      <c r="BK21" s="3"/>
    </row>
    <row r="22" ht="24.0" customHeight="1">
      <c r="A22" s="16"/>
      <c r="B22" s="19"/>
      <c r="C22" s="21"/>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V22" s="3"/>
      <c r="AW22" s="3"/>
      <c r="AX22" s="3"/>
      <c r="AY22" s="3"/>
      <c r="AZ22" s="3"/>
      <c r="BA22" s="3"/>
      <c r="BB22" s="4"/>
      <c r="BC22" s="4"/>
      <c r="BD22" s="4"/>
      <c r="BE22" s="4"/>
      <c r="BF22" s="4"/>
      <c r="BG22" s="4"/>
      <c r="BH22" s="4"/>
      <c r="BI22" s="3"/>
      <c r="BJ22" s="3"/>
      <c r="BK22" s="3"/>
    </row>
    <row r="23" ht="42.0" customHeight="1">
      <c r="A23" s="22" t="s">
        <v>8</v>
      </c>
      <c r="B23" s="23"/>
      <c r="C23" s="24"/>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V23" s="3"/>
      <c r="AW23" s="3"/>
      <c r="AX23" s="3"/>
      <c r="AY23" s="3"/>
      <c r="AZ23" s="3"/>
      <c r="BA23" s="3"/>
      <c r="BB23" s="4"/>
      <c r="BC23" s="4"/>
      <c r="BD23" s="4"/>
      <c r="BE23" s="4"/>
      <c r="BF23" s="4"/>
      <c r="BG23" s="4"/>
      <c r="BH23" s="4"/>
      <c r="BI23" s="3"/>
      <c r="BJ23" s="3"/>
      <c r="BK23" s="3"/>
    </row>
    <row r="24" ht="36.0"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V24" s="3"/>
      <c r="AW24" s="3"/>
      <c r="AX24" s="3"/>
      <c r="AY24" s="3"/>
      <c r="AZ24" s="3"/>
      <c r="BA24" s="3"/>
      <c r="BB24" s="4"/>
      <c r="BC24" s="4"/>
      <c r="BD24" s="4"/>
      <c r="BE24" s="4"/>
      <c r="BF24" s="4"/>
      <c r="BG24" s="4"/>
      <c r="BH24" s="4"/>
      <c r="BI24" s="3"/>
      <c r="BJ24" s="3"/>
      <c r="BK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41"/>
      <c r="BC25" s="236"/>
      <c r="BD25" s="342" t="s">
        <v>155</v>
      </c>
      <c r="BJ25" s="3"/>
      <c r="BK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344"/>
      <c r="Y26" s="345" t="s">
        <v>17</v>
      </c>
      <c r="Z26" s="29"/>
      <c r="AA26" s="29"/>
      <c r="AB26" s="29"/>
      <c r="AC26" s="29"/>
      <c r="AD26" s="29"/>
      <c r="AE26" s="29"/>
      <c r="AF26" s="29"/>
      <c r="AG26" s="29"/>
      <c r="AH26" s="29"/>
      <c r="AI26" s="29"/>
      <c r="AJ26" s="29"/>
      <c r="AK26" s="29"/>
      <c r="AL26" s="29"/>
      <c r="AM26" s="29"/>
      <c r="AN26" s="29"/>
      <c r="AO26" s="29"/>
      <c r="AP26" s="29"/>
      <c r="AQ26" s="29"/>
      <c r="AR26" s="29"/>
      <c r="AS26" s="29"/>
      <c r="AT26" s="41"/>
      <c r="AV26" s="346" t="s">
        <v>89</v>
      </c>
      <c r="BC26" s="347"/>
      <c r="BD26" s="348" t="s">
        <v>158</v>
      </c>
      <c r="BF26" s="349"/>
      <c r="BG26" s="350" t="s">
        <v>17</v>
      </c>
      <c r="BJ26" s="3"/>
      <c r="BK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9" t="s">
        <v>38</v>
      </c>
      <c r="Y27" s="50" t="s">
        <v>293</v>
      </c>
      <c r="Z27" s="51" t="s">
        <v>19</v>
      </c>
      <c r="AA27" s="51" t="s">
        <v>20</v>
      </c>
      <c r="AB27" s="51" t="s">
        <v>21</v>
      </c>
      <c r="AC27" s="51" t="s">
        <v>22</v>
      </c>
      <c r="AD27" s="51" t="s">
        <v>23</v>
      </c>
      <c r="AE27" s="51" t="s">
        <v>24</v>
      </c>
      <c r="AF27" s="51" t="s">
        <v>25</v>
      </c>
      <c r="AG27" s="51" t="s">
        <v>26</v>
      </c>
      <c r="AH27" s="51" t="s">
        <v>27</v>
      </c>
      <c r="AI27" s="51" t="s">
        <v>28</v>
      </c>
      <c r="AJ27" s="51" t="s">
        <v>29</v>
      </c>
      <c r="AK27" s="51" t="s">
        <v>30</v>
      </c>
      <c r="AL27" s="51" t="s">
        <v>31</v>
      </c>
      <c r="AM27" s="51" t="s">
        <v>32</v>
      </c>
      <c r="AN27" s="51" t="s">
        <v>33</v>
      </c>
      <c r="AO27" s="51" t="s">
        <v>34</v>
      </c>
      <c r="AP27" s="51" t="s">
        <v>35</v>
      </c>
      <c r="AQ27" s="51" t="s">
        <v>36</v>
      </c>
      <c r="AR27" s="51" t="s">
        <v>37</v>
      </c>
      <c r="AS27" s="51" t="s">
        <v>38</v>
      </c>
      <c r="AT27" s="51" t="s">
        <v>40</v>
      </c>
      <c r="AV27" s="351" t="s">
        <v>160</v>
      </c>
      <c r="AW27" s="351" t="s">
        <v>161</v>
      </c>
      <c r="AX27" s="351" t="s">
        <v>162</v>
      </c>
      <c r="AY27" s="351" t="s">
        <v>163</v>
      </c>
      <c r="AZ27" s="351" t="s">
        <v>164</v>
      </c>
      <c r="BA27" s="352" t="s">
        <v>165</v>
      </c>
      <c r="BB27" s="353" t="s">
        <v>90</v>
      </c>
      <c r="BC27" s="354"/>
      <c r="BD27" s="355" t="s">
        <v>166</v>
      </c>
      <c r="BE27" s="355" t="s">
        <v>167</v>
      </c>
      <c r="BF27" s="356" t="s">
        <v>168</v>
      </c>
      <c r="BG27" s="357" t="s">
        <v>166</v>
      </c>
      <c r="BH27" s="358" t="s">
        <v>167</v>
      </c>
      <c r="BI27" s="359" t="s">
        <v>168</v>
      </c>
      <c r="BJ27" s="360"/>
      <c r="BK27" s="360"/>
    </row>
    <row r="28" ht="19.5" hidden="1" customHeight="1">
      <c r="A28" s="47"/>
      <c r="B28" s="14"/>
      <c r="C28" s="14"/>
      <c r="D28" s="60">
        <v>18.0</v>
      </c>
      <c r="E28" s="60">
        <v>9.0</v>
      </c>
      <c r="F28" s="60">
        <v>0.0</v>
      </c>
      <c r="G28" s="60">
        <v>36.0</v>
      </c>
      <c r="H28" s="60">
        <v>36.0</v>
      </c>
      <c r="I28" s="60">
        <v>36.0</v>
      </c>
      <c r="J28" s="60">
        <v>18.0</v>
      </c>
      <c r="K28" s="60">
        <v>18.0</v>
      </c>
      <c r="L28" s="60">
        <v>36.0</v>
      </c>
      <c r="M28" s="60">
        <v>36.0</v>
      </c>
      <c r="N28" s="60">
        <v>36.0</v>
      </c>
      <c r="O28" s="60">
        <v>36.0</v>
      </c>
      <c r="P28" s="60">
        <v>36.0</v>
      </c>
      <c r="Q28" s="60">
        <v>9.0</v>
      </c>
      <c r="R28" s="60">
        <v>18.0</v>
      </c>
      <c r="S28" s="60">
        <v>36.0</v>
      </c>
      <c r="T28" s="60">
        <v>36.0</v>
      </c>
      <c r="U28" s="60">
        <v>9.0</v>
      </c>
      <c r="V28" s="60">
        <v>0.0</v>
      </c>
      <c r="W28" s="60">
        <v>36.0</v>
      </c>
      <c r="X28" s="61">
        <v>0.0</v>
      </c>
      <c r="Y28" s="62">
        <v>25.0</v>
      </c>
      <c r="Z28" s="62">
        <v>25.0</v>
      </c>
      <c r="AA28" s="62">
        <v>25.0</v>
      </c>
      <c r="AB28" s="62">
        <v>25.0</v>
      </c>
      <c r="AC28" s="63">
        <v>16.0</v>
      </c>
      <c r="AD28" s="63">
        <v>25.0</v>
      </c>
      <c r="AE28" s="63">
        <v>8.0</v>
      </c>
      <c r="AF28" s="63">
        <v>25.0</v>
      </c>
      <c r="AG28" s="63">
        <v>25.0</v>
      </c>
      <c r="AH28" s="63">
        <v>16.0</v>
      </c>
      <c r="AI28" s="63">
        <v>25.0</v>
      </c>
      <c r="AJ28" s="63">
        <v>25.0</v>
      </c>
      <c r="AK28" s="63">
        <v>25.0</v>
      </c>
      <c r="AL28" s="63">
        <v>25.0</v>
      </c>
      <c r="AM28" s="63">
        <v>25.0</v>
      </c>
      <c r="AN28" s="63">
        <v>25.0</v>
      </c>
      <c r="AO28" s="63">
        <v>16.0</v>
      </c>
      <c r="AP28" s="63">
        <v>25.0</v>
      </c>
      <c r="AQ28" s="63">
        <v>25.0</v>
      </c>
      <c r="AR28" s="63">
        <v>25.0</v>
      </c>
      <c r="AS28" s="63">
        <v>25.0</v>
      </c>
      <c r="AT28" s="63">
        <v>25.0</v>
      </c>
      <c r="AV28" s="47"/>
      <c r="AW28" s="47"/>
      <c r="AX28" s="47"/>
      <c r="AY28" s="47"/>
      <c r="AZ28" s="47"/>
      <c r="BA28" s="47"/>
      <c r="BB28" s="47"/>
      <c r="BC28" s="354"/>
      <c r="BD28" s="47"/>
      <c r="BE28" s="47"/>
      <c r="BF28" s="361"/>
      <c r="BG28" s="14"/>
      <c r="BH28" s="47"/>
      <c r="BI28" s="47"/>
      <c r="BJ28" s="360"/>
      <c r="BK28" s="360"/>
    </row>
    <row r="29" ht="19.5" customHeight="1">
      <c r="A29" s="65"/>
      <c r="B29" s="24"/>
      <c r="C29" s="24"/>
      <c r="D29" s="66" t="s">
        <v>41</v>
      </c>
      <c r="E29" s="66" t="s">
        <v>41</v>
      </c>
      <c r="F29" s="66" t="s">
        <v>41</v>
      </c>
      <c r="G29" s="66" t="s">
        <v>42</v>
      </c>
      <c r="H29" s="66" t="s">
        <v>42</v>
      </c>
      <c r="I29" s="66" t="s">
        <v>43</v>
      </c>
      <c r="J29" s="66" t="s">
        <v>42</v>
      </c>
      <c r="K29" s="66" t="s">
        <v>42</v>
      </c>
      <c r="L29" s="66" t="s">
        <v>44</v>
      </c>
      <c r="M29" s="66" t="s">
        <v>42</v>
      </c>
      <c r="N29" s="66" t="s">
        <v>41</v>
      </c>
      <c r="O29" s="66" t="s">
        <v>41</v>
      </c>
      <c r="P29" s="66" t="s">
        <v>44</v>
      </c>
      <c r="Q29" s="66" t="s">
        <v>42</v>
      </c>
      <c r="R29" s="66" t="s">
        <v>43</v>
      </c>
      <c r="S29" s="66" t="s">
        <v>44</v>
      </c>
      <c r="T29" s="66" t="s">
        <v>44</v>
      </c>
      <c r="U29" s="66" t="s">
        <v>44</v>
      </c>
      <c r="V29" s="66" t="s">
        <v>41</v>
      </c>
      <c r="W29" s="66" t="s">
        <v>43</v>
      </c>
      <c r="X29" s="246" t="s">
        <v>42</v>
      </c>
      <c r="Y29" s="68" t="s">
        <v>44</v>
      </c>
      <c r="Z29" s="69" t="s">
        <v>43</v>
      </c>
      <c r="AA29" s="69" t="s">
        <v>41</v>
      </c>
      <c r="AB29" s="69" t="s">
        <v>43</v>
      </c>
      <c r="AC29" s="69" t="s">
        <v>41</v>
      </c>
      <c r="AD29" s="69" t="s">
        <v>41</v>
      </c>
      <c r="AE29" s="69" t="s">
        <v>42</v>
      </c>
      <c r="AF29" s="69" t="s">
        <v>44</v>
      </c>
      <c r="AG29" s="69" t="s">
        <v>43</v>
      </c>
      <c r="AH29" s="69" t="s">
        <v>44</v>
      </c>
      <c r="AI29" s="69" t="s">
        <v>41</v>
      </c>
      <c r="AJ29" s="69" t="s">
        <v>42</v>
      </c>
      <c r="AK29" s="69" t="s">
        <v>43</v>
      </c>
      <c r="AL29" s="69" t="s">
        <v>42</v>
      </c>
      <c r="AM29" s="69" t="s">
        <v>41</v>
      </c>
      <c r="AN29" s="69" t="s">
        <v>44</v>
      </c>
      <c r="AO29" s="69" t="s">
        <v>42</v>
      </c>
      <c r="AP29" s="69" t="s">
        <v>43</v>
      </c>
      <c r="AQ29" s="69" t="s">
        <v>44</v>
      </c>
      <c r="AR29" s="69" t="s">
        <v>41</v>
      </c>
      <c r="AS29" s="69" t="s">
        <v>41</v>
      </c>
      <c r="AT29" s="69" t="s">
        <v>42</v>
      </c>
      <c r="AV29" s="65"/>
      <c r="AW29" s="65"/>
      <c r="AX29" s="65"/>
      <c r="AY29" s="65"/>
      <c r="AZ29" s="65"/>
      <c r="BA29" s="65"/>
      <c r="BB29" s="65"/>
      <c r="BC29" s="354"/>
      <c r="BD29" s="65"/>
      <c r="BE29" s="65"/>
      <c r="BF29" s="362"/>
      <c r="BG29" s="24"/>
      <c r="BH29" s="65"/>
      <c r="BI29" s="65"/>
      <c r="BJ29" s="360"/>
      <c r="BK29" s="360"/>
    </row>
    <row r="30" ht="15.75" customHeight="1">
      <c r="A30" s="82">
        <v>1.0</v>
      </c>
      <c r="B30" s="443" t="s">
        <v>294</v>
      </c>
      <c r="C30" s="444" t="s">
        <v>170</v>
      </c>
      <c r="D30" s="364" t="s">
        <v>41</v>
      </c>
      <c r="E30" s="365" t="s">
        <v>41</v>
      </c>
      <c r="F30" s="365" t="s">
        <v>43</v>
      </c>
      <c r="G30" s="365" t="s">
        <v>42</v>
      </c>
      <c r="H30" s="365" t="s">
        <v>43</v>
      </c>
      <c r="I30" s="365" t="s">
        <v>44</v>
      </c>
      <c r="J30" s="365" t="s">
        <v>42</v>
      </c>
      <c r="K30" s="365" t="s">
        <v>42</v>
      </c>
      <c r="L30" s="365" t="s">
        <v>44</v>
      </c>
      <c r="M30" s="365" t="s">
        <v>44</v>
      </c>
      <c r="N30" s="365" t="s">
        <v>41</v>
      </c>
      <c r="O30" s="365" t="s">
        <v>43</v>
      </c>
      <c r="P30" s="365" t="s">
        <v>44</v>
      </c>
      <c r="Q30" s="365" t="s">
        <v>42</v>
      </c>
      <c r="R30" s="365" t="s">
        <v>41</v>
      </c>
      <c r="S30" s="365" t="s">
        <v>42</v>
      </c>
      <c r="T30" s="365" t="s">
        <v>44</v>
      </c>
      <c r="U30" s="365" t="s">
        <v>44</v>
      </c>
      <c r="V30" s="365" t="s">
        <v>42</v>
      </c>
      <c r="W30" s="365" t="s">
        <v>42</v>
      </c>
      <c r="X30" s="366" t="s">
        <v>43</v>
      </c>
      <c r="Y30" s="367" t="s">
        <v>41</v>
      </c>
      <c r="Z30" s="365" t="s">
        <v>44</v>
      </c>
      <c r="AA30" s="365" t="s">
        <v>42</v>
      </c>
      <c r="AB30" s="365" t="s">
        <v>42</v>
      </c>
      <c r="AC30" s="365" t="s">
        <v>44</v>
      </c>
      <c r="AD30" s="365" t="s">
        <v>42</v>
      </c>
      <c r="AE30" s="365" t="s">
        <v>41</v>
      </c>
      <c r="AF30" s="365" t="s">
        <v>44</v>
      </c>
      <c r="AG30" s="365" t="s">
        <v>43</v>
      </c>
      <c r="AH30" s="365" t="s">
        <v>44</v>
      </c>
      <c r="AI30" s="365" t="s">
        <v>41</v>
      </c>
      <c r="AJ30" s="365" t="s">
        <v>42</v>
      </c>
      <c r="AK30" s="365" t="s">
        <v>41</v>
      </c>
      <c r="AL30" s="365" t="s">
        <v>44</v>
      </c>
      <c r="AM30" s="365" t="s">
        <v>43</v>
      </c>
      <c r="AN30" s="365" t="s">
        <v>44</v>
      </c>
      <c r="AO30" s="365" t="s">
        <v>42</v>
      </c>
      <c r="AP30" s="365" t="s">
        <v>41</v>
      </c>
      <c r="AQ30" s="365" t="s">
        <v>42</v>
      </c>
      <c r="AR30" s="365" t="s">
        <v>41</v>
      </c>
      <c r="AS30" s="365" t="s">
        <v>41</v>
      </c>
      <c r="AT30" s="365" t="s">
        <v>41</v>
      </c>
      <c r="AU30" s="368"/>
      <c r="AV30" s="369" t="s">
        <v>44</v>
      </c>
      <c r="AW30" s="445">
        <v>3.0</v>
      </c>
      <c r="AX30" s="445">
        <v>2.0</v>
      </c>
      <c r="AY30" s="445">
        <v>2.0</v>
      </c>
      <c r="AZ30" s="445">
        <v>2.0</v>
      </c>
      <c r="BA30" s="371">
        <f t="shared" ref="BA30:BA59" si="1">(100/16)*((SUM(AW30:AZ30)))</f>
        <v>56.25</v>
      </c>
      <c r="BB30" s="372" t="str">
        <f t="shared" ref="BB30:BB59" si="2">IF((SUM(BA30))&lt;=25, "Abaixo do Básico", IF((SUM(BA30))&lt;=50, "Básico", IF((SUM(BA30))&lt;=75, "Adequado", "Avançado")))</f>
        <v>Adequado</v>
      </c>
      <c r="BC30" s="373"/>
      <c r="BD30" s="374">
        <f t="shared" ref="BD30:BD59" si="3">SUMPRODUCT(--(D30:X30=D$29:X$29))</f>
        <v>11</v>
      </c>
      <c r="BE30" s="374">
        <f t="shared" ref="BE30:BE59" si="4">SUMPRODUCT((D30:X30=D$29:X$29)*D$28:X$28)</f>
        <v>261</v>
      </c>
      <c r="BF30" s="375" t="str">
        <f t="shared" ref="BF30:BF59" si="5">IF((SUM(BE30))&lt;=125, "Abaixo do Básico", IF((SUM(BE30))&lt;=250, "Básico", IF((SUM(BE30))&lt;=375, "Adequado", "Avançado")))</f>
        <v>Adequado</v>
      </c>
      <c r="BG30" s="376">
        <f t="shared" ref="BG30:BG59" si="6">SUMPRODUCT(--(Y30:AT30=Y$29:AT$29))</f>
        <v>9</v>
      </c>
      <c r="BH30" s="374">
        <f t="shared" ref="BH30:BH59" si="7">SUMPRODUCT((Y30:AT30=Y$29:AT$29)*Y$28:AT$28)</f>
        <v>207</v>
      </c>
      <c r="BI30" s="377" t="str">
        <f t="shared" ref="BI30:BI59" si="8">IF((SUM(BH30))&lt;=125, "Abaixo do Básico", IF((SUM(BH30))&lt;=250, "Básico", IF((SUM(BH30))&lt;=375, "Adequado", "Avançado")))</f>
        <v>Básico</v>
      </c>
      <c r="BJ30" s="25"/>
      <c r="BK30" s="25"/>
    </row>
    <row r="31" ht="15.75" customHeight="1">
      <c r="A31" s="82">
        <v>2.0</v>
      </c>
      <c r="B31" s="446" t="s">
        <v>295</v>
      </c>
      <c r="C31" s="444" t="s">
        <v>199</v>
      </c>
      <c r="D31" s="447" t="s">
        <v>172</v>
      </c>
      <c r="E31" s="365" t="s">
        <v>172</v>
      </c>
      <c r="F31" s="365" t="s">
        <v>172</v>
      </c>
      <c r="G31" s="365" t="s">
        <v>172</v>
      </c>
      <c r="H31" s="365" t="s">
        <v>172</v>
      </c>
      <c r="I31" s="365" t="s">
        <v>172</v>
      </c>
      <c r="J31" s="365" t="s">
        <v>172</v>
      </c>
      <c r="K31" s="365" t="s">
        <v>172</v>
      </c>
      <c r="L31" s="365" t="s">
        <v>172</v>
      </c>
      <c r="M31" s="365" t="s">
        <v>172</v>
      </c>
      <c r="N31" s="365" t="s">
        <v>172</v>
      </c>
      <c r="O31" s="365" t="s">
        <v>172</v>
      </c>
      <c r="P31" s="365" t="s">
        <v>172</v>
      </c>
      <c r="Q31" s="365" t="s">
        <v>172</v>
      </c>
      <c r="R31" s="365" t="s">
        <v>172</v>
      </c>
      <c r="S31" s="365" t="s">
        <v>172</v>
      </c>
      <c r="T31" s="365" t="s">
        <v>172</v>
      </c>
      <c r="U31" s="365" t="s">
        <v>172</v>
      </c>
      <c r="V31" s="365" t="s">
        <v>172</v>
      </c>
      <c r="W31" s="365" t="s">
        <v>172</v>
      </c>
      <c r="X31" s="366" t="s">
        <v>172</v>
      </c>
      <c r="Y31" s="367" t="s">
        <v>172</v>
      </c>
      <c r="Z31" s="365" t="s">
        <v>172</v>
      </c>
      <c r="AA31" s="365" t="s">
        <v>172</v>
      </c>
      <c r="AB31" s="365" t="s">
        <v>172</v>
      </c>
      <c r="AC31" s="365" t="s">
        <v>172</v>
      </c>
      <c r="AD31" s="365" t="s">
        <v>172</v>
      </c>
      <c r="AE31" s="365" t="s">
        <v>172</v>
      </c>
      <c r="AF31" s="365" t="s">
        <v>172</v>
      </c>
      <c r="AG31" s="365" t="s">
        <v>172</v>
      </c>
      <c r="AH31" s="365" t="s">
        <v>172</v>
      </c>
      <c r="AI31" s="365" t="s">
        <v>172</v>
      </c>
      <c r="AJ31" s="365" t="s">
        <v>172</v>
      </c>
      <c r="AK31" s="365" t="s">
        <v>172</v>
      </c>
      <c r="AL31" s="365" t="s">
        <v>172</v>
      </c>
      <c r="AM31" s="365" t="s">
        <v>172</v>
      </c>
      <c r="AN31" s="365" t="s">
        <v>172</v>
      </c>
      <c r="AO31" s="365" t="s">
        <v>172</v>
      </c>
      <c r="AP31" s="365" t="s">
        <v>172</v>
      </c>
      <c r="AQ31" s="365" t="s">
        <v>172</v>
      </c>
      <c r="AR31" s="365" t="s">
        <v>172</v>
      </c>
      <c r="AS31" s="365" t="s">
        <v>172</v>
      </c>
      <c r="AT31" s="365" t="s">
        <v>172</v>
      </c>
      <c r="AU31" s="368"/>
      <c r="AV31" s="369" t="s">
        <v>172</v>
      </c>
      <c r="AW31" s="445" t="s">
        <v>173</v>
      </c>
      <c r="AX31" s="445" t="s">
        <v>173</v>
      </c>
      <c r="AY31" s="445" t="s">
        <v>173</v>
      </c>
      <c r="AZ31" s="445" t="s">
        <v>173</v>
      </c>
      <c r="BA31" s="371">
        <f t="shared" si="1"/>
        <v>0</v>
      </c>
      <c r="BB31" s="372" t="str">
        <f t="shared" si="2"/>
        <v>Abaixo do Básico</v>
      </c>
      <c r="BC31" s="373"/>
      <c r="BD31" s="374">
        <f t="shared" si="3"/>
        <v>0</v>
      </c>
      <c r="BE31" s="374">
        <f t="shared" si="4"/>
        <v>0</v>
      </c>
      <c r="BF31" s="375" t="str">
        <f t="shared" si="5"/>
        <v>Abaixo do Básico</v>
      </c>
      <c r="BG31" s="376">
        <f t="shared" si="6"/>
        <v>0</v>
      </c>
      <c r="BH31" s="374">
        <f t="shared" si="7"/>
        <v>0</v>
      </c>
      <c r="BI31" s="377" t="str">
        <f t="shared" si="8"/>
        <v>Abaixo do Básico</v>
      </c>
      <c r="BJ31" s="25"/>
      <c r="BK31" s="25"/>
    </row>
    <row r="32" ht="15.75" customHeight="1">
      <c r="A32" s="82">
        <v>3.0</v>
      </c>
      <c r="B32" s="446" t="s">
        <v>296</v>
      </c>
      <c r="C32" s="444" t="s">
        <v>170</v>
      </c>
      <c r="D32" s="447" t="s">
        <v>172</v>
      </c>
      <c r="E32" s="365" t="s">
        <v>172</v>
      </c>
      <c r="F32" s="365" t="s">
        <v>172</v>
      </c>
      <c r="G32" s="365" t="s">
        <v>172</v>
      </c>
      <c r="H32" s="365" t="s">
        <v>172</v>
      </c>
      <c r="I32" s="365" t="s">
        <v>172</v>
      </c>
      <c r="J32" s="365" t="s">
        <v>172</v>
      </c>
      <c r="K32" s="365" t="s">
        <v>172</v>
      </c>
      <c r="L32" s="365" t="s">
        <v>172</v>
      </c>
      <c r="M32" s="365" t="s">
        <v>172</v>
      </c>
      <c r="N32" s="365" t="s">
        <v>172</v>
      </c>
      <c r="O32" s="365" t="s">
        <v>172</v>
      </c>
      <c r="P32" s="365" t="s">
        <v>172</v>
      </c>
      <c r="Q32" s="365" t="s">
        <v>172</v>
      </c>
      <c r="R32" s="365" t="s">
        <v>172</v>
      </c>
      <c r="S32" s="365" t="s">
        <v>172</v>
      </c>
      <c r="T32" s="365" t="s">
        <v>172</v>
      </c>
      <c r="U32" s="365" t="s">
        <v>172</v>
      </c>
      <c r="V32" s="365" t="s">
        <v>172</v>
      </c>
      <c r="W32" s="365" t="s">
        <v>172</v>
      </c>
      <c r="X32" s="366" t="s">
        <v>172</v>
      </c>
      <c r="Y32" s="367" t="s">
        <v>172</v>
      </c>
      <c r="Z32" s="365" t="s">
        <v>172</v>
      </c>
      <c r="AA32" s="365" t="s">
        <v>172</v>
      </c>
      <c r="AB32" s="365" t="s">
        <v>172</v>
      </c>
      <c r="AC32" s="365" t="s">
        <v>172</v>
      </c>
      <c r="AD32" s="365" t="s">
        <v>172</v>
      </c>
      <c r="AE32" s="365" t="s">
        <v>172</v>
      </c>
      <c r="AF32" s="365" t="s">
        <v>172</v>
      </c>
      <c r="AG32" s="365" t="s">
        <v>172</v>
      </c>
      <c r="AH32" s="365" t="s">
        <v>172</v>
      </c>
      <c r="AI32" s="365" t="s">
        <v>172</v>
      </c>
      <c r="AJ32" s="365" t="s">
        <v>172</v>
      </c>
      <c r="AK32" s="365" t="s">
        <v>172</v>
      </c>
      <c r="AL32" s="365" t="s">
        <v>172</v>
      </c>
      <c r="AM32" s="365" t="s">
        <v>172</v>
      </c>
      <c r="AN32" s="365" t="s">
        <v>172</v>
      </c>
      <c r="AO32" s="365" t="s">
        <v>172</v>
      </c>
      <c r="AP32" s="365" t="s">
        <v>172</v>
      </c>
      <c r="AQ32" s="365" t="s">
        <v>172</v>
      </c>
      <c r="AR32" s="365" t="s">
        <v>172</v>
      </c>
      <c r="AS32" s="365" t="s">
        <v>172</v>
      </c>
      <c r="AT32" s="365" t="s">
        <v>172</v>
      </c>
      <c r="AU32" s="368"/>
      <c r="AV32" s="369" t="s">
        <v>172</v>
      </c>
      <c r="AW32" s="445" t="s">
        <v>173</v>
      </c>
      <c r="AX32" s="445" t="s">
        <v>173</v>
      </c>
      <c r="AY32" s="445" t="s">
        <v>173</v>
      </c>
      <c r="AZ32" s="445" t="s">
        <v>173</v>
      </c>
      <c r="BA32" s="371">
        <f t="shared" si="1"/>
        <v>0</v>
      </c>
      <c r="BB32" s="372" t="str">
        <f t="shared" si="2"/>
        <v>Abaixo do Básico</v>
      </c>
      <c r="BC32" s="373"/>
      <c r="BD32" s="374">
        <f t="shared" si="3"/>
        <v>0</v>
      </c>
      <c r="BE32" s="374">
        <f t="shared" si="4"/>
        <v>0</v>
      </c>
      <c r="BF32" s="375" t="str">
        <f t="shared" si="5"/>
        <v>Abaixo do Básico</v>
      </c>
      <c r="BG32" s="376">
        <f t="shared" si="6"/>
        <v>0</v>
      </c>
      <c r="BH32" s="374">
        <f t="shared" si="7"/>
        <v>0</v>
      </c>
      <c r="BI32" s="377" t="str">
        <f t="shared" si="8"/>
        <v>Abaixo do Básico</v>
      </c>
      <c r="BJ32" s="25"/>
      <c r="BK32" s="25"/>
    </row>
    <row r="33" ht="15.75" customHeight="1">
      <c r="A33" s="82">
        <v>4.0</v>
      </c>
      <c r="B33" s="446" t="s">
        <v>297</v>
      </c>
      <c r="C33" s="444" t="s">
        <v>170</v>
      </c>
      <c r="D33" s="447" t="s">
        <v>43</v>
      </c>
      <c r="E33" s="365" t="s">
        <v>41</v>
      </c>
      <c r="F33" s="365" t="s">
        <v>41</v>
      </c>
      <c r="G33" s="365" t="s">
        <v>42</v>
      </c>
      <c r="H33" s="365" t="s">
        <v>42</v>
      </c>
      <c r="I33" s="365" t="s">
        <v>42</v>
      </c>
      <c r="J33" s="365" t="s">
        <v>42</v>
      </c>
      <c r="K33" s="365" t="s">
        <v>42</v>
      </c>
      <c r="L33" s="365" t="s">
        <v>44</v>
      </c>
      <c r="M33" s="365" t="s">
        <v>44</v>
      </c>
      <c r="N33" s="365" t="s">
        <v>41</v>
      </c>
      <c r="O33" s="365" t="s">
        <v>44</v>
      </c>
      <c r="P33" s="365" t="s">
        <v>44</v>
      </c>
      <c r="Q33" s="365" t="s">
        <v>42</v>
      </c>
      <c r="R33" s="365" t="s">
        <v>42</v>
      </c>
      <c r="S33" s="365" t="s">
        <v>44</v>
      </c>
      <c r="T33" s="365" t="s">
        <v>44</v>
      </c>
      <c r="U33" s="365" t="s">
        <v>44</v>
      </c>
      <c r="V33" s="365" t="s">
        <v>41</v>
      </c>
      <c r="W33" s="365" t="s">
        <v>42</v>
      </c>
      <c r="X33" s="366" t="s">
        <v>42</v>
      </c>
      <c r="Y33" s="367" t="s">
        <v>44</v>
      </c>
      <c r="Z33" s="365" t="s">
        <v>43</v>
      </c>
      <c r="AA33" s="365" t="s">
        <v>44</v>
      </c>
      <c r="AB33" s="365" t="s">
        <v>43</v>
      </c>
      <c r="AC33" s="365" t="s">
        <v>41</v>
      </c>
      <c r="AD33" s="365" t="s">
        <v>43</v>
      </c>
      <c r="AE33" s="365" t="s">
        <v>41</v>
      </c>
      <c r="AF33" s="365" t="s">
        <v>44</v>
      </c>
      <c r="AG33" s="365" t="s">
        <v>41</v>
      </c>
      <c r="AH33" s="365" t="s">
        <v>41</v>
      </c>
      <c r="AI33" s="365" t="s">
        <v>41</v>
      </c>
      <c r="AJ33" s="365" t="s">
        <v>42</v>
      </c>
      <c r="AK33" s="365" t="s">
        <v>43</v>
      </c>
      <c r="AL33" s="365" t="s">
        <v>42</v>
      </c>
      <c r="AM33" s="365" t="s">
        <v>41</v>
      </c>
      <c r="AN33" s="365" t="s">
        <v>43</v>
      </c>
      <c r="AO33" s="365" t="s">
        <v>42</v>
      </c>
      <c r="AP33" s="365" t="s">
        <v>41</v>
      </c>
      <c r="AQ33" s="365" t="s">
        <v>44</v>
      </c>
      <c r="AR33" s="365" t="s">
        <v>41</v>
      </c>
      <c r="AS33" s="365" t="s">
        <v>41</v>
      </c>
      <c r="AT33" s="365" t="s">
        <v>42</v>
      </c>
      <c r="AU33" s="368"/>
      <c r="AV33" s="369" t="s">
        <v>44</v>
      </c>
      <c r="AW33" s="445">
        <v>3.0</v>
      </c>
      <c r="AX33" s="445">
        <v>3.0</v>
      </c>
      <c r="AY33" s="445">
        <v>2.0</v>
      </c>
      <c r="AZ33" s="445">
        <v>2.0</v>
      </c>
      <c r="BA33" s="371">
        <f t="shared" si="1"/>
        <v>62.5</v>
      </c>
      <c r="BB33" s="372" t="str">
        <f t="shared" si="2"/>
        <v>Adequado</v>
      </c>
      <c r="BC33" s="373"/>
      <c r="BD33" s="374">
        <f t="shared" si="3"/>
        <v>15</v>
      </c>
      <c r="BE33" s="374">
        <f t="shared" si="4"/>
        <v>315</v>
      </c>
      <c r="BF33" s="375" t="str">
        <f t="shared" si="5"/>
        <v>Adequado</v>
      </c>
      <c r="BG33" s="376">
        <f t="shared" si="6"/>
        <v>15</v>
      </c>
      <c r="BH33" s="374">
        <f t="shared" si="7"/>
        <v>357</v>
      </c>
      <c r="BI33" s="377" t="str">
        <f t="shared" si="8"/>
        <v>Adequado</v>
      </c>
      <c r="BJ33" s="25"/>
      <c r="BK33" s="25"/>
    </row>
    <row r="34" ht="15.75" customHeight="1">
      <c r="A34" s="82">
        <v>5.0</v>
      </c>
      <c r="B34" s="446" t="s">
        <v>298</v>
      </c>
      <c r="C34" s="444" t="s">
        <v>170</v>
      </c>
      <c r="D34" s="447" t="s">
        <v>41</v>
      </c>
      <c r="E34" s="365" t="s">
        <v>44</v>
      </c>
      <c r="F34" s="365" t="s">
        <v>42</v>
      </c>
      <c r="G34" s="365" t="s">
        <v>44</v>
      </c>
      <c r="H34" s="365" t="s">
        <v>41</v>
      </c>
      <c r="I34" s="365" t="s">
        <v>43</v>
      </c>
      <c r="J34" s="365" t="s">
        <v>41</v>
      </c>
      <c r="K34" s="365" t="s">
        <v>42</v>
      </c>
      <c r="L34" s="365" t="s">
        <v>43</v>
      </c>
      <c r="M34" s="365" t="s">
        <v>41</v>
      </c>
      <c r="N34" s="365" t="s">
        <v>44</v>
      </c>
      <c r="O34" s="365" t="s">
        <v>41</v>
      </c>
      <c r="P34" s="365" t="s">
        <v>42</v>
      </c>
      <c r="Q34" s="365" t="s">
        <v>41</v>
      </c>
      <c r="R34" s="365" t="s">
        <v>41</v>
      </c>
      <c r="S34" s="365" t="s">
        <v>43</v>
      </c>
      <c r="T34" s="365" t="s">
        <v>44</v>
      </c>
      <c r="U34" s="365" t="s">
        <v>41</v>
      </c>
      <c r="V34" s="365" t="s">
        <v>43</v>
      </c>
      <c r="W34" s="365" t="s">
        <v>43</v>
      </c>
      <c r="X34" s="366" t="s">
        <v>42</v>
      </c>
      <c r="Y34" s="367" t="s">
        <v>42</v>
      </c>
      <c r="Z34" s="365" t="s">
        <v>42</v>
      </c>
      <c r="AA34" s="365" t="s">
        <v>41</v>
      </c>
      <c r="AB34" s="365" t="s">
        <v>42</v>
      </c>
      <c r="AC34" s="365" t="s">
        <v>43</v>
      </c>
      <c r="AD34" s="365" t="s">
        <v>42</v>
      </c>
      <c r="AE34" s="365" t="s">
        <v>41</v>
      </c>
      <c r="AF34" s="365" t="s">
        <v>43</v>
      </c>
      <c r="AG34" s="365" t="s">
        <v>44</v>
      </c>
      <c r="AH34" s="365" t="s">
        <v>41</v>
      </c>
      <c r="AI34" s="365" t="s">
        <v>42</v>
      </c>
      <c r="AJ34" s="365" t="s">
        <v>42</v>
      </c>
      <c r="AK34" s="365" t="s">
        <v>43</v>
      </c>
      <c r="AL34" s="365" t="s">
        <v>41</v>
      </c>
      <c r="AM34" s="365" t="s">
        <v>42</v>
      </c>
      <c r="AN34" s="365" t="s">
        <v>44</v>
      </c>
      <c r="AO34" s="365" t="s">
        <v>42</v>
      </c>
      <c r="AP34" s="365" t="s">
        <v>42</v>
      </c>
      <c r="AQ34" s="365" t="s">
        <v>41</v>
      </c>
      <c r="AR34" s="365" t="s">
        <v>42</v>
      </c>
      <c r="AS34" s="365" t="s">
        <v>41</v>
      </c>
      <c r="AT34" s="365" t="s">
        <v>44</v>
      </c>
      <c r="AU34" s="368"/>
      <c r="AV34" s="369" t="s">
        <v>41</v>
      </c>
      <c r="AW34" s="445" t="s">
        <v>173</v>
      </c>
      <c r="AX34" s="445" t="s">
        <v>173</v>
      </c>
      <c r="AY34" s="445" t="s">
        <v>173</v>
      </c>
      <c r="AZ34" s="445" t="s">
        <v>173</v>
      </c>
      <c r="BA34" s="371">
        <f t="shared" si="1"/>
        <v>0</v>
      </c>
      <c r="BB34" s="372" t="str">
        <f t="shared" si="2"/>
        <v>Abaixo do Básico</v>
      </c>
      <c r="BC34" s="373"/>
      <c r="BD34" s="374">
        <f t="shared" si="3"/>
        <v>7</v>
      </c>
      <c r="BE34" s="374">
        <f t="shared" si="4"/>
        <v>180</v>
      </c>
      <c r="BF34" s="375" t="str">
        <f t="shared" si="5"/>
        <v>Básico</v>
      </c>
      <c r="BG34" s="376">
        <f t="shared" si="6"/>
        <v>6</v>
      </c>
      <c r="BH34" s="374">
        <f t="shared" si="7"/>
        <v>141</v>
      </c>
      <c r="BI34" s="377" t="str">
        <f t="shared" si="8"/>
        <v>Básico</v>
      </c>
      <c r="BJ34" s="25"/>
      <c r="BK34" s="25"/>
    </row>
    <row r="35" ht="15.75" customHeight="1">
      <c r="A35" s="82">
        <v>6.0</v>
      </c>
      <c r="B35" s="446" t="s">
        <v>299</v>
      </c>
      <c r="C35" s="444" t="s">
        <v>170</v>
      </c>
      <c r="D35" s="447" t="s">
        <v>42</v>
      </c>
      <c r="E35" s="365" t="s">
        <v>44</v>
      </c>
      <c r="F35" s="365" t="s">
        <v>41</v>
      </c>
      <c r="G35" s="365" t="s">
        <v>44</v>
      </c>
      <c r="H35" s="365" t="s">
        <v>42</v>
      </c>
      <c r="I35" s="365" t="s">
        <v>44</v>
      </c>
      <c r="J35" s="365" t="s">
        <v>42</v>
      </c>
      <c r="K35" s="365" t="s">
        <v>42</v>
      </c>
      <c r="L35" s="365" t="s">
        <v>44</v>
      </c>
      <c r="M35" s="365" t="s">
        <v>44</v>
      </c>
      <c r="N35" s="365" t="s">
        <v>41</v>
      </c>
      <c r="O35" s="365" t="s">
        <v>43</v>
      </c>
      <c r="P35" s="365" t="s">
        <v>44</v>
      </c>
      <c r="Q35" s="365" t="s">
        <v>42</v>
      </c>
      <c r="R35" s="365" t="s">
        <v>42</v>
      </c>
      <c r="S35" s="365" t="s">
        <v>44</v>
      </c>
      <c r="T35" s="365" t="s">
        <v>44</v>
      </c>
      <c r="U35" s="365" t="s">
        <v>42</v>
      </c>
      <c r="V35" s="365" t="s">
        <v>41</v>
      </c>
      <c r="W35" s="365" t="s">
        <v>43</v>
      </c>
      <c r="X35" s="366" t="s">
        <v>43</v>
      </c>
      <c r="Y35" s="367" t="s">
        <v>44</v>
      </c>
      <c r="Z35" s="365" t="s">
        <v>43</v>
      </c>
      <c r="AA35" s="365" t="s">
        <v>42</v>
      </c>
      <c r="AB35" s="365" t="s">
        <v>43</v>
      </c>
      <c r="AC35" s="365" t="s">
        <v>41</v>
      </c>
      <c r="AD35" s="365" t="s">
        <v>42</v>
      </c>
      <c r="AE35" s="365" t="s">
        <v>41</v>
      </c>
      <c r="AF35" s="365" t="s">
        <v>44</v>
      </c>
      <c r="AG35" s="365" t="s">
        <v>43</v>
      </c>
      <c r="AH35" s="365" t="s">
        <v>44</v>
      </c>
      <c r="AI35" s="365" t="s">
        <v>44</v>
      </c>
      <c r="AJ35" s="365" t="s">
        <v>42</v>
      </c>
      <c r="AK35" s="365" t="s">
        <v>43</v>
      </c>
      <c r="AL35" s="365" t="s">
        <v>42</v>
      </c>
      <c r="AM35" s="365" t="s">
        <v>44</v>
      </c>
      <c r="AN35" s="365" t="s">
        <v>44</v>
      </c>
      <c r="AO35" s="365" t="s">
        <v>42</v>
      </c>
      <c r="AP35" s="365" t="s">
        <v>41</v>
      </c>
      <c r="AQ35" s="365" t="s">
        <v>44</v>
      </c>
      <c r="AR35" s="365" t="s">
        <v>41</v>
      </c>
      <c r="AS35" s="365" t="s">
        <v>41</v>
      </c>
      <c r="AT35" s="365" t="s">
        <v>42</v>
      </c>
      <c r="AU35" s="368"/>
      <c r="AV35" s="369" t="s">
        <v>44</v>
      </c>
      <c r="AW35" s="445">
        <v>2.0</v>
      </c>
      <c r="AX35" s="445">
        <v>2.0</v>
      </c>
      <c r="AY35" s="445">
        <v>3.0</v>
      </c>
      <c r="AZ35" s="445">
        <v>3.0</v>
      </c>
      <c r="BA35" s="371">
        <f t="shared" si="1"/>
        <v>62.5</v>
      </c>
      <c r="BB35" s="372" t="str">
        <f t="shared" si="2"/>
        <v>Adequado</v>
      </c>
      <c r="BC35" s="373"/>
      <c r="BD35" s="374">
        <f t="shared" si="3"/>
        <v>12</v>
      </c>
      <c r="BE35" s="374">
        <f t="shared" si="4"/>
        <v>297</v>
      </c>
      <c r="BF35" s="375" t="str">
        <f t="shared" si="5"/>
        <v>Adequado</v>
      </c>
      <c r="BG35" s="376">
        <f t="shared" si="6"/>
        <v>16</v>
      </c>
      <c r="BH35" s="374">
        <f t="shared" si="7"/>
        <v>373</v>
      </c>
      <c r="BI35" s="377" t="str">
        <f t="shared" si="8"/>
        <v>Adequado</v>
      </c>
      <c r="BJ35" s="25"/>
      <c r="BK35" s="25"/>
    </row>
    <row r="36" ht="15.75" customHeight="1">
      <c r="A36" s="82">
        <v>7.0</v>
      </c>
      <c r="B36" s="446" t="s">
        <v>300</v>
      </c>
      <c r="C36" s="444" t="s">
        <v>170</v>
      </c>
      <c r="D36" s="447" t="s">
        <v>41</v>
      </c>
      <c r="E36" s="365" t="s">
        <v>41</v>
      </c>
      <c r="F36" s="365" t="s">
        <v>42</v>
      </c>
      <c r="G36" s="365" t="s">
        <v>43</v>
      </c>
      <c r="H36" s="365" t="s">
        <v>44</v>
      </c>
      <c r="I36" s="365" t="s">
        <v>44</v>
      </c>
      <c r="J36" s="365" t="s">
        <v>42</v>
      </c>
      <c r="K36" s="365" t="s">
        <v>43</v>
      </c>
      <c r="L36" s="365" t="s">
        <v>42</v>
      </c>
      <c r="M36" s="365" t="s">
        <v>43</v>
      </c>
      <c r="N36" s="365" t="s">
        <v>41</v>
      </c>
      <c r="O36" s="365" t="s">
        <v>41</v>
      </c>
      <c r="P36" s="365" t="s">
        <v>42</v>
      </c>
      <c r="Q36" s="365" t="s">
        <v>42</v>
      </c>
      <c r="R36" s="365" t="s">
        <v>44</v>
      </c>
      <c r="S36" s="365" t="s">
        <v>42</v>
      </c>
      <c r="T36" s="365" t="s">
        <v>42</v>
      </c>
      <c r="U36" s="365" t="s">
        <v>42</v>
      </c>
      <c r="V36" s="365" t="s">
        <v>43</v>
      </c>
      <c r="W36" s="365" t="s">
        <v>44</v>
      </c>
      <c r="X36" s="366" t="s">
        <v>42</v>
      </c>
      <c r="Y36" s="367" t="s">
        <v>41</v>
      </c>
      <c r="Z36" s="365" t="s">
        <v>43</v>
      </c>
      <c r="AA36" s="365" t="s">
        <v>43</v>
      </c>
      <c r="AB36" s="365" t="s">
        <v>42</v>
      </c>
      <c r="AC36" s="365" t="s">
        <v>42</v>
      </c>
      <c r="AD36" s="365" t="s">
        <v>43</v>
      </c>
      <c r="AE36" s="365" t="s">
        <v>42</v>
      </c>
      <c r="AF36" s="365" t="s">
        <v>41</v>
      </c>
      <c r="AG36" s="365" t="s">
        <v>41</v>
      </c>
      <c r="AH36" s="365" t="s">
        <v>41</v>
      </c>
      <c r="AI36" s="365" t="s">
        <v>41</v>
      </c>
      <c r="AJ36" s="365" t="s">
        <v>43</v>
      </c>
      <c r="AK36" s="365" t="s">
        <v>42</v>
      </c>
      <c r="AL36" s="365" t="s">
        <v>44</v>
      </c>
      <c r="AM36" s="365" t="s">
        <v>41</v>
      </c>
      <c r="AN36" s="365" t="s">
        <v>43</v>
      </c>
      <c r="AO36" s="365" t="s">
        <v>43</v>
      </c>
      <c r="AP36" s="365" t="s">
        <v>42</v>
      </c>
      <c r="AQ36" s="365" t="s">
        <v>44</v>
      </c>
      <c r="AR36" s="365" t="s">
        <v>41</v>
      </c>
      <c r="AS36" s="365" t="s">
        <v>42</v>
      </c>
      <c r="AT36" s="365" t="s">
        <v>41</v>
      </c>
      <c r="AU36" s="380"/>
      <c r="AV36" s="369" t="s">
        <v>44</v>
      </c>
      <c r="AW36" s="445">
        <v>3.0</v>
      </c>
      <c r="AX36" s="445">
        <v>2.0</v>
      </c>
      <c r="AY36" s="445">
        <v>2.0</v>
      </c>
      <c r="AZ36" s="445">
        <v>2.0</v>
      </c>
      <c r="BA36" s="371">
        <f t="shared" si="1"/>
        <v>56.25</v>
      </c>
      <c r="BB36" s="372" t="str">
        <f t="shared" si="2"/>
        <v>Adequado</v>
      </c>
      <c r="BC36" s="373"/>
      <c r="BD36" s="374">
        <f t="shared" si="3"/>
        <v>7</v>
      </c>
      <c r="BE36" s="374">
        <f t="shared" si="4"/>
        <v>126</v>
      </c>
      <c r="BF36" s="375" t="str">
        <f t="shared" si="5"/>
        <v>Básico</v>
      </c>
      <c r="BG36" s="376">
        <f t="shared" si="6"/>
        <v>6</v>
      </c>
      <c r="BH36" s="374">
        <f t="shared" si="7"/>
        <v>133</v>
      </c>
      <c r="BI36" s="377" t="str">
        <f t="shared" si="8"/>
        <v>Básico</v>
      </c>
      <c r="BJ36" s="25"/>
      <c r="BK36" s="25"/>
    </row>
    <row r="37" ht="15.75" customHeight="1">
      <c r="A37" s="82">
        <v>8.0</v>
      </c>
      <c r="B37" s="446" t="s">
        <v>301</v>
      </c>
      <c r="C37" s="444" t="s">
        <v>170</v>
      </c>
      <c r="D37" s="447" t="s">
        <v>42</v>
      </c>
      <c r="E37" s="365" t="s">
        <v>42</v>
      </c>
      <c r="F37" s="365" t="s">
        <v>41</v>
      </c>
      <c r="G37" s="365" t="s">
        <v>42</v>
      </c>
      <c r="H37" s="365" t="s">
        <v>42</v>
      </c>
      <c r="I37" s="365" t="s">
        <v>41</v>
      </c>
      <c r="J37" s="365" t="s">
        <v>42</v>
      </c>
      <c r="K37" s="365" t="s">
        <v>42</v>
      </c>
      <c r="L37" s="365" t="s">
        <v>44</v>
      </c>
      <c r="M37" s="365" t="s">
        <v>41</v>
      </c>
      <c r="N37" s="365" t="s">
        <v>41</v>
      </c>
      <c r="O37" s="365" t="s">
        <v>41</v>
      </c>
      <c r="P37" s="365" t="s">
        <v>44</v>
      </c>
      <c r="Q37" s="365" t="s">
        <v>41</v>
      </c>
      <c r="R37" s="365" t="s">
        <v>41</v>
      </c>
      <c r="S37" s="365" t="s">
        <v>41</v>
      </c>
      <c r="T37" s="365" t="s">
        <v>44</v>
      </c>
      <c r="U37" s="365" t="s">
        <v>44</v>
      </c>
      <c r="V37" s="365" t="s">
        <v>41</v>
      </c>
      <c r="W37" s="365" t="s">
        <v>41</v>
      </c>
      <c r="X37" s="366" t="s">
        <v>42</v>
      </c>
      <c r="Y37" s="367" t="s">
        <v>41</v>
      </c>
      <c r="Z37" s="365" t="s">
        <v>43</v>
      </c>
      <c r="AA37" s="365" t="s">
        <v>42</v>
      </c>
      <c r="AB37" s="365" t="s">
        <v>43</v>
      </c>
      <c r="AC37" s="365" t="s">
        <v>41</v>
      </c>
      <c r="AD37" s="365" t="s">
        <v>41</v>
      </c>
      <c r="AE37" s="365" t="s">
        <v>42</v>
      </c>
      <c r="AF37" s="365" t="s">
        <v>44</v>
      </c>
      <c r="AG37" s="365" t="s">
        <v>42</v>
      </c>
      <c r="AH37" s="365" t="s">
        <v>44</v>
      </c>
      <c r="AI37" s="365" t="s">
        <v>41</v>
      </c>
      <c r="AJ37" s="365" t="s">
        <v>42</v>
      </c>
      <c r="AK37" s="365" t="s">
        <v>43</v>
      </c>
      <c r="AL37" s="365" t="s">
        <v>42</v>
      </c>
      <c r="AM37" s="365" t="s">
        <v>41</v>
      </c>
      <c r="AN37" s="365" t="s">
        <v>44</v>
      </c>
      <c r="AO37" s="365" t="s">
        <v>42</v>
      </c>
      <c r="AP37" s="365" t="s">
        <v>41</v>
      </c>
      <c r="AQ37" s="365" t="s">
        <v>44</v>
      </c>
      <c r="AR37" s="365" t="s">
        <v>41</v>
      </c>
      <c r="AS37" s="365" t="s">
        <v>41</v>
      </c>
      <c r="AT37" s="365" t="s">
        <v>42</v>
      </c>
      <c r="AU37" s="368"/>
      <c r="AV37" s="369" t="s">
        <v>44</v>
      </c>
      <c r="AW37" s="445">
        <v>3.0</v>
      </c>
      <c r="AX37" s="445">
        <v>3.0</v>
      </c>
      <c r="AY37" s="445">
        <v>3.0</v>
      </c>
      <c r="AZ37" s="445">
        <v>3.0</v>
      </c>
      <c r="BA37" s="371">
        <f t="shared" si="1"/>
        <v>75</v>
      </c>
      <c r="BB37" s="372" t="str">
        <f t="shared" si="2"/>
        <v>Adequado</v>
      </c>
      <c r="BC37" s="373"/>
      <c r="BD37" s="374">
        <f t="shared" si="3"/>
        <v>13</v>
      </c>
      <c r="BE37" s="374">
        <f t="shared" si="4"/>
        <v>297</v>
      </c>
      <c r="BF37" s="375" t="str">
        <f t="shared" si="5"/>
        <v>Adequado</v>
      </c>
      <c r="BG37" s="376">
        <f t="shared" si="6"/>
        <v>18</v>
      </c>
      <c r="BH37" s="374">
        <f t="shared" si="7"/>
        <v>406</v>
      </c>
      <c r="BI37" s="377" t="str">
        <f t="shared" si="8"/>
        <v>Avançado</v>
      </c>
      <c r="BJ37" s="25"/>
      <c r="BK37" s="25"/>
    </row>
    <row r="38" ht="15.75" customHeight="1">
      <c r="A38" s="82">
        <v>9.0</v>
      </c>
      <c r="B38" s="446" t="s">
        <v>302</v>
      </c>
      <c r="C38" s="444" t="s">
        <v>170</v>
      </c>
      <c r="D38" s="447" t="s">
        <v>42</v>
      </c>
      <c r="E38" s="365" t="s">
        <v>43</v>
      </c>
      <c r="F38" s="365" t="s">
        <v>43</v>
      </c>
      <c r="G38" s="365" t="s">
        <v>41</v>
      </c>
      <c r="H38" s="365" t="s">
        <v>44</v>
      </c>
      <c r="I38" s="365" t="s">
        <v>42</v>
      </c>
      <c r="J38" s="365" t="s">
        <v>41</v>
      </c>
      <c r="K38" s="365" t="s">
        <v>41</v>
      </c>
      <c r="L38" s="365" t="s">
        <v>44</v>
      </c>
      <c r="M38" s="365" t="s">
        <v>41</v>
      </c>
      <c r="N38" s="365" t="s">
        <v>41</v>
      </c>
      <c r="O38" s="365" t="s">
        <v>41</v>
      </c>
      <c r="P38" s="365" t="s">
        <v>41</v>
      </c>
      <c r="Q38" s="365" t="s">
        <v>42</v>
      </c>
      <c r="R38" s="365" t="s">
        <v>44</v>
      </c>
      <c r="S38" s="365" t="s">
        <v>41</v>
      </c>
      <c r="T38" s="365" t="s">
        <v>43</v>
      </c>
      <c r="U38" s="365" t="s">
        <v>42</v>
      </c>
      <c r="V38" s="365" t="s">
        <v>41</v>
      </c>
      <c r="W38" s="365" t="s">
        <v>44</v>
      </c>
      <c r="X38" s="366" t="s">
        <v>42</v>
      </c>
      <c r="Y38" s="367" t="s">
        <v>41</v>
      </c>
      <c r="Z38" s="365" t="s">
        <v>42</v>
      </c>
      <c r="AA38" s="365" t="s">
        <v>42</v>
      </c>
      <c r="AB38" s="365" t="s">
        <v>44</v>
      </c>
      <c r="AC38" s="365" t="s">
        <v>43</v>
      </c>
      <c r="AD38" s="365" t="s">
        <v>43</v>
      </c>
      <c r="AE38" s="365" t="s">
        <v>42</v>
      </c>
      <c r="AF38" s="365" t="s">
        <v>42</v>
      </c>
      <c r="AG38" s="365" t="s">
        <v>41</v>
      </c>
      <c r="AH38" s="365" t="s">
        <v>44</v>
      </c>
      <c r="AI38" s="365" t="s">
        <v>41</v>
      </c>
      <c r="AJ38" s="365" t="s">
        <v>44</v>
      </c>
      <c r="AK38" s="365" t="s">
        <v>43</v>
      </c>
      <c r="AL38" s="365" t="s">
        <v>44</v>
      </c>
      <c r="AM38" s="365" t="s">
        <v>41</v>
      </c>
      <c r="AN38" s="365" t="s">
        <v>43</v>
      </c>
      <c r="AO38" s="365" t="s">
        <v>43</v>
      </c>
      <c r="AP38" s="365" t="s">
        <v>44</v>
      </c>
      <c r="AQ38" s="365" t="s">
        <v>41</v>
      </c>
      <c r="AR38" s="365" t="s">
        <v>43</v>
      </c>
      <c r="AS38" s="365" t="s">
        <v>43</v>
      </c>
      <c r="AT38" s="365" t="s">
        <v>44</v>
      </c>
      <c r="AU38" s="368"/>
      <c r="AV38" s="369" t="s">
        <v>41</v>
      </c>
      <c r="AW38" s="445" t="s">
        <v>173</v>
      </c>
      <c r="AX38" s="445" t="s">
        <v>173</v>
      </c>
      <c r="AY38" s="445" t="s">
        <v>173</v>
      </c>
      <c r="AZ38" s="445" t="s">
        <v>173</v>
      </c>
      <c r="BA38" s="371">
        <f t="shared" si="1"/>
        <v>0</v>
      </c>
      <c r="BB38" s="372" t="str">
        <f t="shared" si="2"/>
        <v>Abaixo do Básico</v>
      </c>
      <c r="BC38" s="373"/>
      <c r="BD38" s="374">
        <f t="shared" si="3"/>
        <v>6</v>
      </c>
      <c r="BE38" s="374">
        <f t="shared" si="4"/>
        <v>117</v>
      </c>
      <c r="BF38" s="375" t="str">
        <f t="shared" si="5"/>
        <v>Abaixo do Básico</v>
      </c>
      <c r="BG38" s="376">
        <f t="shared" si="6"/>
        <v>5</v>
      </c>
      <c r="BH38" s="374">
        <f t="shared" si="7"/>
        <v>99</v>
      </c>
      <c r="BI38" s="377" t="str">
        <f t="shared" si="8"/>
        <v>Abaixo do Básico</v>
      </c>
      <c r="BJ38" s="25"/>
      <c r="BK38" s="25"/>
    </row>
    <row r="39" ht="15.75" customHeight="1">
      <c r="A39" s="82">
        <v>10.0</v>
      </c>
      <c r="B39" s="446" t="s">
        <v>303</v>
      </c>
      <c r="C39" s="444" t="s">
        <v>170</v>
      </c>
      <c r="D39" s="447" t="s">
        <v>44</v>
      </c>
      <c r="E39" s="365" t="s">
        <v>41</v>
      </c>
      <c r="F39" s="365" t="s">
        <v>41</v>
      </c>
      <c r="G39" s="365" t="s">
        <v>42</v>
      </c>
      <c r="H39" s="365" t="s">
        <v>44</v>
      </c>
      <c r="I39" s="365" t="s">
        <v>44</v>
      </c>
      <c r="J39" s="365" t="s">
        <v>42</v>
      </c>
      <c r="K39" s="365" t="s">
        <v>44</v>
      </c>
      <c r="L39" s="365" t="s">
        <v>304</v>
      </c>
      <c r="M39" s="365" t="s">
        <v>42</v>
      </c>
      <c r="N39" s="365" t="s">
        <v>44</v>
      </c>
      <c r="O39" s="365" t="s">
        <v>44</v>
      </c>
      <c r="P39" s="365" t="s">
        <v>44</v>
      </c>
      <c r="Q39" s="365" t="s">
        <v>42</v>
      </c>
      <c r="R39" s="365" t="s">
        <v>44</v>
      </c>
      <c r="S39" s="365" t="s">
        <v>44</v>
      </c>
      <c r="T39" s="365" t="s">
        <v>42</v>
      </c>
      <c r="U39" s="365" t="s">
        <v>44</v>
      </c>
      <c r="V39" s="365" t="s">
        <v>44</v>
      </c>
      <c r="W39" s="365" t="s">
        <v>41</v>
      </c>
      <c r="X39" s="366" t="s">
        <v>41</v>
      </c>
      <c r="Y39" s="367" t="s">
        <v>43</v>
      </c>
      <c r="Z39" s="365" t="s">
        <v>44</v>
      </c>
      <c r="AA39" s="365" t="s">
        <v>42</v>
      </c>
      <c r="AB39" s="365" t="s">
        <v>44</v>
      </c>
      <c r="AC39" s="365" t="s">
        <v>42</v>
      </c>
      <c r="AD39" s="365" t="s">
        <v>44</v>
      </c>
      <c r="AE39" s="365" t="s">
        <v>44</v>
      </c>
      <c r="AF39" s="365" t="s">
        <v>44</v>
      </c>
      <c r="AG39" s="365" t="s">
        <v>41</v>
      </c>
      <c r="AH39" s="365" t="s">
        <v>44</v>
      </c>
      <c r="AI39" s="365" t="s">
        <v>44</v>
      </c>
      <c r="AJ39" s="365" t="s">
        <v>44</v>
      </c>
      <c r="AK39" s="365" t="s">
        <v>44</v>
      </c>
      <c r="AL39" s="365" t="s">
        <v>42</v>
      </c>
      <c r="AM39" s="365" t="s">
        <v>41</v>
      </c>
      <c r="AN39" s="365" t="s">
        <v>44</v>
      </c>
      <c r="AO39" s="365" t="s">
        <v>42</v>
      </c>
      <c r="AP39" s="365" t="s">
        <v>44</v>
      </c>
      <c r="AQ39" s="365" t="s">
        <v>44</v>
      </c>
      <c r="AR39" s="365" t="s">
        <v>44</v>
      </c>
      <c r="AS39" s="365" t="s">
        <v>44</v>
      </c>
      <c r="AT39" s="365" t="s">
        <v>42</v>
      </c>
      <c r="AU39" s="368"/>
      <c r="AV39" s="369" t="s">
        <v>44</v>
      </c>
      <c r="AW39" s="445">
        <v>2.0</v>
      </c>
      <c r="AX39" s="445">
        <v>2.0</v>
      </c>
      <c r="AY39" s="445">
        <v>2.0</v>
      </c>
      <c r="AZ39" s="445">
        <v>2.0</v>
      </c>
      <c r="BA39" s="371">
        <f t="shared" si="1"/>
        <v>50</v>
      </c>
      <c r="BB39" s="372" t="str">
        <f t="shared" si="2"/>
        <v>Básico</v>
      </c>
      <c r="BC39" s="373"/>
      <c r="BD39" s="374">
        <f t="shared" si="3"/>
        <v>9</v>
      </c>
      <c r="BE39" s="374">
        <f t="shared" si="4"/>
        <v>189</v>
      </c>
      <c r="BF39" s="375" t="str">
        <f t="shared" si="5"/>
        <v>Básico</v>
      </c>
      <c r="BG39" s="376">
        <f t="shared" si="6"/>
        <v>8</v>
      </c>
      <c r="BH39" s="374">
        <f t="shared" si="7"/>
        <v>182</v>
      </c>
      <c r="BI39" s="377" t="str">
        <f t="shared" si="8"/>
        <v>Básico</v>
      </c>
      <c r="BJ39" s="25"/>
      <c r="BK39" s="25"/>
    </row>
    <row r="40" ht="15.75" customHeight="1">
      <c r="A40" s="82">
        <v>11.0</v>
      </c>
      <c r="B40" s="446" t="s">
        <v>305</v>
      </c>
      <c r="C40" s="444" t="s">
        <v>170</v>
      </c>
      <c r="D40" s="447" t="s">
        <v>41</v>
      </c>
      <c r="E40" s="365" t="s">
        <v>44</v>
      </c>
      <c r="F40" s="365" t="s">
        <v>41</v>
      </c>
      <c r="G40" s="365" t="s">
        <v>43</v>
      </c>
      <c r="H40" s="365" t="s">
        <v>42</v>
      </c>
      <c r="I40" s="365" t="s">
        <v>43</v>
      </c>
      <c r="J40" s="365" t="s">
        <v>44</v>
      </c>
      <c r="K40" s="365" t="s">
        <v>42</v>
      </c>
      <c r="L40" s="365" t="s">
        <v>41</v>
      </c>
      <c r="M40" s="365" t="s">
        <v>43</v>
      </c>
      <c r="N40" s="365" t="s">
        <v>43</v>
      </c>
      <c r="O40" s="365" t="s">
        <v>42</v>
      </c>
      <c r="P40" s="365" t="s">
        <v>41</v>
      </c>
      <c r="Q40" s="365" t="s">
        <v>42</v>
      </c>
      <c r="R40" s="365" t="s">
        <v>44</v>
      </c>
      <c r="S40" s="365" t="s">
        <v>44</v>
      </c>
      <c r="T40" s="365" t="s">
        <v>43</v>
      </c>
      <c r="U40" s="365" t="s">
        <v>44</v>
      </c>
      <c r="V40" s="365" t="s">
        <v>41</v>
      </c>
      <c r="W40" s="365" t="s">
        <v>41</v>
      </c>
      <c r="X40" s="366" t="s">
        <v>44</v>
      </c>
      <c r="Y40" s="367" t="s">
        <v>41</v>
      </c>
      <c r="Z40" s="365" t="s">
        <v>43</v>
      </c>
      <c r="AA40" s="365" t="s">
        <v>42</v>
      </c>
      <c r="AB40" s="365" t="s">
        <v>42</v>
      </c>
      <c r="AC40" s="365" t="s">
        <v>43</v>
      </c>
      <c r="AD40" s="365" t="s">
        <v>42</v>
      </c>
      <c r="AE40" s="365" t="s">
        <v>42</v>
      </c>
      <c r="AF40" s="365" t="s">
        <v>44</v>
      </c>
      <c r="AG40" s="365" t="s">
        <v>41</v>
      </c>
      <c r="AH40" s="365" t="s">
        <v>42</v>
      </c>
      <c r="AI40" s="365" t="s">
        <v>44</v>
      </c>
      <c r="AJ40" s="365" t="s">
        <v>43</v>
      </c>
      <c r="AK40" s="365" t="s">
        <v>42</v>
      </c>
      <c r="AL40" s="365" t="s">
        <v>41</v>
      </c>
      <c r="AM40" s="365" t="s">
        <v>42</v>
      </c>
      <c r="AN40" s="365" t="s">
        <v>43</v>
      </c>
      <c r="AO40" s="365" t="s">
        <v>44</v>
      </c>
      <c r="AP40" s="365" t="s">
        <v>44</v>
      </c>
      <c r="AQ40" s="365" t="s">
        <v>42</v>
      </c>
      <c r="AR40" s="365" t="s">
        <v>41</v>
      </c>
      <c r="AS40" s="365" t="s">
        <v>43</v>
      </c>
      <c r="AT40" s="365" t="s">
        <v>43</v>
      </c>
      <c r="AU40" s="368"/>
      <c r="AV40" s="369" t="s">
        <v>44</v>
      </c>
      <c r="AW40" s="445">
        <v>1.0</v>
      </c>
      <c r="AX40" s="445">
        <v>1.0</v>
      </c>
      <c r="AY40" s="445">
        <v>1.0</v>
      </c>
      <c r="AZ40" s="445">
        <v>1.0</v>
      </c>
      <c r="BA40" s="371">
        <f t="shared" si="1"/>
        <v>25</v>
      </c>
      <c r="BB40" s="372" t="str">
        <f t="shared" si="2"/>
        <v>Abaixo do Básico</v>
      </c>
      <c r="BC40" s="373"/>
      <c r="BD40" s="374">
        <f t="shared" si="3"/>
        <v>9</v>
      </c>
      <c r="BE40" s="374">
        <f t="shared" si="4"/>
        <v>162</v>
      </c>
      <c r="BF40" s="375" t="str">
        <f t="shared" si="5"/>
        <v>Básico</v>
      </c>
      <c r="BG40" s="376">
        <f t="shared" si="6"/>
        <v>4</v>
      </c>
      <c r="BH40" s="374">
        <f t="shared" si="7"/>
        <v>83</v>
      </c>
      <c r="BI40" s="377" t="str">
        <f t="shared" si="8"/>
        <v>Abaixo do Básico</v>
      </c>
      <c r="BJ40" s="25"/>
      <c r="BK40" s="25"/>
    </row>
    <row r="41" ht="15.75" customHeight="1">
      <c r="A41" s="82">
        <v>12.0</v>
      </c>
      <c r="B41" s="446" t="s">
        <v>306</v>
      </c>
      <c r="C41" s="444" t="s">
        <v>170</v>
      </c>
      <c r="D41" s="447" t="s">
        <v>43</v>
      </c>
      <c r="E41" s="365" t="s">
        <v>41</v>
      </c>
      <c r="F41" s="365" t="s">
        <v>41</v>
      </c>
      <c r="G41" s="365" t="s">
        <v>42</v>
      </c>
      <c r="H41" s="365" t="s">
        <v>42</v>
      </c>
      <c r="I41" s="365" t="s">
        <v>43</v>
      </c>
      <c r="J41" s="365" t="s">
        <v>44</v>
      </c>
      <c r="K41" s="365" t="s">
        <v>41</v>
      </c>
      <c r="L41" s="365" t="s">
        <v>44</v>
      </c>
      <c r="M41" s="365" t="s">
        <v>44</v>
      </c>
      <c r="N41" s="365" t="s">
        <v>44</v>
      </c>
      <c r="O41" s="365" t="s">
        <v>43</v>
      </c>
      <c r="P41" s="365" t="s">
        <v>41</v>
      </c>
      <c r="Q41" s="365" t="s">
        <v>44</v>
      </c>
      <c r="R41" s="365" t="s">
        <v>42</v>
      </c>
      <c r="S41" s="365" t="s">
        <v>44</v>
      </c>
      <c r="T41" s="365" t="s">
        <v>42</v>
      </c>
      <c r="U41" s="365" t="s">
        <v>44</v>
      </c>
      <c r="V41" s="365" t="s">
        <v>42</v>
      </c>
      <c r="W41" s="365" t="s">
        <v>41</v>
      </c>
      <c r="X41" s="366" t="s">
        <v>41</v>
      </c>
      <c r="Y41" s="367" t="s">
        <v>42</v>
      </c>
      <c r="Z41" s="365" t="s">
        <v>42</v>
      </c>
      <c r="AA41" s="365" t="s">
        <v>44</v>
      </c>
      <c r="AB41" s="365" t="s">
        <v>42</v>
      </c>
      <c r="AC41" s="365" t="s">
        <v>42</v>
      </c>
      <c r="AD41" s="365" t="s">
        <v>43</v>
      </c>
      <c r="AE41" s="365" t="s">
        <v>44</v>
      </c>
      <c r="AF41" s="365" t="s">
        <v>44</v>
      </c>
      <c r="AG41" s="365" t="s">
        <v>41</v>
      </c>
      <c r="AH41" s="365" t="s">
        <v>44</v>
      </c>
      <c r="AI41" s="365" t="s">
        <v>41</v>
      </c>
      <c r="AJ41" s="365" t="s">
        <v>42</v>
      </c>
      <c r="AK41" s="365" t="s">
        <v>42</v>
      </c>
      <c r="AL41" s="365" t="s">
        <v>42</v>
      </c>
      <c r="AM41" s="365" t="s">
        <v>41</v>
      </c>
      <c r="AN41" s="365" t="s">
        <v>43</v>
      </c>
      <c r="AO41" s="365" t="s">
        <v>42</v>
      </c>
      <c r="AP41" s="365" t="s">
        <v>41</v>
      </c>
      <c r="AQ41" s="365" t="s">
        <v>42</v>
      </c>
      <c r="AR41" s="365" t="s">
        <v>42</v>
      </c>
      <c r="AS41" s="365" t="s">
        <v>43</v>
      </c>
      <c r="AT41" s="365" t="s">
        <v>42</v>
      </c>
      <c r="AU41" s="368"/>
      <c r="AV41" s="369" t="s">
        <v>41</v>
      </c>
      <c r="AW41" s="445" t="s">
        <v>173</v>
      </c>
      <c r="AX41" s="445" t="s">
        <v>173</v>
      </c>
      <c r="AY41" s="445" t="s">
        <v>173</v>
      </c>
      <c r="AZ41" s="445" t="s">
        <v>173</v>
      </c>
      <c r="BA41" s="371">
        <f t="shared" si="1"/>
        <v>0</v>
      </c>
      <c r="BB41" s="372" t="str">
        <f t="shared" si="2"/>
        <v>Abaixo do Básico</v>
      </c>
      <c r="BC41" s="373"/>
      <c r="BD41" s="374">
        <f t="shared" si="3"/>
        <v>8</v>
      </c>
      <c r="BE41" s="374">
        <f t="shared" si="4"/>
        <v>198</v>
      </c>
      <c r="BF41" s="375" t="str">
        <f t="shared" si="5"/>
        <v>Básico</v>
      </c>
      <c r="BG41" s="376">
        <f t="shared" si="6"/>
        <v>8</v>
      </c>
      <c r="BH41" s="374">
        <f t="shared" si="7"/>
        <v>182</v>
      </c>
      <c r="BI41" s="377" t="str">
        <f t="shared" si="8"/>
        <v>Básico</v>
      </c>
      <c r="BJ41" s="25"/>
      <c r="BK41" s="25"/>
    </row>
    <row r="42" ht="15.75" customHeight="1">
      <c r="A42" s="82">
        <v>13.0</v>
      </c>
      <c r="B42" s="446" t="s">
        <v>307</v>
      </c>
      <c r="C42" s="444" t="s">
        <v>170</v>
      </c>
      <c r="D42" s="447" t="s">
        <v>172</v>
      </c>
      <c r="E42" s="365" t="s">
        <v>172</v>
      </c>
      <c r="F42" s="365" t="s">
        <v>172</v>
      </c>
      <c r="G42" s="365" t="s">
        <v>172</v>
      </c>
      <c r="H42" s="365" t="s">
        <v>172</v>
      </c>
      <c r="I42" s="365" t="s">
        <v>172</v>
      </c>
      <c r="J42" s="365" t="s">
        <v>172</v>
      </c>
      <c r="K42" s="365" t="s">
        <v>172</v>
      </c>
      <c r="L42" s="365" t="s">
        <v>172</v>
      </c>
      <c r="M42" s="365" t="s">
        <v>172</v>
      </c>
      <c r="N42" s="365" t="s">
        <v>172</v>
      </c>
      <c r="O42" s="365" t="s">
        <v>172</v>
      </c>
      <c r="P42" s="365" t="s">
        <v>172</v>
      </c>
      <c r="Q42" s="365" t="s">
        <v>172</v>
      </c>
      <c r="R42" s="365" t="s">
        <v>172</v>
      </c>
      <c r="S42" s="365" t="s">
        <v>172</v>
      </c>
      <c r="T42" s="365" t="s">
        <v>172</v>
      </c>
      <c r="U42" s="365" t="s">
        <v>172</v>
      </c>
      <c r="V42" s="365" t="s">
        <v>172</v>
      </c>
      <c r="W42" s="365" t="s">
        <v>172</v>
      </c>
      <c r="X42" s="366" t="s">
        <v>172</v>
      </c>
      <c r="Y42" s="367" t="s">
        <v>172</v>
      </c>
      <c r="Z42" s="365" t="s">
        <v>172</v>
      </c>
      <c r="AA42" s="365" t="s">
        <v>172</v>
      </c>
      <c r="AB42" s="365" t="s">
        <v>172</v>
      </c>
      <c r="AC42" s="365" t="s">
        <v>172</v>
      </c>
      <c r="AD42" s="365" t="s">
        <v>172</v>
      </c>
      <c r="AE42" s="365" t="s">
        <v>172</v>
      </c>
      <c r="AF42" s="365" t="s">
        <v>172</v>
      </c>
      <c r="AG42" s="365" t="s">
        <v>172</v>
      </c>
      <c r="AH42" s="365" t="s">
        <v>172</v>
      </c>
      <c r="AI42" s="365" t="s">
        <v>172</v>
      </c>
      <c r="AJ42" s="365" t="s">
        <v>172</v>
      </c>
      <c r="AK42" s="365" t="s">
        <v>172</v>
      </c>
      <c r="AL42" s="365" t="s">
        <v>172</v>
      </c>
      <c r="AM42" s="365" t="s">
        <v>172</v>
      </c>
      <c r="AN42" s="365" t="s">
        <v>172</v>
      </c>
      <c r="AO42" s="365" t="s">
        <v>172</v>
      </c>
      <c r="AP42" s="365" t="s">
        <v>172</v>
      </c>
      <c r="AQ42" s="365" t="s">
        <v>172</v>
      </c>
      <c r="AR42" s="365" t="s">
        <v>172</v>
      </c>
      <c r="AS42" s="365" t="s">
        <v>172</v>
      </c>
      <c r="AT42" s="365" t="s">
        <v>172</v>
      </c>
      <c r="AU42" s="368"/>
      <c r="AV42" s="369" t="s">
        <v>172</v>
      </c>
      <c r="AW42" s="445" t="s">
        <v>173</v>
      </c>
      <c r="AX42" s="445" t="s">
        <v>173</v>
      </c>
      <c r="AY42" s="445" t="s">
        <v>173</v>
      </c>
      <c r="AZ42" s="445" t="s">
        <v>173</v>
      </c>
      <c r="BA42" s="371">
        <f t="shared" si="1"/>
        <v>0</v>
      </c>
      <c r="BB42" s="372" t="str">
        <f t="shared" si="2"/>
        <v>Abaixo do Básico</v>
      </c>
      <c r="BC42" s="373"/>
      <c r="BD42" s="374">
        <f t="shared" si="3"/>
        <v>0</v>
      </c>
      <c r="BE42" s="374">
        <f t="shared" si="4"/>
        <v>0</v>
      </c>
      <c r="BF42" s="375" t="str">
        <f t="shared" si="5"/>
        <v>Abaixo do Básico</v>
      </c>
      <c r="BG42" s="376">
        <f t="shared" si="6"/>
        <v>0</v>
      </c>
      <c r="BH42" s="374">
        <f t="shared" si="7"/>
        <v>0</v>
      </c>
      <c r="BI42" s="377" t="str">
        <f t="shared" si="8"/>
        <v>Abaixo do Básico</v>
      </c>
      <c r="BJ42" s="25"/>
      <c r="BK42" s="25"/>
    </row>
    <row r="43" ht="15.75" customHeight="1">
      <c r="A43" s="82">
        <v>14.0</v>
      </c>
      <c r="B43" s="446" t="s">
        <v>308</v>
      </c>
      <c r="C43" s="444" t="s">
        <v>170</v>
      </c>
      <c r="D43" s="447" t="s">
        <v>41</v>
      </c>
      <c r="E43" s="365" t="s">
        <v>42</v>
      </c>
      <c r="F43" s="365" t="s">
        <v>41</v>
      </c>
      <c r="G43" s="365" t="s">
        <v>43</v>
      </c>
      <c r="H43" s="365" t="s">
        <v>42</v>
      </c>
      <c r="I43" s="365" t="s">
        <v>41</v>
      </c>
      <c r="J43" s="365" t="s">
        <v>44</v>
      </c>
      <c r="K43" s="365" t="s">
        <v>41</v>
      </c>
      <c r="L43" s="365" t="s">
        <v>44</v>
      </c>
      <c r="M43" s="365" t="s">
        <v>44</v>
      </c>
      <c r="N43" s="365" t="s">
        <v>41</v>
      </c>
      <c r="O43" s="365" t="s">
        <v>41</v>
      </c>
      <c r="P43" s="365" t="s">
        <v>44</v>
      </c>
      <c r="Q43" s="365" t="s">
        <v>41</v>
      </c>
      <c r="R43" s="365" t="s">
        <v>41</v>
      </c>
      <c r="S43" s="365" t="s">
        <v>44</v>
      </c>
      <c r="T43" s="365" t="s">
        <v>44</v>
      </c>
      <c r="U43" s="365" t="s">
        <v>43</v>
      </c>
      <c r="V43" s="365" t="s">
        <v>41</v>
      </c>
      <c r="W43" s="365" t="s">
        <v>42</v>
      </c>
      <c r="X43" s="366" t="s">
        <v>43</v>
      </c>
      <c r="Y43" s="367" t="s">
        <v>44</v>
      </c>
      <c r="Z43" s="365" t="s">
        <v>43</v>
      </c>
      <c r="AA43" s="365" t="s">
        <v>42</v>
      </c>
      <c r="AB43" s="365" t="s">
        <v>42</v>
      </c>
      <c r="AC43" s="365" t="s">
        <v>44</v>
      </c>
      <c r="AD43" s="365" t="s">
        <v>41</v>
      </c>
      <c r="AE43" s="365" t="s">
        <v>41</v>
      </c>
      <c r="AF43" s="365" t="s">
        <v>44</v>
      </c>
      <c r="AG43" s="365" t="s">
        <v>42</v>
      </c>
      <c r="AH43" s="365" t="s">
        <v>41</v>
      </c>
      <c r="AI43" s="365" t="s">
        <v>44</v>
      </c>
      <c r="AJ43" s="365" t="s">
        <v>42</v>
      </c>
      <c r="AK43" s="365" t="s">
        <v>43</v>
      </c>
      <c r="AL43" s="365" t="s">
        <v>42</v>
      </c>
      <c r="AM43" s="365" t="s">
        <v>41</v>
      </c>
      <c r="AN43" s="365" t="s">
        <v>41</v>
      </c>
      <c r="AO43" s="365" t="s">
        <v>41</v>
      </c>
      <c r="AP43" s="365" t="s">
        <v>41</v>
      </c>
      <c r="AQ43" s="365" t="s">
        <v>44</v>
      </c>
      <c r="AR43" s="365" t="s">
        <v>41</v>
      </c>
      <c r="AS43" s="365" t="s">
        <v>41</v>
      </c>
      <c r="AT43" s="365" t="s">
        <v>41</v>
      </c>
      <c r="AU43" s="368"/>
      <c r="AV43" s="369" t="s">
        <v>44</v>
      </c>
      <c r="AW43" s="445">
        <v>3.0</v>
      </c>
      <c r="AX43" s="445">
        <v>3.0</v>
      </c>
      <c r="AY43" s="445">
        <v>3.0</v>
      </c>
      <c r="AZ43" s="445">
        <v>3.0</v>
      </c>
      <c r="BA43" s="371">
        <f t="shared" si="1"/>
        <v>75</v>
      </c>
      <c r="BB43" s="372" t="str">
        <f t="shared" si="2"/>
        <v>Adequado</v>
      </c>
      <c r="BC43" s="373"/>
      <c r="BD43" s="374">
        <f t="shared" si="3"/>
        <v>10</v>
      </c>
      <c r="BE43" s="374">
        <f t="shared" si="4"/>
        <v>270</v>
      </c>
      <c r="BF43" s="375" t="str">
        <f t="shared" si="5"/>
        <v>Adequado</v>
      </c>
      <c r="BG43" s="376">
        <f t="shared" si="6"/>
        <v>11</v>
      </c>
      <c r="BH43" s="374">
        <f t="shared" si="7"/>
        <v>275</v>
      </c>
      <c r="BI43" s="377" t="str">
        <f t="shared" si="8"/>
        <v>Adequado</v>
      </c>
      <c r="BJ43" s="25"/>
      <c r="BK43" s="25"/>
    </row>
    <row r="44" ht="15.75" customHeight="1">
      <c r="A44" s="82">
        <v>15.0</v>
      </c>
      <c r="B44" s="446" t="s">
        <v>309</v>
      </c>
      <c r="C44" s="444" t="s">
        <v>170</v>
      </c>
      <c r="D44" s="447" t="s">
        <v>43</v>
      </c>
      <c r="E44" s="365" t="s">
        <v>41</v>
      </c>
      <c r="F44" s="365" t="s">
        <v>43</v>
      </c>
      <c r="G44" s="365" t="s">
        <v>42</v>
      </c>
      <c r="H44" s="365" t="s">
        <v>44</v>
      </c>
      <c r="I44" s="365" t="s">
        <v>42</v>
      </c>
      <c r="J44" s="365" t="s">
        <v>44</v>
      </c>
      <c r="K44" s="365" t="s">
        <v>41</v>
      </c>
      <c r="L44" s="365" t="s">
        <v>41</v>
      </c>
      <c r="M44" s="365" t="s">
        <v>44</v>
      </c>
      <c r="N44" s="365" t="s">
        <v>43</v>
      </c>
      <c r="O44" s="365" t="s">
        <v>43</v>
      </c>
      <c r="P44" s="365" t="s">
        <v>41</v>
      </c>
      <c r="Q44" s="365" t="s">
        <v>42</v>
      </c>
      <c r="R44" s="365" t="s">
        <v>43</v>
      </c>
      <c r="S44" s="365" t="s">
        <v>43</v>
      </c>
      <c r="T44" s="365" t="s">
        <v>44</v>
      </c>
      <c r="U44" s="365" t="s">
        <v>44</v>
      </c>
      <c r="V44" s="365" t="s">
        <v>43</v>
      </c>
      <c r="W44" s="365" t="s">
        <v>41</v>
      </c>
      <c r="X44" s="366" t="s">
        <v>44</v>
      </c>
      <c r="Y44" s="367" t="s">
        <v>41</v>
      </c>
      <c r="Z44" s="365" t="s">
        <v>41</v>
      </c>
      <c r="AA44" s="365" t="s">
        <v>43</v>
      </c>
      <c r="AB44" s="365" t="s">
        <v>42</v>
      </c>
      <c r="AC44" s="365" t="s">
        <v>41</v>
      </c>
      <c r="AD44" s="365" t="s">
        <v>43</v>
      </c>
      <c r="AE44" s="365" t="s">
        <v>41</v>
      </c>
      <c r="AF44" s="365" t="s">
        <v>43</v>
      </c>
      <c r="AG44" s="365" t="s">
        <v>43</v>
      </c>
      <c r="AH44" s="365" t="s">
        <v>43</v>
      </c>
      <c r="AI44" s="365" t="s">
        <v>41</v>
      </c>
      <c r="AJ44" s="365" t="s">
        <v>43</v>
      </c>
      <c r="AK44" s="365" t="s">
        <v>43</v>
      </c>
      <c r="AL44" s="365" t="s">
        <v>42</v>
      </c>
      <c r="AM44" s="365" t="s">
        <v>44</v>
      </c>
      <c r="AN44" s="365" t="s">
        <v>42</v>
      </c>
      <c r="AO44" s="365" t="s">
        <v>42</v>
      </c>
      <c r="AP44" s="365" t="s">
        <v>41</v>
      </c>
      <c r="AQ44" s="365" t="s">
        <v>42</v>
      </c>
      <c r="AR44" s="365" t="s">
        <v>41</v>
      </c>
      <c r="AS44" s="365" t="s">
        <v>43</v>
      </c>
      <c r="AT44" s="365" t="s">
        <v>42</v>
      </c>
      <c r="AU44" s="368"/>
      <c r="AV44" s="369" t="s">
        <v>42</v>
      </c>
      <c r="AW44" s="445" t="s">
        <v>173</v>
      </c>
      <c r="AX44" s="445" t="s">
        <v>173</v>
      </c>
      <c r="AY44" s="445" t="s">
        <v>173</v>
      </c>
      <c r="AZ44" s="445" t="s">
        <v>173</v>
      </c>
      <c r="BA44" s="371">
        <f t="shared" si="1"/>
        <v>0</v>
      </c>
      <c r="BB44" s="372" t="str">
        <f t="shared" si="2"/>
        <v>Abaixo do Básico</v>
      </c>
      <c r="BC44" s="373"/>
      <c r="BD44" s="374">
        <f t="shared" si="3"/>
        <v>6</v>
      </c>
      <c r="BE44" s="374">
        <f t="shared" si="4"/>
        <v>117</v>
      </c>
      <c r="BF44" s="375" t="str">
        <f t="shared" si="5"/>
        <v>Abaixo do Básico</v>
      </c>
      <c r="BG44" s="376">
        <f t="shared" si="6"/>
        <v>8</v>
      </c>
      <c r="BH44" s="374">
        <f t="shared" si="7"/>
        <v>182</v>
      </c>
      <c r="BI44" s="377" t="str">
        <f t="shared" si="8"/>
        <v>Básico</v>
      </c>
      <c r="BJ44" s="25"/>
      <c r="BK44" s="25"/>
    </row>
    <row r="45" ht="15.75" customHeight="1">
      <c r="A45" s="82">
        <v>16.0</v>
      </c>
      <c r="B45" s="446" t="s">
        <v>310</v>
      </c>
      <c r="C45" s="444" t="s">
        <v>199</v>
      </c>
      <c r="D45" s="447" t="s">
        <v>44</v>
      </c>
      <c r="E45" s="365" t="s">
        <v>42</v>
      </c>
      <c r="F45" s="365" t="s">
        <v>41</v>
      </c>
      <c r="G45" s="365" t="s">
        <v>42</v>
      </c>
      <c r="H45" s="365" t="s">
        <v>44</v>
      </c>
      <c r="I45" s="365" t="s">
        <v>41</v>
      </c>
      <c r="J45" s="365" t="s">
        <v>43</v>
      </c>
      <c r="K45" s="365" t="s">
        <v>42</v>
      </c>
      <c r="L45" s="365" t="s">
        <v>44</v>
      </c>
      <c r="M45" s="365" t="s">
        <v>43</v>
      </c>
      <c r="N45" s="365" t="s">
        <v>44</v>
      </c>
      <c r="O45" s="365" t="s">
        <v>42</v>
      </c>
      <c r="P45" s="365" t="s">
        <v>41</v>
      </c>
      <c r="Q45" s="365" t="s">
        <v>42</v>
      </c>
      <c r="R45" s="365" t="s">
        <v>42</v>
      </c>
      <c r="S45" s="365" t="s">
        <v>41</v>
      </c>
      <c r="T45" s="365" t="s">
        <v>41</v>
      </c>
      <c r="U45" s="365" t="s">
        <v>42</v>
      </c>
      <c r="V45" s="365" t="s">
        <v>43</v>
      </c>
      <c r="W45" s="365" t="s">
        <v>42</v>
      </c>
      <c r="X45" s="366" t="s">
        <v>41</v>
      </c>
      <c r="Y45" s="367" t="s">
        <v>41</v>
      </c>
      <c r="Z45" s="365" t="s">
        <v>42</v>
      </c>
      <c r="AA45" s="365" t="s">
        <v>44</v>
      </c>
      <c r="AB45" s="365" t="s">
        <v>42</v>
      </c>
      <c r="AC45" s="365" t="s">
        <v>41</v>
      </c>
      <c r="AD45" s="365" t="s">
        <v>43</v>
      </c>
      <c r="AE45" s="365" t="s">
        <v>41</v>
      </c>
      <c r="AF45" s="365" t="s">
        <v>44</v>
      </c>
      <c r="AG45" s="365" t="s">
        <v>43</v>
      </c>
      <c r="AH45" s="365" t="s">
        <v>43</v>
      </c>
      <c r="AI45" s="365" t="s">
        <v>41</v>
      </c>
      <c r="AJ45" s="365" t="s">
        <v>42</v>
      </c>
      <c r="AK45" s="365" t="s">
        <v>43</v>
      </c>
      <c r="AL45" s="365" t="s">
        <v>42</v>
      </c>
      <c r="AM45" s="365" t="s">
        <v>42</v>
      </c>
      <c r="AN45" s="365" t="s">
        <v>44</v>
      </c>
      <c r="AO45" s="365" t="s">
        <v>42</v>
      </c>
      <c r="AP45" s="365" t="s">
        <v>41</v>
      </c>
      <c r="AQ45" s="365" t="s">
        <v>44</v>
      </c>
      <c r="AR45" s="365" t="s">
        <v>41</v>
      </c>
      <c r="AS45" s="365" t="s">
        <v>41</v>
      </c>
      <c r="AT45" s="365" t="s">
        <v>42</v>
      </c>
      <c r="AU45" s="368"/>
      <c r="AV45" s="369" t="s">
        <v>42</v>
      </c>
      <c r="AW45" s="445" t="s">
        <v>173</v>
      </c>
      <c r="AX45" s="445" t="s">
        <v>173</v>
      </c>
      <c r="AY45" s="445" t="s">
        <v>173</v>
      </c>
      <c r="AZ45" s="445" t="s">
        <v>173</v>
      </c>
      <c r="BA45" s="371">
        <f t="shared" si="1"/>
        <v>0</v>
      </c>
      <c r="BB45" s="372" t="str">
        <f t="shared" si="2"/>
        <v>Abaixo do Básico</v>
      </c>
      <c r="BC45" s="373"/>
      <c r="BD45" s="374">
        <f t="shared" si="3"/>
        <v>5</v>
      </c>
      <c r="BE45" s="374">
        <f t="shared" si="4"/>
        <v>99</v>
      </c>
      <c r="BF45" s="375" t="str">
        <f t="shared" si="5"/>
        <v>Abaixo do Básico</v>
      </c>
      <c r="BG45" s="376">
        <f t="shared" si="6"/>
        <v>13</v>
      </c>
      <c r="BH45" s="374">
        <f t="shared" si="7"/>
        <v>307</v>
      </c>
      <c r="BI45" s="377" t="str">
        <f t="shared" si="8"/>
        <v>Adequado</v>
      </c>
      <c r="BJ45" s="25"/>
      <c r="BK45" s="25"/>
    </row>
    <row r="46" ht="15.75" customHeight="1">
      <c r="A46" s="82">
        <v>17.0</v>
      </c>
      <c r="B46" s="446" t="s">
        <v>311</v>
      </c>
      <c r="C46" s="444" t="s">
        <v>170</v>
      </c>
      <c r="D46" s="447" t="s">
        <v>41</v>
      </c>
      <c r="E46" s="365" t="s">
        <v>42</v>
      </c>
      <c r="F46" s="365" t="s">
        <v>44</v>
      </c>
      <c r="G46" s="365" t="s">
        <v>42</v>
      </c>
      <c r="H46" s="365" t="s">
        <v>41</v>
      </c>
      <c r="I46" s="365" t="s">
        <v>42</v>
      </c>
      <c r="J46" s="365" t="s">
        <v>42</v>
      </c>
      <c r="K46" s="365" t="s">
        <v>42</v>
      </c>
      <c r="L46" s="365" t="s">
        <v>41</v>
      </c>
      <c r="M46" s="365" t="s">
        <v>41</v>
      </c>
      <c r="N46" s="365" t="s">
        <v>44</v>
      </c>
      <c r="O46" s="365" t="s">
        <v>44</v>
      </c>
      <c r="P46" s="365" t="s">
        <v>44</v>
      </c>
      <c r="Q46" s="365" t="s">
        <v>44</v>
      </c>
      <c r="R46" s="365" t="s">
        <v>44</v>
      </c>
      <c r="S46" s="365" t="s">
        <v>44</v>
      </c>
      <c r="T46" s="365" t="s">
        <v>42</v>
      </c>
      <c r="U46" s="365" t="s">
        <v>42</v>
      </c>
      <c r="V46" s="365" t="s">
        <v>42</v>
      </c>
      <c r="W46" s="365" t="s">
        <v>44</v>
      </c>
      <c r="X46" s="366" t="s">
        <v>44</v>
      </c>
      <c r="Y46" s="367" t="s">
        <v>44</v>
      </c>
      <c r="Z46" s="365" t="s">
        <v>43</v>
      </c>
      <c r="AA46" s="365" t="s">
        <v>44</v>
      </c>
      <c r="AB46" s="365" t="s">
        <v>42</v>
      </c>
      <c r="AC46" s="365" t="s">
        <v>44</v>
      </c>
      <c r="AD46" s="365" t="s">
        <v>42</v>
      </c>
      <c r="AE46" s="365" t="s">
        <v>42</v>
      </c>
      <c r="AF46" s="365" t="s">
        <v>44</v>
      </c>
      <c r="AG46" s="365" t="s">
        <v>41</v>
      </c>
      <c r="AH46" s="365" t="s">
        <v>44</v>
      </c>
      <c r="AI46" s="365" t="s">
        <v>44</v>
      </c>
      <c r="AJ46" s="365" t="s">
        <v>42</v>
      </c>
      <c r="AK46" s="365" t="s">
        <v>42</v>
      </c>
      <c r="AL46" s="365" t="s">
        <v>41</v>
      </c>
      <c r="AM46" s="365" t="s">
        <v>41</v>
      </c>
      <c r="AN46" s="365" t="s">
        <v>43</v>
      </c>
      <c r="AO46" s="365" t="s">
        <v>42</v>
      </c>
      <c r="AP46" s="365" t="s">
        <v>42</v>
      </c>
      <c r="AQ46" s="365" t="s">
        <v>43</v>
      </c>
      <c r="AR46" s="365" t="s">
        <v>44</v>
      </c>
      <c r="AS46" s="365" t="s">
        <v>44</v>
      </c>
      <c r="AT46" s="365" t="s">
        <v>44</v>
      </c>
      <c r="AU46" s="368"/>
      <c r="AV46" s="369" t="s">
        <v>41</v>
      </c>
      <c r="AW46" s="445" t="s">
        <v>173</v>
      </c>
      <c r="AX46" s="445" t="s">
        <v>173</v>
      </c>
      <c r="AY46" s="445" t="s">
        <v>173</v>
      </c>
      <c r="AZ46" s="445" t="s">
        <v>173</v>
      </c>
      <c r="BA46" s="371">
        <f t="shared" si="1"/>
        <v>0</v>
      </c>
      <c r="BB46" s="372" t="str">
        <f t="shared" si="2"/>
        <v>Abaixo do Básico</v>
      </c>
      <c r="BC46" s="373"/>
      <c r="BD46" s="374">
        <f t="shared" si="3"/>
        <v>6</v>
      </c>
      <c r="BE46" s="374">
        <f t="shared" si="4"/>
        <v>162</v>
      </c>
      <c r="BF46" s="375" t="str">
        <f t="shared" si="5"/>
        <v>Básico</v>
      </c>
      <c r="BG46" s="376">
        <f t="shared" si="6"/>
        <v>8</v>
      </c>
      <c r="BH46" s="374">
        <f t="shared" si="7"/>
        <v>165</v>
      </c>
      <c r="BI46" s="377" t="str">
        <f t="shared" si="8"/>
        <v>Básico</v>
      </c>
      <c r="BJ46" s="25"/>
      <c r="BK46" s="25"/>
    </row>
    <row r="47" ht="15.75" customHeight="1">
      <c r="A47" s="82">
        <v>18.0</v>
      </c>
      <c r="B47" s="446" t="s">
        <v>312</v>
      </c>
      <c r="C47" s="444" t="s">
        <v>170</v>
      </c>
      <c r="D47" s="447" t="s">
        <v>42</v>
      </c>
      <c r="E47" s="365" t="s">
        <v>42</v>
      </c>
      <c r="F47" s="365" t="s">
        <v>42</v>
      </c>
      <c r="G47" s="365" t="s">
        <v>41</v>
      </c>
      <c r="H47" s="365" t="s">
        <v>42</v>
      </c>
      <c r="I47" s="365" t="s">
        <v>44</v>
      </c>
      <c r="J47" s="365" t="s">
        <v>44</v>
      </c>
      <c r="K47" s="365" t="s">
        <v>42</v>
      </c>
      <c r="L47" s="365" t="s">
        <v>42</v>
      </c>
      <c r="M47" s="365" t="s">
        <v>41</v>
      </c>
      <c r="N47" s="365" t="s">
        <v>41</v>
      </c>
      <c r="O47" s="365" t="s">
        <v>43</v>
      </c>
      <c r="P47" s="365" t="s">
        <v>44</v>
      </c>
      <c r="Q47" s="365" t="s">
        <v>41</v>
      </c>
      <c r="R47" s="365" t="s">
        <v>41</v>
      </c>
      <c r="S47" s="365" t="s">
        <v>44</v>
      </c>
      <c r="T47" s="365" t="s">
        <v>43</v>
      </c>
      <c r="U47" s="365" t="s">
        <v>44</v>
      </c>
      <c r="V47" s="365" t="s">
        <v>41</v>
      </c>
      <c r="W47" s="365" t="s">
        <v>41</v>
      </c>
      <c r="X47" s="366" t="s">
        <v>43</v>
      </c>
      <c r="Y47" s="367" t="s">
        <v>44</v>
      </c>
      <c r="Z47" s="365" t="s">
        <v>43</v>
      </c>
      <c r="AA47" s="365" t="s">
        <v>42</v>
      </c>
      <c r="AB47" s="365" t="s">
        <v>42</v>
      </c>
      <c r="AC47" s="365" t="s">
        <v>173</v>
      </c>
      <c r="AD47" s="365" t="s">
        <v>44</v>
      </c>
      <c r="AE47" s="365" t="s">
        <v>41</v>
      </c>
      <c r="AF47" s="365" t="s">
        <v>44</v>
      </c>
      <c r="AG47" s="365" t="s">
        <v>43</v>
      </c>
      <c r="AH47" s="365" t="s">
        <v>42</v>
      </c>
      <c r="AI47" s="365" t="s">
        <v>41</v>
      </c>
      <c r="AJ47" s="365" t="s">
        <v>42</v>
      </c>
      <c r="AK47" s="365" t="s">
        <v>43</v>
      </c>
      <c r="AL47" s="365" t="s">
        <v>42</v>
      </c>
      <c r="AM47" s="365" t="s">
        <v>41</v>
      </c>
      <c r="AN47" s="365" t="s">
        <v>44</v>
      </c>
      <c r="AO47" s="365" t="s">
        <v>42</v>
      </c>
      <c r="AP47" s="365" t="s">
        <v>43</v>
      </c>
      <c r="AQ47" s="365" t="s">
        <v>42</v>
      </c>
      <c r="AR47" s="365" t="s">
        <v>173</v>
      </c>
      <c r="AS47" s="365" t="s">
        <v>173</v>
      </c>
      <c r="AT47" s="365" t="s">
        <v>173</v>
      </c>
      <c r="AU47" s="368"/>
      <c r="AV47" s="369" t="s">
        <v>44</v>
      </c>
      <c r="AW47" s="445">
        <v>2.0</v>
      </c>
      <c r="AX47" s="445">
        <v>2.0</v>
      </c>
      <c r="AY47" s="445">
        <v>2.0</v>
      </c>
      <c r="AZ47" s="445">
        <v>2.0</v>
      </c>
      <c r="BA47" s="371">
        <f t="shared" si="1"/>
        <v>50</v>
      </c>
      <c r="BB47" s="372" t="str">
        <f t="shared" si="2"/>
        <v>Básico</v>
      </c>
      <c r="BC47" s="373"/>
      <c r="BD47" s="374">
        <f t="shared" si="3"/>
        <v>7</v>
      </c>
      <c r="BE47" s="374">
        <f t="shared" si="4"/>
        <v>171</v>
      </c>
      <c r="BF47" s="375" t="str">
        <f t="shared" si="5"/>
        <v>Básico</v>
      </c>
      <c r="BG47" s="376">
        <f t="shared" si="6"/>
        <v>12</v>
      </c>
      <c r="BH47" s="374">
        <f t="shared" si="7"/>
        <v>291</v>
      </c>
      <c r="BI47" s="377" t="str">
        <f t="shared" si="8"/>
        <v>Adequado</v>
      </c>
      <c r="BJ47" s="25"/>
      <c r="BK47" s="25"/>
    </row>
    <row r="48" ht="15.75" customHeight="1">
      <c r="A48" s="82">
        <v>19.0</v>
      </c>
      <c r="B48" s="446" t="s">
        <v>313</v>
      </c>
      <c r="C48" s="444" t="s">
        <v>170</v>
      </c>
      <c r="D48" s="447" t="s">
        <v>41</v>
      </c>
      <c r="E48" s="365" t="s">
        <v>44</v>
      </c>
      <c r="F48" s="365" t="s">
        <v>44</v>
      </c>
      <c r="G48" s="365" t="s">
        <v>42</v>
      </c>
      <c r="H48" s="365" t="s">
        <v>43</v>
      </c>
      <c r="I48" s="365" t="s">
        <v>43</v>
      </c>
      <c r="J48" s="365" t="s">
        <v>43</v>
      </c>
      <c r="K48" s="365" t="s">
        <v>42</v>
      </c>
      <c r="L48" s="365" t="s">
        <v>44</v>
      </c>
      <c r="M48" s="365" t="s">
        <v>44</v>
      </c>
      <c r="N48" s="365" t="s">
        <v>41</v>
      </c>
      <c r="O48" s="365" t="s">
        <v>43</v>
      </c>
      <c r="P48" s="365" t="s">
        <v>44</v>
      </c>
      <c r="Q48" s="365" t="s">
        <v>42</v>
      </c>
      <c r="R48" s="365" t="s">
        <v>42</v>
      </c>
      <c r="S48" s="365" t="s">
        <v>44</v>
      </c>
      <c r="T48" s="365" t="s">
        <v>42</v>
      </c>
      <c r="U48" s="365" t="s">
        <v>44</v>
      </c>
      <c r="V48" s="365" t="s">
        <v>42</v>
      </c>
      <c r="W48" s="365" t="s">
        <v>41</v>
      </c>
      <c r="X48" s="366" t="s">
        <v>44</v>
      </c>
      <c r="Y48" s="367" t="s">
        <v>44</v>
      </c>
      <c r="Z48" s="365" t="s">
        <v>44</v>
      </c>
      <c r="AA48" s="365" t="s">
        <v>42</v>
      </c>
      <c r="AB48" s="365" t="s">
        <v>41</v>
      </c>
      <c r="AC48" s="365" t="s">
        <v>41</v>
      </c>
      <c r="AD48" s="365" t="s">
        <v>41</v>
      </c>
      <c r="AE48" s="365" t="s">
        <v>41</v>
      </c>
      <c r="AF48" s="365" t="s">
        <v>42</v>
      </c>
      <c r="AG48" s="365" t="s">
        <v>42</v>
      </c>
      <c r="AH48" s="365" t="s">
        <v>44</v>
      </c>
      <c r="AI48" s="365" t="s">
        <v>44</v>
      </c>
      <c r="AJ48" s="365" t="s">
        <v>42</v>
      </c>
      <c r="AK48" s="365" t="s">
        <v>43</v>
      </c>
      <c r="AL48" s="365" t="s">
        <v>43</v>
      </c>
      <c r="AM48" s="365" t="s">
        <v>42</v>
      </c>
      <c r="AN48" s="365" t="s">
        <v>43</v>
      </c>
      <c r="AO48" s="365" t="s">
        <v>42</v>
      </c>
      <c r="AP48" s="365" t="s">
        <v>41</v>
      </c>
      <c r="AQ48" s="365" t="s">
        <v>41</v>
      </c>
      <c r="AR48" s="365" t="s">
        <v>42</v>
      </c>
      <c r="AS48" s="365" t="s">
        <v>42</v>
      </c>
      <c r="AT48" s="365" t="s">
        <v>42</v>
      </c>
      <c r="AU48" s="368"/>
      <c r="AV48" s="369" t="s">
        <v>44</v>
      </c>
      <c r="AW48" s="445">
        <v>2.0</v>
      </c>
      <c r="AX48" s="445">
        <v>2.0</v>
      </c>
      <c r="AY48" s="445">
        <v>2.0</v>
      </c>
      <c r="AZ48" s="445">
        <v>2.0</v>
      </c>
      <c r="BA48" s="371">
        <f t="shared" si="1"/>
        <v>50</v>
      </c>
      <c r="BB48" s="372" t="str">
        <f t="shared" si="2"/>
        <v>Básico</v>
      </c>
      <c r="BC48" s="373"/>
      <c r="BD48" s="374">
        <f t="shared" si="3"/>
        <v>10</v>
      </c>
      <c r="BE48" s="374">
        <f t="shared" si="4"/>
        <v>270</v>
      </c>
      <c r="BF48" s="375" t="str">
        <f t="shared" si="5"/>
        <v>Adequado</v>
      </c>
      <c r="BG48" s="376">
        <f t="shared" si="6"/>
        <v>8</v>
      </c>
      <c r="BH48" s="374">
        <f t="shared" si="7"/>
        <v>173</v>
      </c>
      <c r="BI48" s="377" t="str">
        <f t="shared" si="8"/>
        <v>Básico</v>
      </c>
      <c r="BJ48" s="25"/>
      <c r="BK48" s="25"/>
    </row>
    <row r="49" ht="15.75" customHeight="1">
      <c r="A49" s="82">
        <v>20.0</v>
      </c>
      <c r="B49" s="446" t="s">
        <v>314</v>
      </c>
      <c r="C49" s="444" t="s">
        <v>170</v>
      </c>
      <c r="D49" s="447" t="s">
        <v>41</v>
      </c>
      <c r="E49" s="365" t="s">
        <v>42</v>
      </c>
      <c r="F49" s="365" t="s">
        <v>41</v>
      </c>
      <c r="G49" s="365" t="s">
        <v>42</v>
      </c>
      <c r="H49" s="365" t="s">
        <v>42</v>
      </c>
      <c r="I49" s="365" t="s">
        <v>44</v>
      </c>
      <c r="J49" s="365" t="s">
        <v>43</v>
      </c>
      <c r="K49" s="365" t="s">
        <v>44</v>
      </c>
      <c r="L49" s="365" t="s">
        <v>42</v>
      </c>
      <c r="M49" s="365" t="s">
        <v>41</v>
      </c>
      <c r="N49" s="365" t="s">
        <v>41</v>
      </c>
      <c r="O49" s="365" t="s">
        <v>43</v>
      </c>
      <c r="P49" s="365" t="s">
        <v>42</v>
      </c>
      <c r="Q49" s="365" t="s">
        <v>44</v>
      </c>
      <c r="R49" s="365" t="s">
        <v>43</v>
      </c>
      <c r="S49" s="365" t="s">
        <v>44</v>
      </c>
      <c r="T49" s="365" t="s">
        <v>42</v>
      </c>
      <c r="U49" s="365" t="s">
        <v>43</v>
      </c>
      <c r="V49" s="365" t="s">
        <v>41</v>
      </c>
      <c r="W49" s="365" t="s">
        <v>42</v>
      </c>
      <c r="X49" s="366" t="s">
        <v>43</v>
      </c>
      <c r="Y49" s="367" t="s">
        <v>41</v>
      </c>
      <c r="Z49" s="365" t="s">
        <v>43</v>
      </c>
      <c r="AA49" s="365" t="s">
        <v>43</v>
      </c>
      <c r="AB49" s="365" t="s">
        <v>42</v>
      </c>
      <c r="AC49" s="365" t="s">
        <v>41</v>
      </c>
      <c r="AD49" s="365" t="s">
        <v>43</v>
      </c>
      <c r="AE49" s="365" t="s">
        <v>43</v>
      </c>
      <c r="AF49" s="365" t="s">
        <v>44</v>
      </c>
      <c r="AG49" s="365" t="s">
        <v>42</v>
      </c>
      <c r="AH49" s="365" t="s">
        <v>44</v>
      </c>
      <c r="AI49" s="365" t="s">
        <v>41</v>
      </c>
      <c r="AJ49" s="365" t="s">
        <v>42</v>
      </c>
      <c r="AK49" s="365" t="s">
        <v>43</v>
      </c>
      <c r="AL49" s="365" t="s">
        <v>44</v>
      </c>
      <c r="AM49" s="365" t="s">
        <v>41</v>
      </c>
      <c r="AN49" s="365" t="s">
        <v>44</v>
      </c>
      <c r="AO49" s="365" t="s">
        <v>43</v>
      </c>
      <c r="AP49" s="365" t="s">
        <v>41</v>
      </c>
      <c r="AQ49" s="365" t="s">
        <v>42</v>
      </c>
      <c r="AR49" s="365" t="s">
        <v>43</v>
      </c>
      <c r="AS49" s="365" t="s">
        <v>41</v>
      </c>
      <c r="AT49" s="365" t="s">
        <v>44</v>
      </c>
      <c r="AU49" s="368"/>
      <c r="AV49" s="369" t="s">
        <v>41</v>
      </c>
      <c r="AW49" s="445" t="s">
        <v>173</v>
      </c>
      <c r="AX49" s="445" t="s">
        <v>173</v>
      </c>
      <c r="AY49" s="445" t="s">
        <v>173</v>
      </c>
      <c r="AZ49" s="445" t="s">
        <v>173</v>
      </c>
      <c r="BA49" s="371">
        <f t="shared" si="1"/>
        <v>0</v>
      </c>
      <c r="BB49" s="372" t="str">
        <f t="shared" si="2"/>
        <v>Abaixo do Básico</v>
      </c>
      <c r="BC49" s="373"/>
      <c r="BD49" s="374">
        <f t="shared" si="3"/>
        <v>8</v>
      </c>
      <c r="BE49" s="374">
        <f t="shared" si="4"/>
        <v>180</v>
      </c>
      <c r="BF49" s="375" t="str">
        <f t="shared" si="5"/>
        <v>Básico</v>
      </c>
      <c r="BG49" s="376">
        <f t="shared" si="6"/>
        <v>10</v>
      </c>
      <c r="BH49" s="374">
        <f t="shared" si="7"/>
        <v>232</v>
      </c>
      <c r="BI49" s="377" t="str">
        <f t="shared" si="8"/>
        <v>Básico</v>
      </c>
      <c r="BJ49" s="25"/>
      <c r="BK49" s="25"/>
    </row>
    <row r="50" ht="15.75" customHeight="1">
      <c r="A50" s="82">
        <v>21.0</v>
      </c>
      <c r="B50" s="446" t="s">
        <v>315</v>
      </c>
      <c r="C50" s="444" t="s">
        <v>170</v>
      </c>
      <c r="D50" s="447" t="s">
        <v>42</v>
      </c>
      <c r="E50" s="365" t="s">
        <v>42</v>
      </c>
      <c r="F50" s="365" t="s">
        <v>44</v>
      </c>
      <c r="G50" s="365" t="s">
        <v>42</v>
      </c>
      <c r="H50" s="365" t="s">
        <v>42</v>
      </c>
      <c r="I50" s="365" t="s">
        <v>44</v>
      </c>
      <c r="J50" s="365" t="s">
        <v>44</v>
      </c>
      <c r="K50" s="365" t="s">
        <v>42</v>
      </c>
      <c r="L50" s="365" t="s">
        <v>44</v>
      </c>
      <c r="M50" s="365" t="s">
        <v>44</v>
      </c>
      <c r="N50" s="365" t="s">
        <v>42</v>
      </c>
      <c r="O50" s="365" t="s">
        <v>43</v>
      </c>
      <c r="P50" s="365" t="s">
        <v>42</v>
      </c>
      <c r="Q50" s="365" t="s">
        <v>41</v>
      </c>
      <c r="R50" s="365" t="s">
        <v>41</v>
      </c>
      <c r="S50" s="365" t="s">
        <v>43</v>
      </c>
      <c r="T50" s="365" t="s">
        <v>43</v>
      </c>
      <c r="U50" s="365" t="s">
        <v>44</v>
      </c>
      <c r="V50" s="365" t="s">
        <v>41</v>
      </c>
      <c r="W50" s="365" t="s">
        <v>43</v>
      </c>
      <c r="X50" s="366" t="s">
        <v>44</v>
      </c>
      <c r="Y50" s="367" t="s">
        <v>41</v>
      </c>
      <c r="Z50" s="365" t="s">
        <v>42</v>
      </c>
      <c r="AA50" s="365" t="s">
        <v>42</v>
      </c>
      <c r="AB50" s="365" t="s">
        <v>42</v>
      </c>
      <c r="AC50" s="365" t="s">
        <v>43</v>
      </c>
      <c r="AD50" s="365" t="s">
        <v>43</v>
      </c>
      <c r="AE50" s="365" t="s">
        <v>42</v>
      </c>
      <c r="AF50" s="365" t="s">
        <v>43</v>
      </c>
      <c r="AG50" s="365" t="s">
        <v>41</v>
      </c>
      <c r="AH50" s="365" t="s">
        <v>44</v>
      </c>
      <c r="AI50" s="365" t="s">
        <v>43</v>
      </c>
      <c r="AJ50" s="365" t="s">
        <v>42</v>
      </c>
      <c r="AK50" s="365" t="s">
        <v>42</v>
      </c>
      <c r="AL50" s="365" t="s">
        <v>42</v>
      </c>
      <c r="AM50" s="365" t="s">
        <v>41</v>
      </c>
      <c r="AN50" s="365" t="s">
        <v>41</v>
      </c>
      <c r="AO50" s="365" t="s">
        <v>43</v>
      </c>
      <c r="AP50" s="365" t="s">
        <v>41</v>
      </c>
      <c r="AQ50" s="365" t="s">
        <v>42</v>
      </c>
      <c r="AR50" s="365" t="s">
        <v>42</v>
      </c>
      <c r="AS50" s="365" t="s">
        <v>41</v>
      </c>
      <c r="AT50" s="365" t="s">
        <v>42</v>
      </c>
      <c r="AU50" s="368"/>
      <c r="AV50" s="369" t="s">
        <v>44</v>
      </c>
      <c r="AW50" s="445">
        <v>3.0</v>
      </c>
      <c r="AX50" s="445">
        <v>2.0</v>
      </c>
      <c r="AY50" s="445">
        <v>2.0</v>
      </c>
      <c r="AZ50" s="445">
        <v>2.0</v>
      </c>
      <c r="BA50" s="371">
        <f t="shared" si="1"/>
        <v>56.25</v>
      </c>
      <c r="BB50" s="372" t="str">
        <f t="shared" si="2"/>
        <v>Adequado</v>
      </c>
      <c r="BC50" s="373"/>
      <c r="BD50" s="374">
        <f t="shared" si="3"/>
        <v>7</v>
      </c>
      <c r="BE50" s="374">
        <f t="shared" si="4"/>
        <v>171</v>
      </c>
      <c r="BF50" s="375" t="str">
        <f t="shared" si="5"/>
        <v>Básico</v>
      </c>
      <c r="BG50" s="376">
        <f t="shared" si="6"/>
        <v>7</v>
      </c>
      <c r="BH50" s="374">
        <f t="shared" si="7"/>
        <v>149</v>
      </c>
      <c r="BI50" s="377" t="str">
        <f t="shared" si="8"/>
        <v>Básico</v>
      </c>
      <c r="BJ50" s="25"/>
      <c r="BK50" s="25"/>
    </row>
    <row r="51" ht="15.75" customHeight="1">
      <c r="A51" s="82">
        <v>22.0</v>
      </c>
      <c r="B51" s="446" t="s">
        <v>316</v>
      </c>
      <c r="C51" s="444" t="s">
        <v>170</v>
      </c>
      <c r="D51" s="447" t="s">
        <v>42</v>
      </c>
      <c r="E51" s="365" t="s">
        <v>43</v>
      </c>
      <c r="F51" s="365" t="s">
        <v>44</v>
      </c>
      <c r="G51" s="365" t="s">
        <v>44</v>
      </c>
      <c r="H51" s="365" t="s">
        <v>44</v>
      </c>
      <c r="I51" s="365" t="s">
        <v>43</v>
      </c>
      <c r="J51" s="365" t="s">
        <v>44</v>
      </c>
      <c r="K51" s="365" t="s">
        <v>41</v>
      </c>
      <c r="L51" s="365" t="s">
        <v>44</v>
      </c>
      <c r="M51" s="365" t="s">
        <v>44</v>
      </c>
      <c r="N51" s="365" t="s">
        <v>41</v>
      </c>
      <c r="O51" s="365" t="s">
        <v>42</v>
      </c>
      <c r="P51" s="365" t="s">
        <v>41</v>
      </c>
      <c r="Q51" s="365" t="s">
        <v>42</v>
      </c>
      <c r="R51" s="365" t="s">
        <v>42</v>
      </c>
      <c r="S51" s="365" t="s">
        <v>44</v>
      </c>
      <c r="T51" s="365" t="s">
        <v>44</v>
      </c>
      <c r="U51" s="365" t="s">
        <v>42</v>
      </c>
      <c r="V51" s="365" t="s">
        <v>43</v>
      </c>
      <c r="W51" s="365" t="s">
        <v>42</v>
      </c>
      <c r="X51" s="366" t="s">
        <v>42</v>
      </c>
      <c r="Y51" s="367" t="s">
        <v>44</v>
      </c>
      <c r="Z51" s="365" t="s">
        <v>43</v>
      </c>
      <c r="AA51" s="365" t="s">
        <v>42</v>
      </c>
      <c r="AB51" s="365" t="s">
        <v>42</v>
      </c>
      <c r="AC51" s="365" t="s">
        <v>43</v>
      </c>
      <c r="AD51" s="365" t="s">
        <v>42</v>
      </c>
      <c r="AE51" s="365" t="s">
        <v>42</v>
      </c>
      <c r="AF51" s="365" t="s">
        <v>44</v>
      </c>
      <c r="AG51" s="365" t="s">
        <v>43</v>
      </c>
      <c r="AH51" s="365" t="s">
        <v>42</v>
      </c>
      <c r="AI51" s="365" t="s">
        <v>41</v>
      </c>
      <c r="AJ51" s="365" t="s">
        <v>42</v>
      </c>
      <c r="AK51" s="365" t="s">
        <v>44</v>
      </c>
      <c r="AL51" s="365" t="s">
        <v>44</v>
      </c>
      <c r="AM51" s="365" t="s">
        <v>43</v>
      </c>
      <c r="AN51" s="365" t="s">
        <v>43</v>
      </c>
      <c r="AO51" s="365" t="s">
        <v>43</v>
      </c>
      <c r="AP51" s="365" t="s">
        <v>41</v>
      </c>
      <c r="AQ51" s="365" t="s">
        <v>44</v>
      </c>
      <c r="AR51" s="365" t="s">
        <v>42</v>
      </c>
      <c r="AS51" s="365" t="s">
        <v>41</v>
      </c>
      <c r="AT51" s="365" t="s">
        <v>41</v>
      </c>
      <c r="AU51" s="368"/>
      <c r="AV51" s="369" t="s">
        <v>44</v>
      </c>
      <c r="AW51" s="445">
        <v>3.0</v>
      </c>
      <c r="AX51" s="445">
        <v>2.0</v>
      </c>
      <c r="AY51" s="445">
        <v>2.0</v>
      </c>
      <c r="AZ51" s="445">
        <v>2.0</v>
      </c>
      <c r="BA51" s="371">
        <f t="shared" si="1"/>
        <v>56.25</v>
      </c>
      <c r="BB51" s="372" t="str">
        <f t="shared" si="2"/>
        <v>Adequado</v>
      </c>
      <c r="BC51" s="373"/>
      <c r="BD51" s="374">
        <f t="shared" si="3"/>
        <v>7</v>
      </c>
      <c r="BE51" s="374">
        <f t="shared" si="4"/>
        <v>189</v>
      </c>
      <c r="BF51" s="375" t="str">
        <f t="shared" si="5"/>
        <v>Básico</v>
      </c>
      <c r="BG51" s="376">
        <f t="shared" si="6"/>
        <v>9</v>
      </c>
      <c r="BH51" s="374">
        <f t="shared" si="7"/>
        <v>208</v>
      </c>
      <c r="BI51" s="377" t="str">
        <f t="shared" si="8"/>
        <v>Básico</v>
      </c>
      <c r="BJ51" s="25"/>
      <c r="BK51" s="25"/>
    </row>
    <row r="52" ht="15.75" customHeight="1">
      <c r="A52" s="82">
        <v>23.0</v>
      </c>
      <c r="B52" s="446" t="s">
        <v>317</v>
      </c>
      <c r="C52" s="444" t="s">
        <v>170</v>
      </c>
      <c r="D52" s="447" t="s">
        <v>42</v>
      </c>
      <c r="E52" s="365" t="s">
        <v>43</v>
      </c>
      <c r="F52" s="365" t="s">
        <v>44</v>
      </c>
      <c r="G52" s="365" t="s">
        <v>44</v>
      </c>
      <c r="H52" s="365" t="s">
        <v>44</v>
      </c>
      <c r="I52" s="365" t="s">
        <v>41</v>
      </c>
      <c r="J52" s="365" t="s">
        <v>41</v>
      </c>
      <c r="K52" s="365" t="s">
        <v>42</v>
      </c>
      <c r="L52" s="365" t="s">
        <v>43</v>
      </c>
      <c r="M52" s="365" t="s">
        <v>42</v>
      </c>
      <c r="N52" s="365" t="s">
        <v>44</v>
      </c>
      <c r="O52" s="365" t="s">
        <v>44</v>
      </c>
      <c r="P52" s="365" t="s">
        <v>42</v>
      </c>
      <c r="Q52" s="365" t="s">
        <v>43</v>
      </c>
      <c r="R52" s="365" t="s">
        <v>42</v>
      </c>
      <c r="S52" s="365" t="s">
        <v>41</v>
      </c>
      <c r="T52" s="365" t="s">
        <v>44</v>
      </c>
      <c r="U52" s="365" t="s">
        <v>41</v>
      </c>
      <c r="V52" s="365" t="s">
        <v>44</v>
      </c>
      <c r="W52" s="365" t="s">
        <v>41</v>
      </c>
      <c r="X52" s="366" t="s">
        <v>41</v>
      </c>
      <c r="Y52" s="367" t="s">
        <v>44</v>
      </c>
      <c r="Z52" s="365" t="s">
        <v>43</v>
      </c>
      <c r="AA52" s="365" t="s">
        <v>42</v>
      </c>
      <c r="AB52" s="365" t="s">
        <v>43</v>
      </c>
      <c r="AC52" s="365" t="s">
        <v>41</v>
      </c>
      <c r="AD52" s="365" t="s">
        <v>41</v>
      </c>
      <c r="AE52" s="365" t="s">
        <v>41</v>
      </c>
      <c r="AF52" s="365" t="s">
        <v>42</v>
      </c>
      <c r="AG52" s="365" t="s">
        <v>41</v>
      </c>
      <c r="AH52" s="365" t="s">
        <v>42</v>
      </c>
      <c r="AI52" s="365" t="s">
        <v>44</v>
      </c>
      <c r="AJ52" s="365" t="s">
        <v>43</v>
      </c>
      <c r="AK52" s="365" t="s">
        <v>42</v>
      </c>
      <c r="AL52" s="365" t="s">
        <v>42</v>
      </c>
      <c r="AM52" s="365" t="s">
        <v>44</v>
      </c>
      <c r="AN52" s="365" t="s">
        <v>42</v>
      </c>
      <c r="AO52" s="365" t="s">
        <v>43</v>
      </c>
      <c r="AP52" s="365" t="s">
        <v>41</v>
      </c>
      <c r="AQ52" s="365" t="s">
        <v>42</v>
      </c>
      <c r="AR52" s="365" t="s">
        <v>43</v>
      </c>
      <c r="AS52" s="365" t="s">
        <v>42</v>
      </c>
      <c r="AT52" s="365" t="s">
        <v>41</v>
      </c>
      <c r="AU52" s="380"/>
      <c r="AV52" s="369" t="s">
        <v>44</v>
      </c>
      <c r="AW52" s="445">
        <v>3.0</v>
      </c>
      <c r="AX52" s="445">
        <v>2.0</v>
      </c>
      <c r="AY52" s="445">
        <v>2.0</v>
      </c>
      <c r="AZ52" s="445">
        <v>2.0</v>
      </c>
      <c r="BA52" s="371">
        <f t="shared" si="1"/>
        <v>56.25</v>
      </c>
      <c r="BB52" s="372" t="str">
        <f t="shared" si="2"/>
        <v>Adequado</v>
      </c>
      <c r="BC52" s="373"/>
      <c r="BD52" s="374">
        <f t="shared" si="3"/>
        <v>3</v>
      </c>
      <c r="BE52" s="374">
        <f t="shared" si="4"/>
        <v>90</v>
      </c>
      <c r="BF52" s="375" t="str">
        <f t="shared" si="5"/>
        <v>Abaixo do Básico</v>
      </c>
      <c r="BG52" s="376">
        <f t="shared" si="6"/>
        <v>6</v>
      </c>
      <c r="BH52" s="374">
        <f t="shared" si="7"/>
        <v>141</v>
      </c>
      <c r="BI52" s="377" t="str">
        <f t="shared" si="8"/>
        <v>Básico</v>
      </c>
      <c r="BJ52" s="25"/>
      <c r="BK52" s="25"/>
    </row>
    <row r="53" ht="15.75" customHeight="1">
      <c r="A53" s="82">
        <v>24.0</v>
      </c>
      <c r="B53" s="446" t="s">
        <v>318</v>
      </c>
      <c r="C53" s="444" t="s">
        <v>170</v>
      </c>
      <c r="D53" s="447" t="s">
        <v>42</v>
      </c>
      <c r="E53" s="365" t="s">
        <v>42</v>
      </c>
      <c r="F53" s="365" t="s">
        <v>41</v>
      </c>
      <c r="G53" s="365" t="s">
        <v>43</v>
      </c>
      <c r="H53" s="365" t="s">
        <v>42</v>
      </c>
      <c r="I53" s="365" t="s">
        <v>44</v>
      </c>
      <c r="J53" s="365" t="s">
        <v>44</v>
      </c>
      <c r="K53" s="365" t="s">
        <v>42</v>
      </c>
      <c r="L53" s="365" t="s">
        <v>42</v>
      </c>
      <c r="M53" s="365" t="s">
        <v>42</v>
      </c>
      <c r="N53" s="365" t="s">
        <v>41</v>
      </c>
      <c r="O53" s="365" t="s">
        <v>43</v>
      </c>
      <c r="P53" s="365" t="s">
        <v>44</v>
      </c>
      <c r="Q53" s="365" t="s">
        <v>41</v>
      </c>
      <c r="R53" s="365" t="s">
        <v>41</v>
      </c>
      <c r="S53" s="365" t="s">
        <v>44</v>
      </c>
      <c r="T53" s="365" t="s">
        <v>43</v>
      </c>
      <c r="U53" s="365" t="s">
        <v>44</v>
      </c>
      <c r="V53" s="365" t="s">
        <v>41</v>
      </c>
      <c r="W53" s="365" t="s">
        <v>41</v>
      </c>
      <c r="X53" s="366" t="s">
        <v>43</v>
      </c>
      <c r="Y53" s="367" t="s">
        <v>44</v>
      </c>
      <c r="Z53" s="365" t="s">
        <v>43</v>
      </c>
      <c r="AA53" s="365" t="s">
        <v>41</v>
      </c>
      <c r="AB53" s="365" t="s">
        <v>42</v>
      </c>
      <c r="AC53" s="365" t="s">
        <v>44</v>
      </c>
      <c r="AD53" s="365" t="s">
        <v>41</v>
      </c>
      <c r="AE53" s="365" t="s">
        <v>41</v>
      </c>
      <c r="AF53" s="365" t="s">
        <v>44</v>
      </c>
      <c r="AG53" s="365" t="s">
        <v>42</v>
      </c>
      <c r="AH53" s="365" t="s">
        <v>42</v>
      </c>
      <c r="AI53" s="365" t="s">
        <v>41</v>
      </c>
      <c r="AJ53" s="365" t="s">
        <v>42</v>
      </c>
      <c r="AK53" s="365" t="s">
        <v>43</v>
      </c>
      <c r="AL53" s="365" t="s">
        <v>42</v>
      </c>
      <c r="AM53" s="365" t="s">
        <v>41</v>
      </c>
      <c r="AN53" s="365" t="s">
        <v>44</v>
      </c>
      <c r="AO53" s="365" t="s">
        <v>42</v>
      </c>
      <c r="AP53" s="365" t="s">
        <v>41</v>
      </c>
      <c r="AQ53" s="365" t="s">
        <v>41</v>
      </c>
      <c r="AR53" s="365" t="s">
        <v>41</v>
      </c>
      <c r="AS53" s="365" t="s">
        <v>42</v>
      </c>
      <c r="AT53" s="365" t="s">
        <v>44</v>
      </c>
      <c r="AU53" s="368"/>
      <c r="AV53" s="369" t="s">
        <v>44</v>
      </c>
      <c r="AW53" s="445">
        <v>3.0</v>
      </c>
      <c r="AX53" s="445">
        <v>3.0</v>
      </c>
      <c r="AY53" s="445">
        <v>2.0</v>
      </c>
      <c r="AZ53" s="445">
        <v>2.0</v>
      </c>
      <c r="BA53" s="371">
        <f t="shared" si="1"/>
        <v>62.5</v>
      </c>
      <c r="BB53" s="372" t="str">
        <f t="shared" si="2"/>
        <v>Adequado</v>
      </c>
      <c r="BC53" s="373"/>
      <c r="BD53" s="374">
        <f t="shared" si="3"/>
        <v>9</v>
      </c>
      <c r="BE53" s="374">
        <f t="shared" si="4"/>
        <v>207</v>
      </c>
      <c r="BF53" s="375" t="str">
        <f t="shared" si="5"/>
        <v>Básico</v>
      </c>
      <c r="BG53" s="376">
        <f t="shared" si="6"/>
        <v>13</v>
      </c>
      <c r="BH53" s="374">
        <f t="shared" si="7"/>
        <v>316</v>
      </c>
      <c r="BI53" s="377" t="str">
        <f t="shared" si="8"/>
        <v>Adequado</v>
      </c>
      <c r="BJ53" s="25"/>
      <c r="BK53" s="25"/>
    </row>
    <row r="54" ht="15.75" customHeight="1">
      <c r="A54" s="82">
        <v>25.0</v>
      </c>
      <c r="B54" s="446" t="s">
        <v>319</v>
      </c>
      <c r="C54" s="444" t="s">
        <v>170</v>
      </c>
      <c r="D54" s="447" t="s">
        <v>44</v>
      </c>
      <c r="E54" s="365" t="s">
        <v>44</v>
      </c>
      <c r="F54" s="365" t="s">
        <v>41</v>
      </c>
      <c r="G54" s="365" t="s">
        <v>42</v>
      </c>
      <c r="H54" s="365" t="s">
        <v>44</v>
      </c>
      <c r="I54" s="365" t="s">
        <v>44</v>
      </c>
      <c r="J54" s="365" t="s">
        <v>42</v>
      </c>
      <c r="K54" s="365" t="s">
        <v>42</v>
      </c>
      <c r="L54" s="365" t="s">
        <v>44</v>
      </c>
      <c r="M54" s="365" t="s">
        <v>44</v>
      </c>
      <c r="N54" s="365" t="s">
        <v>41</v>
      </c>
      <c r="O54" s="365" t="s">
        <v>43</v>
      </c>
      <c r="P54" s="365" t="s">
        <v>44</v>
      </c>
      <c r="Q54" s="365" t="s">
        <v>42</v>
      </c>
      <c r="R54" s="365" t="s">
        <v>41</v>
      </c>
      <c r="S54" s="365" t="s">
        <v>44</v>
      </c>
      <c r="T54" s="365" t="s">
        <v>44</v>
      </c>
      <c r="U54" s="365" t="s">
        <v>44</v>
      </c>
      <c r="V54" s="365" t="s">
        <v>42</v>
      </c>
      <c r="W54" s="365" t="s">
        <v>42</v>
      </c>
      <c r="X54" s="366" t="s">
        <v>42</v>
      </c>
      <c r="Y54" s="367" t="s">
        <v>44</v>
      </c>
      <c r="Z54" s="365" t="s">
        <v>42</v>
      </c>
      <c r="AA54" s="365" t="s">
        <v>44</v>
      </c>
      <c r="AB54" s="365" t="s">
        <v>43</v>
      </c>
      <c r="AC54" s="365" t="s">
        <v>41</v>
      </c>
      <c r="AD54" s="365" t="s">
        <v>43</v>
      </c>
      <c r="AE54" s="365" t="s">
        <v>44</v>
      </c>
      <c r="AF54" s="365" t="s">
        <v>41</v>
      </c>
      <c r="AG54" s="365" t="s">
        <v>41</v>
      </c>
      <c r="AH54" s="365" t="s">
        <v>41</v>
      </c>
      <c r="AI54" s="365" t="s">
        <v>41</v>
      </c>
      <c r="AJ54" s="365" t="s">
        <v>42</v>
      </c>
      <c r="AK54" s="365" t="s">
        <v>43</v>
      </c>
      <c r="AL54" s="365" t="s">
        <v>42</v>
      </c>
      <c r="AM54" s="365" t="s">
        <v>41</v>
      </c>
      <c r="AN54" s="365" t="s">
        <v>43</v>
      </c>
      <c r="AO54" s="365" t="s">
        <v>42</v>
      </c>
      <c r="AP54" s="365" t="s">
        <v>44</v>
      </c>
      <c r="AQ54" s="365" t="s">
        <v>44</v>
      </c>
      <c r="AR54" s="365" t="s">
        <v>41</v>
      </c>
      <c r="AS54" s="365" t="s">
        <v>41</v>
      </c>
      <c r="AT54" s="365" t="s">
        <v>42</v>
      </c>
      <c r="AU54" s="368"/>
      <c r="AV54" s="369" t="s">
        <v>44</v>
      </c>
      <c r="AW54" s="445">
        <v>3.0</v>
      </c>
      <c r="AX54" s="445">
        <v>2.0</v>
      </c>
      <c r="AY54" s="445">
        <v>2.0</v>
      </c>
      <c r="AZ54" s="445">
        <v>2.0</v>
      </c>
      <c r="BA54" s="371">
        <f t="shared" si="1"/>
        <v>56.25</v>
      </c>
      <c r="BB54" s="372" t="str">
        <f t="shared" si="2"/>
        <v>Adequado</v>
      </c>
      <c r="BC54" s="373"/>
      <c r="BD54" s="374">
        <f t="shared" si="3"/>
        <v>12</v>
      </c>
      <c r="BE54" s="374">
        <f t="shared" si="4"/>
        <v>270</v>
      </c>
      <c r="BF54" s="375" t="str">
        <f t="shared" si="5"/>
        <v>Adequado</v>
      </c>
      <c r="BG54" s="376">
        <f t="shared" si="6"/>
        <v>13</v>
      </c>
      <c r="BH54" s="374">
        <f t="shared" si="7"/>
        <v>307</v>
      </c>
      <c r="BI54" s="377" t="str">
        <f t="shared" si="8"/>
        <v>Adequado</v>
      </c>
      <c r="BJ54" s="25"/>
      <c r="BK54" s="25"/>
    </row>
    <row r="55" ht="15.75" customHeight="1">
      <c r="A55" s="82">
        <v>26.0</v>
      </c>
      <c r="B55" s="446" t="s">
        <v>320</v>
      </c>
      <c r="C55" s="444" t="s">
        <v>170</v>
      </c>
      <c r="D55" s="447" t="s">
        <v>44</v>
      </c>
      <c r="E55" s="365" t="s">
        <v>44</v>
      </c>
      <c r="F55" s="365" t="s">
        <v>42</v>
      </c>
      <c r="G55" s="365" t="s">
        <v>43</v>
      </c>
      <c r="H55" s="365" t="s">
        <v>41</v>
      </c>
      <c r="I55" s="365" t="s">
        <v>41</v>
      </c>
      <c r="J55" s="365" t="s">
        <v>44</v>
      </c>
      <c r="K55" s="365" t="s">
        <v>42</v>
      </c>
      <c r="L55" s="365" t="s">
        <v>44</v>
      </c>
      <c r="M55" s="365" t="s">
        <v>42</v>
      </c>
      <c r="N55" s="365" t="s">
        <v>43</v>
      </c>
      <c r="O55" s="365" t="s">
        <v>43</v>
      </c>
      <c r="P55" s="365" t="s">
        <v>41</v>
      </c>
      <c r="Q55" s="365" t="s">
        <v>44</v>
      </c>
      <c r="R55" s="365" t="s">
        <v>43</v>
      </c>
      <c r="S55" s="365" t="s">
        <v>41</v>
      </c>
      <c r="T55" s="365" t="s">
        <v>42</v>
      </c>
      <c r="U55" s="365" t="s">
        <v>42</v>
      </c>
      <c r="V55" s="365" t="s">
        <v>44</v>
      </c>
      <c r="W55" s="365" t="s">
        <v>41</v>
      </c>
      <c r="X55" s="366" t="s">
        <v>43</v>
      </c>
      <c r="Y55" s="367" t="s">
        <v>42</v>
      </c>
      <c r="Z55" s="365" t="s">
        <v>41</v>
      </c>
      <c r="AA55" s="365" t="s">
        <v>44</v>
      </c>
      <c r="AB55" s="365" t="s">
        <v>42</v>
      </c>
      <c r="AC55" s="365" t="s">
        <v>41</v>
      </c>
      <c r="AD55" s="365" t="s">
        <v>173</v>
      </c>
      <c r="AE55" s="365" t="s">
        <v>42</v>
      </c>
      <c r="AF55" s="365" t="s">
        <v>42</v>
      </c>
      <c r="AG55" s="365" t="s">
        <v>44</v>
      </c>
      <c r="AH55" s="365" t="s">
        <v>44</v>
      </c>
      <c r="AI55" s="365" t="s">
        <v>43</v>
      </c>
      <c r="AJ55" s="365" t="s">
        <v>42</v>
      </c>
      <c r="AK55" s="365" t="s">
        <v>44</v>
      </c>
      <c r="AL55" s="365" t="s">
        <v>41</v>
      </c>
      <c r="AM55" s="365" t="s">
        <v>41</v>
      </c>
      <c r="AN55" s="365" t="s">
        <v>44</v>
      </c>
      <c r="AO55" s="365" t="s">
        <v>42</v>
      </c>
      <c r="AP55" s="365" t="s">
        <v>44</v>
      </c>
      <c r="AQ55" s="365" t="s">
        <v>41</v>
      </c>
      <c r="AR55" s="365" t="s">
        <v>42</v>
      </c>
      <c r="AS55" s="365" t="s">
        <v>42</v>
      </c>
      <c r="AT55" s="365" t="s">
        <v>44</v>
      </c>
      <c r="AU55" s="380"/>
      <c r="AV55" s="369" t="s">
        <v>44</v>
      </c>
      <c r="AW55" s="445">
        <v>2.0</v>
      </c>
      <c r="AX55" s="445">
        <v>1.0</v>
      </c>
      <c r="AY55" s="445">
        <v>1.0</v>
      </c>
      <c r="AZ55" s="445">
        <v>1.0</v>
      </c>
      <c r="BA55" s="371">
        <f t="shared" si="1"/>
        <v>31.25</v>
      </c>
      <c r="BB55" s="372" t="str">
        <f t="shared" si="2"/>
        <v>Básico</v>
      </c>
      <c r="BC55" s="373"/>
      <c r="BD55" s="374">
        <f t="shared" si="3"/>
        <v>4</v>
      </c>
      <c r="BE55" s="374">
        <f t="shared" si="4"/>
        <v>108</v>
      </c>
      <c r="BF55" s="375" t="str">
        <f t="shared" si="5"/>
        <v>Abaixo do Básico</v>
      </c>
      <c r="BG55" s="376">
        <f t="shared" si="6"/>
        <v>7</v>
      </c>
      <c r="BH55" s="374">
        <f t="shared" si="7"/>
        <v>131</v>
      </c>
      <c r="BI55" s="377" t="str">
        <f t="shared" si="8"/>
        <v>Básico</v>
      </c>
      <c r="BJ55" s="25"/>
      <c r="BK55" s="25"/>
    </row>
    <row r="56" ht="15.75" customHeight="1">
      <c r="A56" s="82">
        <v>27.0</v>
      </c>
      <c r="B56" s="446" t="s">
        <v>321</v>
      </c>
      <c r="C56" s="444" t="s">
        <v>170</v>
      </c>
      <c r="D56" s="447" t="s">
        <v>44</v>
      </c>
      <c r="E56" s="365" t="s">
        <v>42</v>
      </c>
      <c r="F56" s="365" t="s">
        <v>41</v>
      </c>
      <c r="G56" s="365" t="s">
        <v>42</v>
      </c>
      <c r="H56" s="365" t="s">
        <v>42</v>
      </c>
      <c r="I56" s="365" t="s">
        <v>41</v>
      </c>
      <c r="J56" s="365" t="s">
        <v>44</v>
      </c>
      <c r="K56" s="365" t="s">
        <v>42</v>
      </c>
      <c r="L56" s="365" t="s">
        <v>44</v>
      </c>
      <c r="M56" s="365" t="s">
        <v>43</v>
      </c>
      <c r="N56" s="365" t="s">
        <v>41</v>
      </c>
      <c r="O56" s="365" t="s">
        <v>42</v>
      </c>
      <c r="P56" s="365" t="s">
        <v>44</v>
      </c>
      <c r="Q56" s="365" t="s">
        <v>41</v>
      </c>
      <c r="R56" s="365" t="s">
        <v>42</v>
      </c>
      <c r="S56" s="365" t="s">
        <v>41</v>
      </c>
      <c r="T56" s="365" t="s">
        <v>44</v>
      </c>
      <c r="U56" s="365" t="s">
        <v>44</v>
      </c>
      <c r="V56" s="365" t="s">
        <v>42</v>
      </c>
      <c r="W56" s="365" t="s">
        <v>41</v>
      </c>
      <c r="X56" s="366" t="s">
        <v>44</v>
      </c>
      <c r="Y56" s="367" t="s">
        <v>44</v>
      </c>
      <c r="Z56" s="365" t="s">
        <v>41</v>
      </c>
      <c r="AA56" s="365" t="s">
        <v>43</v>
      </c>
      <c r="AB56" s="365" t="s">
        <v>42</v>
      </c>
      <c r="AC56" s="365" t="s">
        <v>41</v>
      </c>
      <c r="AD56" s="365" t="s">
        <v>41</v>
      </c>
      <c r="AE56" s="365" t="s">
        <v>41</v>
      </c>
      <c r="AF56" s="365" t="s">
        <v>43</v>
      </c>
      <c r="AG56" s="365" t="s">
        <v>43</v>
      </c>
      <c r="AH56" s="365" t="s">
        <v>44</v>
      </c>
      <c r="AI56" s="365" t="s">
        <v>41</v>
      </c>
      <c r="AJ56" s="365" t="s">
        <v>43</v>
      </c>
      <c r="AK56" s="365" t="s">
        <v>41</v>
      </c>
      <c r="AL56" s="365" t="s">
        <v>42</v>
      </c>
      <c r="AM56" s="365" t="s">
        <v>41</v>
      </c>
      <c r="AN56" s="365" t="s">
        <v>43</v>
      </c>
      <c r="AO56" s="365" t="s">
        <v>42</v>
      </c>
      <c r="AP56" s="365" t="s">
        <v>41</v>
      </c>
      <c r="AQ56" s="365" t="s">
        <v>41</v>
      </c>
      <c r="AR56" s="365" t="s">
        <v>42</v>
      </c>
      <c r="AS56" s="365" t="s">
        <v>41</v>
      </c>
      <c r="AT56" s="365" t="s">
        <v>44</v>
      </c>
      <c r="AU56" s="368"/>
      <c r="AV56" s="369" t="s">
        <v>44</v>
      </c>
      <c r="AW56" s="445">
        <v>2.0</v>
      </c>
      <c r="AX56" s="445">
        <v>1.0</v>
      </c>
      <c r="AY56" s="445">
        <v>1.0</v>
      </c>
      <c r="AZ56" s="445">
        <v>1.0</v>
      </c>
      <c r="BA56" s="371">
        <f t="shared" si="1"/>
        <v>31.25</v>
      </c>
      <c r="BB56" s="372" t="str">
        <f t="shared" si="2"/>
        <v>Básico</v>
      </c>
      <c r="BC56" s="373"/>
      <c r="BD56" s="374">
        <f t="shared" si="3"/>
        <v>9</v>
      </c>
      <c r="BE56" s="374">
        <f t="shared" si="4"/>
        <v>243</v>
      </c>
      <c r="BF56" s="375" t="str">
        <f t="shared" si="5"/>
        <v>Básico</v>
      </c>
      <c r="BG56" s="376">
        <f t="shared" si="6"/>
        <v>10</v>
      </c>
      <c r="BH56" s="374">
        <f t="shared" si="7"/>
        <v>223</v>
      </c>
      <c r="BI56" s="377" t="str">
        <f t="shared" si="8"/>
        <v>Básico</v>
      </c>
      <c r="BJ56" s="25"/>
      <c r="BK56" s="25"/>
    </row>
    <row r="57" ht="15.75" customHeight="1">
      <c r="A57" s="82">
        <v>28.0</v>
      </c>
      <c r="B57" s="446" t="s">
        <v>322</v>
      </c>
      <c r="C57" s="444" t="s">
        <v>170</v>
      </c>
      <c r="D57" s="447" t="s">
        <v>42</v>
      </c>
      <c r="E57" s="365" t="s">
        <v>43</v>
      </c>
      <c r="F57" s="365" t="s">
        <v>44</v>
      </c>
      <c r="G57" s="365" t="s">
        <v>41</v>
      </c>
      <c r="H57" s="365" t="s">
        <v>42</v>
      </c>
      <c r="I57" s="365" t="s">
        <v>42</v>
      </c>
      <c r="J57" s="365" t="s">
        <v>44</v>
      </c>
      <c r="K57" s="365" t="s">
        <v>43</v>
      </c>
      <c r="L57" s="365" t="s">
        <v>44</v>
      </c>
      <c r="M57" s="365" t="s">
        <v>43</v>
      </c>
      <c r="N57" s="365" t="s">
        <v>41</v>
      </c>
      <c r="O57" s="365" t="s">
        <v>44</v>
      </c>
      <c r="P57" s="365" t="s">
        <v>41</v>
      </c>
      <c r="Q57" s="365" t="s">
        <v>43</v>
      </c>
      <c r="R57" s="365" t="s">
        <v>41</v>
      </c>
      <c r="S57" s="365" t="s">
        <v>44</v>
      </c>
      <c r="T57" s="365" t="s">
        <v>42</v>
      </c>
      <c r="U57" s="365" t="s">
        <v>44</v>
      </c>
      <c r="V57" s="365" t="s">
        <v>43</v>
      </c>
      <c r="W57" s="365" t="s">
        <v>44</v>
      </c>
      <c r="X57" s="366" t="s">
        <v>42</v>
      </c>
      <c r="Y57" s="367" t="s">
        <v>41</v>
      </c>
      <c r="Z57" s="365" t="s">
        <v>43</v>
      </c>
      <c r="AA57" s="365" t="s">
        <v>42</v>
      </c>
      <c r="AB57" s="365" t="s">
        <v>43</v>
      </c>
      <c r="AC57" s="365" t="s">
        <v>42</v>
      </c>
      <c r="AD57" s="365" t="s">
        <v>43</v>
      </c>
      <c r="AE57" s="365" t="s">
        <v>44</v>
      </c>
      <c r="AF57" s="365" t="s">
        <v>41</v>
      </c>
      <c r="AG57" s="365" t="s">
        <v>43</v>
      </c>
      <c r="AH57" s="365" t="s">
        <v>43</v>
      </c>
      <c r="AI57" s="365" t="s">
        <v>43</v>
      </c>
      <c r="AJ57" s="365" t="s">
        <v>42</v>
      </c>
      <c r="AK57" s="365" t="s">
        <v>41</v>
      </c>
      <c r="AL57" s="365" t="s">
        <v>42</v>
      </c>
      <c r="AM57" s="365" t="s">
        <v>44</v>
      </c>
      <c r="AN57" s="365" t="s">
        <v>43</v>
      </c>
      <c r="AO57" s="365" t="s">
        <v>44</v>
      </c>
      <c r="AP57" s="365" t="s">
        <v>41</v>
      </c>
      <c r="AQ57" s="365" t="s">
        <v>43</v>
      </c>
      <c r="AR57" s="365" t="s">
        <v>42</v>
      </c>
      <c r="AS57" s="365" t="s">
        <v>43</v>
      </c>
      <c r="AT57" s="365" t="s">
        <v>44</v>
      </c>
      <c r="AU57" s="368"/>
      <c r="AV57" s="369" t="s">
        <v>44</v>
      </c>
      <c r="AW57" s="445">
        <v>3.0</v>
      </c>
      <c r="AX57" s="445">
        <v>2.0</v>
      </c>
      <c r="AY57" s="445">
        <v>2.0</v>
      </c>
      <c r="AZ57" s="445">
        <v>2.0</v>
      </c>
      <c r="BA57" s="371">
        <f t="shared" si="1"/>
        <v>56.25</v>
      </c>
      <c r="BB57" s="372" t="str">
        <f t="shared" si="2"/>
        <v>Adequado</v>
      </c>
      <c r="BC57" s="373"/>
      <c r="BD57" s="374">
        <f t="shared" si="3"/>
        <v>6</v>
      </c>
      <c r="BE57" s="374">
        <f t="shared" si="4"/>
        <v>153</v>
      </c>
      <c r="BF57" s="375" t="str">
        <f t="shared" si="5"/>
        <v>Básico</v>
      </c>
      <c r="BG57" s="376">
        <f t="shared" si="6"/>
        <v>5</v>
      </c>
      <c r="BH57" s="374">
        <f t="shared" si="7"/>
        <v>125</v>
      </c>
      <c r="BI57" s="377" t="str">
        <f t="shared" si="8"/>
        <v>Abaixo do Básico</v>
      </c>
      <c r="BJ57" s="25"/>
      <c r="BK57" s="25"/>
    </row>
    <row r="58" ht="15.75" customHeight="1">
      <c r="A58" s="82">
        <v>29.0</v>
      </c>
      <c r="B58" s="446" t="s">
        <v>323</v>
      </c>
      <c r="C58" s="444" t="s">
        <v>170</v>
      </c>
      <c r="D58" s="447" t="s">
        <v>43</v>
      </c>
      <c r="E58" s="365" t="s">
        <v>42</v>
      </c>
      <c r="F58" s="365" t="s">
        <v>42</v>
      </c>
      <c r="G58" s="365" t="s">
        <v>41</v>
      </c>
      <c r="H58" s="365" t="s">
        <v>42</v>
      </c>
      <c r="I58" s="365" t="s">
        <v>44</v>
      </c>
      <c r="J58" s="365" t="s">
        <v>43</v>
      </c>
      <c r="K58" s="365" t="s">
        <v>43</v>
      </c>
      <c r="L58" s="365" t="s">
        <v>44</v>
      </c>
      <c r="M58" s="365" t="s">
        <v>41</v>
      </c>
      <c r="N58" s="365" t="s">
        <v>43</v>
      </c>
      <c r="O58" s="365" t="s">
        <v>44</v>
      </c>
      <c r="P58" s="365" t="s">
        <v>44</v>
      </c>
      <c r="Q58" s="365" t="s">
        <v>44</v>
      </c>
      <c r="R58" s="365" t="s">
        <v>42</v>
      </c>
      <c r="S58" s="365" t="s">
        <v>41</v>
      </c>
      <c r="T58" s="365" t="s">
        <v>41</v>
      </c>
      <c r="U58" s="365" t="s">
        <v>42</v>
      </c>
      <c r="V58" s="365" t="s">
        <v>42</v>
      </c>
      <c r="W58" s="365" t="s">
        <v>43</v>
      </c>
      <c r="X58" s="366" t="s">
        <v>42</v>
      </c>
      <c r="Y58" s="367" t="s">
        <v>44</v>
      </c>
      <c r="Z58" s="365" t="s">
        <v>43</v>
      </c>
      <c r="AA58" s="365" t="s">
        <v>42</v>
      </c>
      <c r="AB58" s="365" t="s">
        <v>42</v>
      </c>
      <c r="AC58" s="365" t="s">
        <v>42</v>
      </c>
      <c r="AD58" s="365" t="s">
        <v>43</v>
      </c>
      <c r="AE58" s="365" t="s">
        <v>44</v>
      </c>
      <c r="AF58" s="365" t="s">
        <v>44</v>
      </c>
      <c r="AG58" s="365" t="s">
        <v>44</v>
      </c>
      <c r="AH58" s="365" t="s">
        <v>41</v>
      </c>
      <c r="AI58" s="365" t="s">
        <v>42</v>
      </c>
      <c r="AJ58" s="365" t="s">
        <v>42</v>
      </c>
      <c r="AK58" s="365" t="s">
        <v>44</v>
      </c>
      <c r="AL58" s="365" t="s">
        <v>41</v>
      </c>
      <c r="AM58" s="365" t="s">
        <v>41</v>
      </c>
      <c r="AN58" s="365" t="s">
        <v>43</v>
      </c>
      <c r="AO58" s="365" t="s">
        <v>41</v>
      </c>
      <c r="AP58" s="365" t="s">
        <v>41</v>
      </c>
      <c r="AQ58" s="365" t="s">
        <v>43</v>
      </c>
      <c r="AR58" s="365" t="s">
        <v>43</v>
      </c>
      <c r="AS58" s="365" t="s">
        <v>43</v>
      </c>
      <c r="AT58" s="365" t="s">
        <v>173</v>
      </c>
      <c r="AU58" s="368"/>
      <c r="AV58" s="369" t="s">
        <v>44</v>
      </c>
      <c r="AW58" s="445">
        <v>3.0</v>
      </c>
      <c r="AX58" s="445">
        <v>2.0</v>
      </c>
      <c r="AY58" s="445">
        <v>2.0</v>
      </c>
      <c r="AZ58" s="445">
        <v>2.0</v>
      </c>
      <c r="BA58" s="371">
        <f t="shared" si="1"/>
        <v>56.25</v>
      </c>
      <c r="BB58" s="372" t="str">
        <f t="shared" si="2"/>
        <v>Adequado</v>
      </c>
      <c r="BC58" s="373"/>
      <c r="BD58" s="374">
        <f t="shared" si="3"/>
        <v>5</v>
      </c>
      <c r="BE58" s="374">
        <f t="shared" si="4"/>
        <v>144</v>
      </c>
      <c r="BF58" s="375" t="str">
        <f t="shared" si="5"/>
        <v>Básico</v>
      </c>
      <c r="BG58" s="376">
        <f t="shared" si="6"/>
        <v>5</v>
      </c>
      <c r="BH58" s="374">
        <f t="shared" si="7"/>
        <v>125</v>
      </c>
      <c r="BI58" s="377" t="str">
        <f t="shared" si="8"/>
        <v>Abaixo do Básico</v>
      </c>
      <c r="BJ58" s="25"/>
      <c r="BK58" s="25"/>
    </row>
    <row r="59" ht="15.75" customHeight="1">
      <c r="A59" s="441">
        <v>30.0</v>
      </c>
      <c r="B59" s="446" t="s">
        <v>324</v>
      </c>
      <c r="C59" s="444" t="s">
        <v>170</v>
      </c>
      <c r="D59" s="447" t="s">
        <v>41</v>
      </c>
      <c r="E59" s="365" t="s">
        <v>43</v>
      </c>
      <c r="F59" s="365" t="s">
        <v>44</v>
      </c>
      <c r="G59" s="365" t="s">
        <v>44</v>
      </c>
      <c r="H59" s="365" t="s">
        <v>42</v>
      </c>
      <c r="I59" s="365" t="s">
        <v>43</v>
      </c>
      <c r="J59" s="365" t="s">
        <v>42</v>
      </c>
      <c r="K59" s="365" t="s">
        <v>41</v>
      </c>
      <c r="L59" s="365" t="s">
        <v>44</v>
      </c>
      <c r="M59" s="365" t="s">
        <v>42</v>
      </c>
      <c r="N59" s="365" t="s">
        <v>44</v>
      </c>
      <c r="O59" s="365" t="s">
        <v>43</v>
      </c>
      <c r="P59" s="365" t="s">
        <v>42</v>
      </c>
      <c r="Q59" s="365" t="s">
        <v>44</v>
      </c>
      <c r="R59" s="365" t="s">
        <v>43</v>
      </c>
      <c r="S59" s="365" t="s">
        <v>41</v>
      </c>
      <c r="T59" s="365" t="s">
        <v>42</v>
      </c>
      <c r="U59" s="365" t="s">
        <v>44</v>
      </c>
      <c r="V59" s="365" t="s">
        <v>43</v>
      </c>
      <c r="W59" s="365" t="s">
        <v>42</v>
      </c>
      <c r="X59" s="366" t="s">
        <v>43</v>
      </c>
      <c r="Y59" s="367" t="s">
        <v>44</v>
      </c>
      <c r="Z59" s="365" t="s">
        <v>43</v>
      </c>
      <c r="AA59" s="365" t="s">
        <v>42</v>
      </c>
      <c r="AB59" s="365" t="s">
        <v>42</v>
      </c>
      <c r="AC59" s="365" t="s">
        <v>44</v>
      </c>
      <c r="AD59" s="365" t="s">
        <v>42</v>
      </c>
      <c r="AE59" s="365" t="s">
        <v>44</v>
      </c>
      <c r="AF59" s="365" t="s">
        <v>44</v>
      </c>
      <c r="AG59" s="365" t="s">
        <v>42</v>
      </c>
      <c r="AH59" s="365" t="s">
        <v>41</v>
      </c>
      <c r="AI59" s="365" t="s">
        <v>41</v>
      </c>
      <c r="AJ59" s="365" t="s">
        <v>42</v>
      </c>
      <c r="AK59" s="365" t="s">
        <v>43</v>
      </c>
      <c r="AL59" s="365" t="s">
        <v>42</v>
      </c>
      <c r="AM59" s="365" t="s">
        <v>41</v>
      </c>
      <c r="AN59" s="365" t="s">
        <v>43</v>
      </c>
      <c r="AO59" s="365" t="s">
        <v>42</v>
      </c>
      <c r="AP59" s="365" t="s">
        <v>41</v>
      </c>
      <c r="AQ59" s="365" t="s">
        <v>42</v>
      </c>
      <c r="AR59" s="365" t="s">
        <v>41</v>
      </c>
      <c r="AS59" s="365" t="s">
        <v>41</v>
      </c>
      <c r="AT59" s="365" t="s">
        <v>42</v>
      </c>
      <c r="AU59" s="368"/>
      <c r="AV59" s="369" t="s">
        <v>44</v>
      </c>
      <c r="AW59" s="445">
        <v>4.0</v>
      </c>
      <c r="AX59" s="445">
        <v>3.0</v>
      </c>
      <c r="AY59" s="445">
        <v>2.0</v>
      </c>
      <c r="AZ59" s="445">
        <v>2.0</v>
      </c>
      <c r="BA59" s="371">
        <f t="shared" si="1"/>
        <v>68.75</v>
      </c>
      <c r="BB59" s="372" t="str">
        <f t="shared" si="2"/>
        <v>Adequado</v>
      </c>
      <c r="BC59" s="373"/>
      <c r="BD59" s="374">
        <f t="shared" si="3"/>
        <v>8</v>
      </c>
      <c r="BE59" s="374">
        <f t="shared" si="4"/>
        <v>207</v>
      </c>
      <c r="BF59" s="375" t="str">
        <f t="shared" si="5"/>
        <v>Básico</v>
      </c>
      <c r="BG59" s="376">
        <f t="shared" si="6"/>
        <v>12</v>
      </c>
      <c r="BH59" s="374">
        <f t="shared" si="7"/>
        <v>291</v>
      </c>
      <c r="BI59" s="377" t="str">
        <f t="shared" si="8"/>
        <v>Adequado</v>
      </c>
      <c r="BJ59" s="25"/>
      <c r="BK59" s="25"/>
    </row>
    <row r="60" ht="15.75" customHeight="1">
      <c r="A60" s="441">
        <v>31.0</v>
      </c>
      <c r="B60" s="446"/>
      <c r="C60" s="444"/>
      <c r="D60" s="447"/>
      <c r="E60" s="365"/>
      <c r="F60" s="365"/>
      <c r="G60" s="365"/>
      <c r="H60" s="365"/>
      <c r="I60" s="365"/>
      <c r="J60" s="365"/>
      <c r="K60" s="365"/>
      <c r="L60" s="365"/>
      <c r="M60" s="365"/>
      <c r="N60" s="365"/>
      <c r="O60" s="365"/>
      <c r="P60" s="365"/>
      <c r="Q60" s="365"/>
      <c r="R60" s="365"/>
      <c r="S60" s="365"/>
      <c r="T60" s="365"/>
      <c r="U60" s="365"/>
      <c r="V60" s="365"/>
      <c r="W60" s="365"/>
      <c r="X60" s="366"/>
      <c r="Y60" s="367"/>
      <c r="Z60" s="365"/>
      <c r="AA60" s="365"/>
      <c r="AB60" s="365"/>
      <c r="AC60" s="365"/>
      <c r="AD60" s="365"/>
      <c r="AE60" s="365"/>
      <c r="AF60" s="365"/>
      <c r="AG60" s="365"/>
      <c r="AH60" s="365"/>
      <c r="AI60" s="365"/>
      <c r="AJ60" s="365"/>
      <c r="AK60" s="365"/>
      <c r="AL60" s="365"/>
      <c r="AM60" s="365"/>
      <c r="AN60" s="365"/>
      <c r="AO60" s="365"/>
      <c r="AP60" s="365"/>
      <c r="AQ60" s="365"/>
      <c r="AR60" s="365"/>
      <c r="AS60" s="365"/>
      <c r="AT60" s="365"/>
      <c r="AU60" s="368"/>
      <c r="AV60" s="369"/>
      <c r="AW60" s="445"/>
      <c r="AX60" s="445"/>
      <c r="AY60" s="445"/>
      <c r="AZ60" s="445"/>
      <c r="BA60" s="371"/>
      <c r="BB60" s="372"/>
      <c r="BC60" s="373"/>
      <c r="BD60" s="374"/>
      <c r="BE60" s="374"/>
      <c r="BF60" s="375"/>
      <c r="BG60" s="376"/>
      <c r="BH60" s="374"/>
      <c r="BI60" s="377"/>
      <c r="BJ60" s="25"/>
      <c r="BK60" s="25"/>
    </row>
    <row r="61" ht="15.75" customHeight="1">
      <c r="A61" s="441">
        <v>32.0</v>
      </c>
      <c r="B61" s="448"/>
      <c r="C61" s="383"/>
      <c r="D61" s="449"/>
      <c r="E61" s="365"/>
      <c r="F61" s="365"/>
      <c r="G61" s="365"/>
      <c r="H61" s="365"/>
      <c r="I61" s="365"/>
      <c r="J61" s="365"/>
      <c r="K61" s="365"/>
      <c r="L61" s="365"/>
      <c r="M61" s="365"/>
      <c r="N61" s="365"/>
      <c r="O61" s="365"/>
      <c r="P61" s="365"/>
      <c r="Q61" s="365"/>
      <c r="R61" s="365"/>
      <c r="S61" s="365"/>
      <c r="T61" s="365"/>
      <c r="U61" s="365"/>
      <c r="V61" s="365"/>
      <c r="W61" s="365"/>
      <c r="X61" s="366"/>
      <c r="Y61" s="367"/>
      <c r="Z61" s="365"/>
      <c r="AA61" s="365"/>
      <c r="AB61" s="365"/>
      <c r="AC61" s="365"/>
      <c r="AD61" s="365"/>
      <c r="AE61" s="365"/>
      <c r="AF61" s="365"/>
      <c r="AG61" s="365"/>
      <c r="AH61" s="365"/>
      <c r="AI61" s="365"/>
      <c r="AJ61" s="365"/>
      <c r="AK61" s="365"/>
      <c r="AL61" s="365"/>
      <c r="AM61" s="365"/>
      <c r="AN61" s="365"/>
      <c r="AO61" s="365"/>
      <c r="AP61" s="365"/>
      <c r="AQ61" s="365"/>
      <c r="AR61" s="365"/>
      <c r="AS61" s="365"/>
      <c r="AT61" s="365"/>
      <c r="AU61" s="368"/>
      <c r="AV61" s="369"/>
      <c r="AW61" s="385"/>
      <c r="AX61" s="385"/>
      <c r="AY61" s="385"/>
      <c r="AZ61" s="385"/>
      <c r="BA61" s="371"/>
      <c r="BB61" s="372"/>
      <c r="BC61" s="373"/>
      <c r="BD61" s="374"/>
      <c r="BE61" s="374"/>
      <c r="BF61" s="375"/>
      <c r="BG61" s="376"/>
      <c r="BH61" s="374"/>
      <c r="BI61" s="377"/>
      <c r="BJ61" s="25"/>
      <c r="BK61" s="25"/>
    </row>
    <row r="62" ht="15.75" customHeight="1">
      <c r="A62" s="441">
        <v>33.0</v>
      </c>
      <c r="B62" s="448"/>
      <c r="C62" s="383"/>
      <c r="D62" s="449"/>
      <c r="E62" s="365"/>
      <c r="F62" s="365"/>
      <c r="G62" s="365"/>
      <c r="H62" s="365"/>
      <c r="I62" s="365"/>
      <c r="J62" s="365"/>
      <c r="K62" s="365"/>
      <c r="L62" s="365"/>
      <c r="M62" s="365"/>
      <c r="N62" s="365"/>
      <c r="O62" s="365"/>
      <c r="P62" s="365"/>
      <c r="Q62" s="365"/>
      <c r="R62" s="365"/>
      <c r="S62" s="365"/>
      <c r="T62" s="365"/>
      <c r="U62" s="365"/>
      <c r="V62" s="365"/>
      <c r="W62" s="365"/>
      <c r="X62" s="366"/>
      <c r="Y62" s="367"/>
      <c r="Z62" s="365"/>
      <c r="AA62" s="365"/>
      <c r="AB62" s="365"/>
      <c r="AC62" s="365"/>
      <c r="AD62" s="365"/>
      <c r="AE62" s="365"/>
      <c r="AF62" s="365"/>
      <c r="AG62" s="365"/>
      <c r="AH62" s="365"/>
      <c r="AI62" s="365"/>
      <c r="AJ62" s="365"/>
      <c r="AK62" s="365"/>
      <c r="AL62" s="365"/>
      <c r="AM62" s="365"/>
      <c r="AN62" s="365"/>
      <c r="AO62" s="365"/>
      <c r="AP62" s="365"/>
      <c r="AQ62" s="365"/>
      <c r="AR62" s="365"/>
      <c r="AS62" s="365"/>
      <c r="AT62" s="365"/>
      <c r="AU62" s="368"/>
      <c r="AV62" s="369"/>
      <c r="AW62" s="385"/>
      <c r="AX62" s="385"/>
      <c r="AY62" s="385"/>
      <c r="AZ62" s="385"/>
      <c r="BA62" s="371"/>
      <c r="BB62" s="372"/>
      <c r="BC62" s="373"/>
      <c r="BD62" s="374"/>
      <c r="BE62" s="374"/>
      <c r="BF62" s="375"/>
      <c r="BG62" s="376"/>
      <c r="BH62" s="374"/>
      <c r="BI62" s="377"/>
      <c r="BJ62" s="25"/>
      <c r="BK62" s="25"/>
    </row>
    <row r="63" ht="15.75" customHeight="1">
      <c r="A63" s="441">
        <v>34.0</v>
      </c>
      <c r="B63" s="448"/>
      <c r="C63" s="383"/>
      <c r="D63" s="449"/>
      <c r="E63" s="365"/>
      <c r="F63" s="365"/>
      <c r="G63" s="365"/>
      <c r="H63" s="365"/>
      <c r="I63" s="365"/>
      <c r="J63" s="365"/>
      <c r="K63" s="365"/>
      <c r="L63" s="365"/>
      <c r="M63" s="365"/>
      <c r="N63" s="365"/>
      <c r="O63" s="365"/>
      <c r="P63" s="365"/>
      <c r="Q63" s="365"/>
      <c r="R63" s="365"/>
      <c r="S63" s="365"/>
      <c r="T63" s="365"/>
      <c r="U63" s="365"/>
      <c r="V63" s="365"/>
      <c r="W63" s="365"/>
      <c r="X63" s="366"/>
      <c r="Y63" s="367"/>
      <c r="Z63" s="365"/>
      <c r="AA63" s="365"/>
      <c r="AB63" s="365"/>
      <c r="AC63" s="365"/>
      <c r="AD63" s="365"/>
      <c r="AE63" s="365"/>
      <c r="AF63" s="365"/>
      <c r="AG63" s="365"/>
      <c r="AH63" s="365"/>
      <c r="AI63" s="365"/>
      <c r="AJ63" s="365"/>
      <c r="AK63" s="365"/>
      <c r="AL63" s="365"/>
      <c r="AM63" s="365"/>
      <c r="AN63" s="365"/>
      <c r="AO63" s="365"/>
      <c r="AP63" s="365"/>
      <c r="AQ63" s="365"/>
      <c r="AR63" s="365"/>
      <c r="AS63" s="365"/>
      <c r="AT63" s="365"/>
      <c r="AU63" s="368"/>
      <c r="AV63" s="369"/>
      <c r="AW63" s="385"/>
      <c r="AX63" s="385"/>
      <c r="AY63" s="385"/>
      <c r="AZ63" s="385"/>
      <c r="BA63" s="371"/>
      <c r="BB63" s="372"/>
      <c r="BC63" s="373"/>
      <c r="BD63" s="374"/>
      <c r="BE63" s="374"/>
      <c r="BF63" s="375"/>
      <c r="BG63" s="376"/>
      <c r="BH63" s="374"/>
      <c r="BI63" s="377"/>
      <c r="BJ63" s="25"/>
      <c r="BK63" s="25"/>
    </row>
    <row r="64" ht="15.75" customHeight="1">
      <c r="A64" s="441">
        <v>35.0</v>
      </c>
      <c r="B64" s="448"/>
      <c r="C64" s="383"/>
      <c r="D64" s="449"/>
      <c r="E64" s="365"/>
      <c r="F64" s="365"/>
      <c r="G64" s="365"/>
      <c r="H64" s="365"/>
      <c r="I64" s="365"/>
      <c r="J64" s="365"/>
      <c r="K64" s="365"/>
      <c r="L64" s="365"/>
      <c r="M64" s="365"/>
      <c r="N64" s="365"/>
      <c r="O64" s="365"/>
      <c r="P64" s="365"/>
      <c r="Q64" s="365"/>
      <c r="R64" s="365"/>
      <c r="S64" s="365"/>
      <c r="T64" s="365"/>
      <c r="U64" s="365"/>
      <c r="V64" s="365"/>
      <c r="W64" s="365"/>
      <c r="X64" s="366"/>
      <c r="Y64" s="367"/>
      <c r="Z64" s="365"/>
      <c r="AA64" s="365"/>
      <c r="AB64" s="365"/>
      <c r="AC64" s="365"/>
      <c r="AD64" s="365"/>
      <c r="AE64" s="365"/>
      <c r="AF64" s="365"/>
      <c r="AG64" s="365"/>
      <c r="AH64" s="365"/>
      <c r="AI64" s="365"/>
      <c r="AJ64" s="365"/>
      <c r="AK64" s="365"/>
      <c r="AL64" s="365"/>
      <c r="AM64" s="365"/>
      <c r="AN64" s="365"/>
      <c r="AO64" s="365"/>
      <c r="AP64" s="365"/>
      <c r="AQ64" s="365"/>
      <c r="AR64" s="365"/>
      <c r="AS64" s="365"/>
      <c r="AT64" s="365"/>
      <c r="AU64" s="368"/>
      <c r="AV64" s="369"/>
      <c r="AW64" s="385"/>
      <c r="AX64" s="385"/>
      <c r="AY64" s="385"/>
      <c r="AZ64" s="385"/>
      <c r="BA64" s="371"/>
      <c r="BB64" s="372"/>
      <c r="BC64" s="373"/>
      <c r="BD64" s="374"/>
      <c r="BE64" s="374"/>
      <c r="BF64" s="375"/>
      <c r="BG64" s="376"/>
      <c r="BH64" s="374"/>
      <c r="BI64" s="377"/>
      <c r="BJ64" s="25"/>
      <c r="BK64" s="25"/>
    </row>
    <row r="65" ht="15.75" customHeight="1">
      <c r="A65" s="441">
        <v>36.0</v>
      </c>
      <c r="B65" s="448"/>
      <c r="C65" s="383"/>
      <c r="D65" s="449"/>
      <c r="E65" s="365"/>
      <c r="F65" s="365"/>
      <c r="G65" s="365"/>
      <c r="H65" s="365"/>
      <c r="I65" s="365"/>
      <c r="J65" s="365"/>
      <c r="K65" s="365"/>
      <c r="L65" s="365"/>
      <c r="M65" s="365"/>
      <c r="N65" s="365"/>
      <c r="O65" s="365"/>
      <c r="P65" s="365"/>
      <c r="Q65" s="365"/>
      <c r="R65" s="365"/>
      <c r="S65" s="365"/>
      <c r="T65" s="365"/>
      <c r="U65" s="365"/>
      <c r="V65" s="365"/>
      <c r="W65" s="365"/>
      <c r="X65" s="366"/>
      <c r="Y65" s="367"/>
      <c r="Z65" s="365"/>
      <c r="AA65" s="365"/>
      <c r="AB65" s="365"/>
      <c r="AC65" s="365"/>
      <c r="AD65" s="365"/>
      <c r="AE65" s="365"/>
      <c r="AF65" s="365"/>
      <c r="AG65" s="365"/>
      <c r="AH65" s="365"/>
      <c r="AI65" s="365"/>
      <c r="AJ65" s="365"/>
      <c r="AK65" s="365"/>
      <c r="AL65" s="365"/>
      <c r="AM65" s="365"/>
      <c r="AN65" s="365"/>
      <c r="AO65" s="365"/>
      <c r="AP65" s="365"/>
      <c r="AQ65" s="365"/>
      <c r="AR65" s="365"/>
      <c r="AS65" s="365"/>
      <c r="AT65" s="365"/>
      <c r="AU65" s="368"/>
      <c r="AV65" s="369"/>
      <c r="AW65" s="385"/>
      <c r="AX65" s="385"/>
      <c r="AY65" s="385"/>
      <c r="AZ65" s="385"/>
      <c r="BA65" s="371"/>
      <c r="BB65" s="372"/>
      <c r="BC65" s="373"/>
      <c r="BD65" s="374"/>
      <c r="BE65" s="374"/>
      <c r="BF65" s="375"/>
      <c r="BG65" s="376"/>
      <c r="BH65" s="374"/>
      <c r="BI65" s="377"/>
      <c r="BJ65" s="25"/>
      <c r="BK65" s="25"/>
    </row>
    <row r="66" ht="15.75" customHeight="1">
      <c r="A66" s="441">
        <v>37.0</v>
      </c>
      <c r="B66" s="448"/>
      <c r="C66" s="383"/>
      <c r="D66" s="449"/>
      <c r="E66" s="365"/>
      <c r="F66" s="365"/>
      <c r="G66" s="365"/>
      <c r="H66" s="365"/>
      <c r="I66" s="365"/>
      <c r="J66" s="365"/>
      <c r="K66" s="365"/>
      <c r="L66" s="365"/>
      <c r="M66" s="365"/>
      <c r="N66" s="365"/>
      <c r="O66" s="365"/>
      <c r="P66" s="365"/>
      <c r="Q66" s="365"/>
      <c r="R66" s="365"/>
      <c r="S66" s="365"/>
      <c r="T66" s="365"/>
      <c r="U66" s="365"/>
      <c r="V66" s="365"/>
      <c r="W66" s="365"/>
      <c r="X66" s="366"/>
      <c r="Y66" s="367"/>
      <c r="Z66" s="365"/>
      <c r="AA66" s="365"/>
      <c r="AB66" s="365"/>
      <c r="AC66" s="365"/>
      <c r="AD66" s="365"/>
      <c r="AE66" s="365"/>
      <c r="AF66" s="365"/>
      <c r="AG66" s="365"/>
      <c r="AH66" s="365"/>
      <c r="AI66" s="365"/>
      <c r="AJ66" s="365"/>
      <c r="AK66" s="365"/>
      <c r="AL66" s="365"/>
      <c r="AM66" s="365"/>
      <c r="AN66" s="365"/>
      <c r="AO66" s="365"/>
      <c r="AP66" s="365"/>
      <c r="AQ66" s="365"/>
      <c r="AR66" s="365"/>
      <c r="AS66" s="365"/>
      <c r="AT66" s="365"/>
      <c r="AU66" s="368"/>
      <c r="AV66" s="369"/>
      <c r="AW66" s="385"/>
      <c r="AX66" s="385"/>
      <c r="AY66" s="385"/>
      <c r="AZ66" s="385"/>
      <c r="BA66" s="371"/>
      <c r="BB66" s="372"/>
      <c r="BC66" s="373"/>
      <c r="BD66" s="374"/>
      <c r="BE66" s="374"/>
      <c r="BF66" s="375"/>
      <c r="BG66" s="376"/>
      <c r="BH66" s="374"/>
      <c r="BI66" s="377"/>
      <c r="BJ66" s="25"/>
      <c r="BK66" s="25"/>
    </row>
    <row r="67" ht="15.75" customHeight="1">
      <c r="A67" s="441">
        <v>38.0</v>
      </c>
      <c r="B67" s="448"/>
      <c r="C67" s="383"/>
      <c r="D67" s="449"/>
      <c r="E67" s="365"/>
      <c r="F67" s="365"/>
      <c r="G67" s="365"/>
      <c r="H67" s="365"/>
      <c r="I67" s="365"/>
      <c r="J67" s="365"/>
      <c r="K67" s="365"/>
      <c r="L67" s="365"/>
      <c r="M67" s="365"/>
      <c r="N67" s="365"/>
      <c r="O67" s="365"/>
      <c r="P67" s="365"/>
      <c r="Q67" s="365"/>
      <c r="R67" s="365"/>
      <c r="S67" s="365"/>
      <c r="T67" s="365"/>
      <c r="U67" s="365"/>
      <c r="V67" s="365"/>
      <c r="W67" s="365"/>
      <c r="X67" s="366"/>
      <c r="Y67" s="367"/>
      <c r="Z67" s="365"/>
      <c r="AA67" s="365"/>
      <c r="AB67" s="365"/>
      <c r="AC67" s="365"/>
      <c r="AD67" s="365"/>
      <c r="AE67" s="365"/>
      <c r="AF67" s="365"/>
      <c r="AG67" s="365"/>
      <c r="AH67" s="365"/>
      <c r="AI67" s="365"/>
      <c r="AJ67" s="365"/>
      <c r="AK67" s="365"/>
      <c r="AL67" s="365"/>
      <c r="AM67" s="365"/>
      <c r="AN67" s="365"/>
      <c r="AO67" s="365"/>
      <c r="AP67" s="365"/>
      <c r="AQ67" s="365"/>
      <c r="AR67" s="365"/>
      <c r="AS67" s="365"/>
      <c r="AT67" s="365"/>
      <c r="AU67" s="368"/>
      <c r="AV67" s="369"/>
      <c r="AW67" s="385"/>
      <c r="AX67" s="385"/>
      <c r="AY67" s="385"/>
      <c r="AZ67" s="385"/>
      <c r="BA67" s="371"/>
      <c r="BB67" s="372"/>
      <c r="BC67" s="373"/>
      <c r="BD67" s="374"/>
      <c r="BE67" s="374"/>
      <c r="BF67" s="375"/>
      <c r="BG67" s="376"/>
      <c r="BH67" s="374"/>
      <c r="BI67" s="377"/>
      <c r="BJ67" s="25"/>
      <c r="BK67" s="25"/>
    </row>
    <row r="68" ht="15.75" customHeight="1">
      <c r="A68" s="441">
        <v>39.0</v>
      </c>
      <c r="B68" s="448"/>
      <c r="C68" s="383"/>
      <c r="D68" s="449"/>
      <c r="E68" s="365"/>
      <c r="F68" s="365"/>
      <c r="G68" s="365"/>
      <c r="H68" s="365"/>
      <c r="I68" s="365"/>
      <c r="J68" s="365"/>
      <c r="K68" s="365"/>
      <c r="L68" s="365"/>
      <c r="M68" s="365"/>
      <c r="N68" s="365"/>
      <c r="O68" s="365"/>
      <c r="P68" s="365"/>
      <c r="Q68" s="365"/>
      <c r="R68" s="365"/>
      <c r="S68" s="365"/>
      <c r="T68" s="365"/>
      <c r="U68" s="365"/>
      <c r="V68" s="365"/>
      <c r="W68" s="365"/>
      <c r="X68" s="366"/>
      <c r="Y68" s="367"/>
      <c r="Z68" s="365"/>
      <c r="AA68" s="365"/>
      <c r="AB68" s="365"/>
      <c r="AC68" s="365"/>
      <c r="AD68" s="365"/>
      <c r="AE68" s="365"/>
      <c r="AF68" s="365"/>
      <c r="AG68" s="365"/>
      <c r="AH68" s="365"/>
      <c r="AI68" s="365"/>
      <c r="AJ68" s="365"/>
      <c r="AK68" s="365"/>
      <c r="AL68" s="365"/>
      <c r="AM68" s="365"/>
      <c r="AN68" s="365"/>
      <c r="AO68" s="365"/>
      <c r="AP68" s="365"/>
      <c r="AQ68" s="365"/>
      <c r="AR68" s="365"/>
      <c r="AS68" s="365"/>
      <c r="AT68" s="365"/>
      <c r="AU68" s="368"/>
      <c r="AV68" s="369"/>
      <c r="AW68" s="385"/>
      <c r="AX68" s="385"/>
      <c r="AY68" s="385"/>
      <c r="AZ68" s="385"/>
      <c r="BA68" s="371"/>
      <c r="BB68" s="372"/>
      <c r="BC68" s="373"/>
      <c r="BD68" s="374"/>
      <c r="BE68" s="374"/>
      <c r="BF68" s="375"/>
      <c r="BG68" s="376"/>
      <c r="BH68" s="374"/>
      <c r="BI68" s="377"/>
      <c r="BJ68" s="25"/>
      <c r="BK68" s="25"/>
    </row>
    <row r="69" ht="15.75" customHeight="1">
      <c r="A69" s="441">
        <v>40.0</v>
      </c>
      <c r="B69" s="448"/>
      <c r="C69" s="383"/>
      <c r="D69" s="449"/>
      <c r="E69" s="365"/>
      <c r="F69" s="365"/>
      <c r="G69" s="365"/>
      <c r="H69" s="365"/>
      <c r="I69" s="365"/>
      <c r="J69" s="365"/>
      <c r="K69" s="365"/>
      <c r="L69" s="365"/>
      <c r="M69" s="365"/>
      <c r="N69" s="365"/>
      <c r="O69" s="365"/>
      <c r="P69" s="365"/>
      <c r="Q69" s="365"/>
      <c r="R69" s="365"/>
      <c r="S69" s="365"/>
      <c r="T69" s="365"/>
      <c r="U69" s="365"/>
      <c r="V69" s="365"/>
      <c r="W69" s="365"/>
      <c r="X69" s="366"/>
      <c r="Y69" s="367"/>
      <c r="Z69" s="365"/>
      <c r="AA69" s="365"/>
      <c r="AB69" s="365"/>
      <c r="AC69" s="365"/>
      <c r="AD69" s="365"/>
      <c r="AE69" s="365"/>
      <c r="AF69" s="365"/>
      <c r="AG69" s="365"/>
      <c r="AH69" s="365"/>
      <c r="AI69" s="365"/>
      <c r="AJ69" s="365"/>
      <c r="AK69" s="365"/>
      <c r="AL69" s="365"/>
      <c r="AM69" s="365"/>
      <c r="AN69" s="365"/>
      <c r="AO69" s="365"/>
      <c r="AP69" s="365"/>
      <c r="AQ69" s="365"/>
      <c r="AR69" s="365"/>
      <c r="AS69" s="365"/>
      <c r="AT69" s="365"/>
      <c r="AU69" s="368"/>
      <c r="AV69" s="369"/>
      <c r="AW69" s="385"/>
      <c r="AX69" s="385"/>
      <c r="AY69" s="385"/>
      <c r="AZ69" s="385"/>
      <c r="BA69" s="371"/>
      <c r="BB69" s="372"/>
      <c r="BC69" s="373"/>
      <c r="BD69" s="374"/>
      <c r="BE69" s="374"/>
      <c r="BF69" s="375"/>
      <c r="BG69" s="376"/>
      <c r="BH69" s="374"/>
      <c r="BI69" s="377"/>
      <c r="BJ69" s="25"/>
      <c r="BK69" s="25"/>
    </row>
    <row r="70" ht="15.75" customHeight="1">
      <c r="A70" s="442" t="s">
        <v>202</v>
      </c>
      <c r="B70" s="29"/>
      <c r="C70" s="41"/>
      <c r="D70" s="387">
        <f>COUNTIF(D30:D69,"D")</f>
        <v>4</v>
      </c>
      <c r="E70" s="387">
        <f>COUNTIF(E30:E69,"C")</f>
        <v>6</v>
      </c>
      <c r="F70" s="387">
        <f>COUNTIF(F30:F69,"D")</f>
        <v>3</v>
      </c>
      <c r="G70" s="387">
        <f>COUNTIF(G30:G69,"A")</f>
        <v>5</v>
      </c>
      <c r="H70" s="387">
        <f>COUNTIF(H30:H69,"B")</f>
        <v>14</v>
      </c>
      <c r="I70" s="387">
        <f>COUNTIF(I30:I69,"A")</f>
        <v>10</v>
      </c>
      <c r="J70" s="387">
        <f>COUNTIF(J30:J69,"C")</f>
        <v>3</v>
      </c>
      <c r="K70" s="387">
        <f t="shared" ref="K70:L70" si="9">COUNTIF(K30:K69,"D")</f>
        <v>3</v>
      </c>
      <c r="L70" s="387">
        <f t="shared" si="9"/>
        <v>2</v>
      </c>
      <c r="M70" s="387">
        <f>COUNTIF(M30:M69,"C")</f>
        <v>7</v>
      </c>
      <c r="N70" s="387">
        <f>COUNTIF(N30:N69,"B")</f>
        <v>1</v>
      </c>
      <c r="O70" s="387">
        <f>COUNTIF(O30:O69,"C")</f>
        <v>5</v>
      </c>
      <c r="P70" s="387">
        <f>COUNTIF(P30:P69,"B")</f>
        <v>6</v>
      </c>
      <c r="Q70" s="387">
        <f>COUNTIF(Q30:Q69,"C")</f>
        <v>7</v>
      </c>
      <c r="R70" s="387">
        <f>COUNTIF(R30:R69,"B")</f>
        <v>9</v>
      </c>
      <c r="S70" s="387">
        <f>COUNTIF(S30:S69,"D")</f>
        <v>3</v>
      </c>
      <c r="T70" s="387">
        <f t="shared" ref="T70:U70" si="10">COUNTIF(T30:T69,"C")</f>
        <v>2</v>
      </c>
      <c r="U70" s="387">
        <f t="shared" si="10"/>
        <v>2</v>
      </c>
      <c r="V70" s="387">
        <f t="shared" ref="V70:W70" si="11">COUNTIF(V30:V69,"A")</f>
        <v>3</v>
      </c>
      <c r="W70" s="387">
        <f t="shared" si="11"/>
        <v>4</v>
      </c>
      <c r="X70" s="388">
        <f>COUNTIF(X30:X69,"B")</f>
        <v>9</v>
      </c>
      <c r="Y70" s="389">
        <f>COUNTIF(Y30:Y69,"C")</f>
        <v>10</v>
      </c>
      <c r="Z70" s="390">
        <f>COUNTIF(Z30:Z69,"A")</f>
        <v>3</v>
      </c>
      <c r="AA70" s="390">
        <f>COUNTIF(AA30:AA69,"B")</f>
        <v>15</v>
      </c>
      <c r="AB70" s="390">
        <f>COUNTIF(AB30:AB69,"D")</f>
        <v>6</v>
      </c>
      <c r="AC70" s="390">
        <f>COUNTIF(AC30:AC69,"A")</f>
        <v>5</v>
      </c>
      <c r="AD70" s="390">
        <f>COUNTIF(AD30:AD69,"D")</f>
        <v>11</v>
      </c>
      <c r="AE70" s="390">
        <f>COUNTIF(AE30:AE69,"B")</f>
        <v>8</v>
      </c>
      <c r="AF70" s="390">
        <f>COUNTIF(AF30:AF69,"C")</f>
        <v>3</v>
      </c>
      <c r="AG70" s="390">
        <f>COUNTIF(AG30:AG69,"A")</f>
        <v>3</v>
      </c>
      <c r="AH70" s="390">
        <f>COUNTIF(AH30:AH69,"C")</f>
        <v>7</v>
      </c>
      <c r="AI70" s="390">
        <f>COUNTIF(AI30:AI69,"B")</f>
        <v>2</v>
      </c>
      <c r="AJ70" s="390">
        <f>COUNTIF(AJ30:AJ69,"C")</f>
        <v>0</v>
      </c>
      <c r="AK70" s="390">
        <f>COUNTIF(AK30:AK69,"A")</f>
        <v>4</v>
      </c>
      <c r="AL70" s="390">
        <f t="shared" ref="AL70:AM70" si="12">COUNTIF(AL30:AL69,"D")</f>
        <v>1</v>
      </c>
      <c r="AM70" s="390">
        <f t="shared" si="12"/>
        <v>2</v>
      </c>
      <c r="AN70" s="390">
        <f t="shared" ref="AN70:AO70" si="13">COUNTIF(AN30:AN69,"C")</f>
        <v>2</v>
      </c>
      <c r="AO70" s="390">
        <f t="shared" si="13"/>
        <v>2</v>
      </c>
      <c r="AP70" s="390">
        <f>COUNTIF(AP30:AP69,"A")</f>
        <v>5</v>
      </c>
      <c r="AQ70" s="390">
        <f>COUNTIF(AQ30:AQ69,"D")</f>
        <v>3</v>
      </c>
      <c r="AR70" s="390">
        <f>COUNTIF(AR30:AR69,"B")</f>
        <v>8</v>
      </c>
      <c r="AS70" s="390">
        <f>COUNTIF(AS30:AS69,"D")</f>
        <v>6</v>
      </c>
      <c r="AT70" s="390">
        <f>COUNTIF(AT30:AT69,"A")</f>
        <v>8</v>
      </c>
      <c r="AU70" s="368"/>
      <c r="AV70" s="368"/>
      <c r="AW70" s="368"/>
      <c r="AX70" s="368"/>
      <c r="AY70" s="368"/>
      <c r="AZ70" s="368"/>
      <c r="BA70" s="368"/>
      <c r="BB70" s="368"/>
      <c r="BC70" s="368"/>
      <c r="BD70" s="368"/>
      <c r="BE70" s="368"/>
      <c r="BF70" s="368"/>
      <c r="BG70" s="368"/>
      <c r="BH70" s="368"/>
      <c r="BI70" s="368"/>
    </row>
    <row r="71" ht="64.5" customHeight="1">
      <c r="AU71" s="88"/>
    </row>
    <row r="72" ht="12.0" customHeight="1">
      <c r="A72" s="89"/>
      <c r="B72" s="90"/>
      <c r="C72" s="90"/>
      <c r="D72" s="391" t="s">
        <v>51</v>
      </c>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c r="AE72" s="392"/>
      <c r="AF72" s="392"/>
      <c r="AG72" s="392"/>
      <c r="AH72" s="392"/>
      <c r="AI72" s="393"/>
      <c r="AJ72" s="93"/>
      <c r="AK72" s="394" t="s">
        <v>87</v>
      </c>
      <c r="AL72" s="395"/>
      <c r="AM72" s="395"/>
      <c r="AN72" s="395"/>
      <c r="AO72" s="395"/>
      <c r="AP72" s="395"/>
      <c r="AQ72" s="395"/>
      <c r="AR72" s="395"/>
      <c r="AS72" s="395"/>
      <c r="AT72" s="396"/>
    </row>
    <row r="73" ht="12.0" customHeight="1">
      <c r="A73" s="94"/>
      <c r="B73" s="95"/>
      <c r="C73" s="95"/>
      <c r="D73" s="397" t="s">
        <v>52</v>
      </c>
      <c r="E73" s="14"/>
      <c r="F73" s="398" t="s">
        <v>53</v>
      </c>
      <c r="G73" s="399" t="s">
        <v>54</v>
      </c>
      <c r="H73" s="400" t="s">
        <v>55</v>
      </c>
      <c r="AI73" s="14"/>
      <c r="AJ73" s="101"/>
      <c r="AK73" s="401"/>
      <c r="AL73" s="402"/>
      <c r="AM73" s="402"/>
      <c r="AN73" s="402"/>
      <c r="AO73" s="402"/>
      <c r="AP73" s="402"/>
      <c r="AQ73" s="402"/>
      <c r="AR73" s="402"/>
      <c r="AS73" s="402"/>
      <c r="AT73" s="403"/>
    </row>
    <row r="74">
      <c r="A74" s="94"/>
      <c r="B74" s="95"/>
      <c r="C74" s="95"/>
      <c r="D74" s="102"/>
      <c r="E74" s="24"/>
      <c r="F74" s="65"/>
      <c r="G74" s="65"/>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4"/>
      <c r="AJ74" s="101"/>
      <c r="AK74" s="404"/>
      <c r="AL74" s="405"/>
      <c r="AM74" s="406" t="s">
        <v>10</v>
      </c>
      <c r="AN74" s="407" t="s">
        <v>44</v>
      </c>
      <c r="AO74" s="408" t="s">
        <v>10</v>
      </c>
      <c r="AP74" s="409" t="s">
        <v>42</v>
      </c>
      <c r="AQ74" s="408" t="s">
        <v>10</v>
      </c>
      <c r="AR74" s="409" t="s">
        <v>41</v>
      </c>
      <c r="AS74" s="408" t="s">
        <v>10</v>
      </c>
      <c r="AT74" s="409" t="s">
        <v>43</v>
      </c>
    </row>
    <row r="75">
      <c r="A75" s="94"/>
      <c r="B75" s="95"/>
      <c r="C75" s="103"/>
      <c r="D75" s="104" t="s">
        <v>16</v>
      </c>
      <c r="E75" s="105">
        <v>1.0</v>
      </c>
      <c r="F75" s="106">
        <f>D70</f>
        <v>4</v>
      </c>
      <c r="G75" s="107">
        <f t="shared" ref="G75:G117" si="14">SUM(F75/C$18*100)</f>
        <v>13.33333333</v>
      </c>
      <c r="H75" s="108" t="s">
        <v>56</v>
      </c>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10"/>
      <c r="AJ75" s="111"/>
      <c r="AK75" s="156" t="s">
        <v>16</v>
      </c>
      <c r="AL75" s="112">
        <v>1.0</v>
      </c>
      <c r="AM75" s="113">
        <f>COUNTIF(D30:D69,"A")</f>
        <v>5</v>
      </c>
      <c r="AN75" s="410">
        <f>SUM(AM75/C18*100)</f>
        <v>16.66666667</v>
      </c>
      <c r="AO75" s="208">
        <f>COUNTIF(D30:D69,"B")</f>
        <v>9</v>
      </c>
      <c r="AP75" s="410">
        <f>SUM(AO75/C18*100)</f>
        <v>30</v>
      </c>
      <c r="AQ75" s="208">
        <f>COUNTIF(D30:D69,"C")</f>
        <v>9</v>
      </c>
      <c r="AR75" s="410">
        <f>SUM(AQ75/C18*100)</f>
        <v>30</v>
      </c>
      <c r="AS75" s="208">
        <f>COUNTIF(D30:D69,"D")</f>
        <v>4</v>
      </c>
      <c r="AT75" s="411">
        <f>SUM(AS75/C18*100)</f>
        <v>13.33333333</v>
      </c>
    </row>
    <row r="76">
      <c r="A76" s="94"/>
      <c r="B76" s="95"/>
      <c r="C76" s="103"/>
      <c r="D76" s="47"/>
      <c r="E76" s="112">
        <v>2.0</v>
      </c>
      <c r="F76" s="113">
        <f>E70</f>
        <v>6</v>
      </c>
      <c r="G76" s="107">
        <f t="shared" si="14"/>
        <v>20</v>
      </c>
      <c r="H76" s="108" t="s">
        <v>57</v>
      </c>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10"/>
      <c r="AJ76" s="111"/>
      <c r="AL76" s="112">
        <v>2.0</v>
      </c>
      <c r="AM76" s="113">
        <f>COUNTIF(E30:E69,"A")</f>
        <v>6</v>
      </c>
      <c r="AN76" s="410">
        <f>SUM(AM76/C18*100)</f>
        <v>20</v>
      </c>
      <c r="AO76" s="208">
        <f>COUNTIF(E30:E69,"B")</f>
        <v>10</v>
      </c>
      <c r="AP76" s="410">
        <f>SUM(AO76/C18*100)</f>
        <v>33.33333333</v>
      </c>
      <c r="AQ76" s="208">
        <f>COUNTIF(E30:E69,"C")</f>
        <v>6</v>
      </c>
      <c r="AR76" s="410">
        <f>SUM(AQ76/C18*100)</f>
        <v>20</v>
      </c>
      <c r="AS76" s="208">
        <f>COUNTIF(E30:E69,"D")</f>
        <v>5</v>
      </c>
      <c r="AT76" s="411">
        <f>SUM(AS76/C18*100)</f>
        <v>16.66666667</v>
      </c>
    </row>
    <row r="77">
      <c r="A77" s="94"/>
      <c r="B77" s="95"/>
      <c r="C77" s="103"/>
      <c r="D77" s="47"/>
      <c r="E77" s="112">
        <v>3.0</v>
      </c>
      <c r="F77" s="114">
        <f>F70</f>
        <v>3</v>
      </c>
      <c r="G77" s="107">
        <f t="shared" si="14"/>
        <v>10</v>
      </c>
      <c r="H77" s="108" t="s">
        <v>58</v>
      </c>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10"/>
      <c r="AJ77" s="111"/>
      <c r="AL77" s="112">
        <v>3.0</v>
      </c>
      <c r="AM77" s="113">
        <f>COUNTIF(F30:F69,"A")</f>
        <v>7</v>
      </c>
      <c r="AN77" s="410">
        <f>SUM(AM77/C18*100)</f>
        <v>23.33333333</v>
      </c>
      <c r="AO77" s="208">
        <f>COUNTIF(F30:F69,"B")</f>
        <v>5</v>
      </c>
      <c r="AP77" s="410">
        <f>SUM(AO77/C18*100)</f>
        <v>16.66666667</v>
      </c>
      <c r="AQ77" s="208">
        <f>COUNTIF(F30:F69,"C")</f>
        <v>12</v>
      </c>
      <c r="AR77" s="410">
        <f>SUM(AQ77/C18*100)</f>
        <v>40</v>
      </c>
      <c r="AS77" s="208">
        <f>COUNTIF(F30:F69,"D")</f>
        <v>3</v>
      </c>
      <c r="AT77" s="411">
        <f>SUM(AS77/C18*100)</f>
        <v>10</v>
      </c>
    </row>
    <row r="78">
      <c r="A78" s="94"/>
      <c r="B78" s="95"/>
      <c r="C78" s="103"/>
      <c r="D78" s="47"/>
      <c r="E78" s="112">
        <v>4.0</v>
      </c>
      <c r="F78" s="113">
        <f>G70</f>
        <v>5</v>
      </c>
      <c r="G78" s="107">
        <f t="shared" si="14"/>
        <v>16.66666667</v>
      </c>
      <c r="H78" s="412" t="s">
        <v>57</v>
      </c>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10"/>
      <c r="AJ78" s="111"/>
      <c r="AL78" s="112">
        <v>4.0</v>
      </c>
      <c r="AM78" s="113">
        <f>COUNTIF(G30:G69,"A")</f>
        <v>5</v>
      </c>
      <c r="AN78" s="410">
        <f>SUM(AM78/C18*100)</f>
        <v>16.66666667</v>
      </c>
      <c r="AO78" s="208">
        <f>COUNTIF(G30:G69,"B")</f>
        <v>13</v>
      </c>
      <c r="AP78" s="410">
        <f>SUM(AO78/C18*100)</f>
        <v>43.33333333</v>
      </c>
      <c r="AQ78" s="208">
        <f>COUNTIF(G30:G69,"C")</f>
        <v>4</v>
      </c>
      <c r="AR78" s="410">
        <f>SUM(AQ78/C18*100)</f>
        <v>13.33333333</v>
      </c>
      <c r="AS78" s="208">
        <f>COUNTIF(G30:G69,"D")</f>
        <v>5</v>
      </c>
      <c r="AT78" s="411">
        <f>SUM(AS78/C18*100)</f>
        <v>16.66666667</v>
      </c>
    </row>
    <row r="79">
      <c r="A79" s="94"/>
      <c r="B79" s="95"/>
      <c r="C79" s="103"/>
      <c r="D79" s="47"/>
      <c r="E79" s="112">
        <v>5.0</v>
      </c>
      <c r="F79" s="113">
        <f>H70</f>
        <v>14</v>
      </c>
      <c r="G79" s="107">
        <f t="shared" si="14"/>
        <v>46.66666667</v>
      </c>
      <c r="H79" s="412" t="s">
        <v>59</v>
      </c>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10"/>
      <c r="AJ79" s="111"/>
      <c r="AL79" s="112">
        <v>5.0</v>
      </c>
      <c r="AM79" s="113">
        <f>COUNTIF(H30:H69,"A")</f>
        <v>8</v>
      </c>
      <c r="AN79" s="410">
        <f>SUM(AM79/C18*100)</f>
        <v>26.66666667</v>
      </c>
      <c r="AO79" s="208">
        <f>COUNTIF(H30:H69,"B")</f>
        <v>14</v>
      </c>
      <c r="AP79" s="410">
        <f>SUM(AO79/C18*100)</f>
        <v>46.66666667</v>
      </c>
      <c r="AQ79" s="208">
        <f>COUNTIF(H30:H69,"C")</f>
        <v>3</v>
      </c>
      <c r="AR79" s="410">
        <f>SUM(AQ79/C18*100)</f>
        <v>10</v>
      </c>
      <c r="AS79" s="208">
        <f>COUNTIF(H30:H69,"D")</f>
        <v>2</v>
      </c>
      <c r="AT79" s="411">
        <f>SUM(AS79/C18*100)</f>
        <v>6.666666667</v>
      </c>
    </row>
    <row r="80">
      <c r="A80" s="94"/>
      <c r="B80" s="95"/>
      <c r="C80" s="103"/>
      <c r="D80" s="47"/>
      <c r="E80" s="112">
        <v>6.0</v>
      </c>
      <c r="F80" s="113">
        <f>I70</f>
        <v>10</v>
      </c>
      <c r="G80" s="107">
        <f t="shared" si="14"/>
        <v>33.33333333</v>
      </c>
      <c r="H80" s="412" t="s">
        <v>57</v>
      </c>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10"/>
      <c r="AJ80" s="111"/>
      <c r="AL80" s="112">
        <v>6.0</v>
      </c>
      <c r="AM80" s="113">
        <f>COUNTIF(I30:I69,"A")</f>
        <v>10</v>
      </c>
      <c r="AN80" s="410">
        <f>SUM(AM80/C18*100)</f>
        <v>33.33333333</v>
      </c>
      <c r="AO80" s="208">
        <f>COUNTIF(I30:I69,"B")</f>
        <v>5</v>
      </c>
      <c r="AP80" s="410">
        <f>SUM(AO80/C18*100)</f>
        <v>16.66666667</v>
      </c>
      <c r="AQ80" s="208">
        <f>COUNTIF(I30:I69,"C")</f>
        <v>6</v>
      </c>
      <c r="AR80" s="410">
        <f>SUM(AQ80/C18*100)</f>
        <v>20</v>
      </c>
      <c r="AS80" s="208">
        <f>COUNTIF(I30:I69,"D")</f>
        <v>6</v>
      </c>
      <c r="AT80" s="411">
        <f>SUM(AS80/C18*100)</f>
        <v>20</v>
      </c>
    </row>
    <row r="81">
      <c r="A81" s="94"/>
      <c r="B81" s="95"/>
      <c r="C81" s="103"/>
      <c r="D81" s="47"/>
      <c r="E81" s="112">
        <v>7.0</v>
      </c>
      <c r="F81" s="113">
        <f>J70</f>
        <v>3</v>
      </c>
      <c r="G81" s="107">
        <f t="shared" si="14"/>
        <v>10</v>
      </c>
      <c r="H81" s="412" t="s">
        <v>60</v>
      </c>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10"/>
      <c r="AJ81" s="111"/>
      <c r="AL81" s="112">
        <v>7.0</v>
      </c>
      <c r="AM81" s="113">
        <f>COUNTIF(J30:J69,"A")</f>
        <v>11</v>
      </c>
      <c r="AN81" s="410">
        <f>SUM(AM81/C18*100)</f>
        <v>36.66666667</v>
      </c>
      <c r="AO81" s="208">
        <f>COUNTIF(J30:J69,"B")</f>
        <v>9</v>
      </c>
      <c r="AP81" s="410">
        <f>SUM(AO81/C18*100)</f>
        <v>30</v>
      </c>
      <c r="AQ81" s="208">
        <f>COUNTIF(J30:J69,"C")</f>
        <v>3</v>
      </c>
      <c r="AR81" s="410">
        <f>SUM(AQ81/C18*100)</f>
        <v>10</v>
      </c>
      <c r="AS81" s="208">
        <f>COUNTIF(J30:J69,"D")</f>
        <v>4</v>
      </c>
      <c r="AT81" s="411">
        <f>SUM(AS81/C18*100)</f>
        <v>13.33333333</v>
      </c>
    </row>
    <row r="82">
      <c r="A82" s="94"/>
      <c r="B82" s="95"/>
      <c r="C82" s="103"/>
      <c r="D82" s="47"/>
      <c r="E82" s="112">
        <v>8.0</v>
      </c>
      <c r="F82" s="113">
        <f>K70</f>
        <v>3</v>
      </c>
      <c r="G82" s="107">
        <f t="shared" si="14"/>
        <v>10</v>
      </c>
      <c r="H82" s="412" t="s">
        <v>61</v>
      </c>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10"/>
      <c r="AJ82" s="115"/>
      <c r="AL82" s="112">
        <v>8.0</v>
      </c>
      <c r="AM82" s="113">
        <f>COUNTIF(K30:K69,"A")</f>
        <v>2</v>
      </c>
      <c r="AN82" s="410">
        <f>SUM(AM82/C18*100)</f>
        <v>6.666666667</v>
      </c>
      <c r="AO82" s="208">
        <f>COUNTIF(K30:K69,"B")</f>
        <v>16</v>
      </c>
      <c r="AP82" s="410">
        <f>SUM(AO82/C18*100)</f>
        <v>53.33333333</v>
      </c>
      <c r="AQ82" s="208">
        <f>COUNTIF(K30:K69,"C")</f>
        <v>6</v>
      </c>
      <c r="AR82" s="410">
        <f>SUM(AQ82/C18*100)</f>
        <v>20</v>
      </c>
      <c r="AS82" s="208">
        <f>COUNTIF(K30:K69,"D")</f>
        <v>3</v>
      </c>
      <c r="AT82" s="411">
        <f>SUM(AS82/C18*100)</f>
        <v>10</v>
      </c>
    </row>
    <row r="83">
      <c r="A83" s="94"/>
      <c r="B83" s="95"/>
      <c r="C83" s="103"/>
      <c r="D83" s="47"/>
      <c r="E83" s="112">
        <v>9.0</v>
      </c>
      <c r="F83" s="113">
        <f>L70</f>
        <v>2</v>
      </c>
      <c r="G83" s="107">
        <f t="shared" si="14"/>
        <v>6.666666667</v>
      </c>
      <c r="H83" s="412" t="s">
        <v>62</v>
      </c>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10"/>
      <c r="AJ83" s="111"/>
      <c r="AL83" s="112">
        <v>9.0</v>
      </c>
      <c r="AM83" s="413">
        <f>COUNTIF(L30:L69,"A")</f>
        <v>17</v>
      </c>
      <c r="AN83" s="410">
        <f>SUM(AM83/C18*100)</f>
        <v>56.66666667</v>
      </c>
      <c r="AO83" s="414">
        <f>COUNTIF(L30:L69,"B")</f>
        <v>4</v>
      </c>
      <c r="AP83" s="410">
        <f>SUM(AO83/C18*100)</f>
        <v>13.33333333</v>
      </c>
      <c r="AQ83" s="414">
        <f>COUNTIF(L30:L69,"C")</f>
        <v>3</v>
      </c>
      <c r="AR83" s="410">
        <f>SUM(AQ83/C18*100)</f>
        <v>10</v>
      </c>
      <c r="AS83" s="414">
        <f>COUNTIF(L30:L69,"D")</f>
        <v>2</v>
      </c>
      <c r="AT83" s="411">
        <f>SUM(AS83/C18*100)</f>
        <v>6.666666667</v>
      </c>
    </row>
    <row r="84">
      <c r="A84" s="94"/>
      <c r="B84" s="95"/>
      <c r="C84" s="103"/>
      <c r="D84" s="47"/>
      <c r="E84" s="112">
        <v>10.0</v>
      </c>
      <c r="F84" s="113">
        <f>M70</f>
        <v>7</v>
      </c>
      <c r="G84" s="107">
        <f t="shared" si="14"/>
        <v>23.33333333</v>
      </c>
      <c r="H84" s="412" t="s">
        <v>58</v>
      </c>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10"/>
      <c r="AJ84" s="111"/>
      <c r="AL84" s="112">
        <v>10.0</v>
      </c>
      <c r="AM84" s="113">
        <f>COUNTIF(M30:M69,"A")</f>
        <v>10</v>
      </c>
      <c r="AN84" s="410">
        <f>SUM(AM84/C18*100)</f>
        <v>33.33333333</v>
      </c>
      <c r="AO84" s="208">
        <f>COUNTIF(M30:M69,"B")</f>
        <v>5</v>
      </c>
      <c r="AP84" s="410">
        <f>SUM(AO84/C18*100)</f>
        <v>16.66666667</v>
      </c>
      <c r="AQ84" s="208">
        <f>COUNTIF(M30:M69,"C")</f>
        <v>7</v>
      </c>
      <c r="AR84" s="410">
        <f>SUM(AQ84/C18*100)</f>
        <v>23.33333333</v>
      </c>
      <c r="AS84" s="208">
        <f>COUNTIF(M30:M69,"D")</f>
        <v>5</v>
      </c>
      <c r="AT84" s="411">
        <f>SUM(AS84/C18*100)</f>
        <v>16.66666667</v>
      </c>
    </row>
    <row r="85">
      <c r="A85" s="94"/>
      <c r="B85" s="95"/>
      <c r="C85" s="103"/>
      <c r="D85" s="47"/>
      <c r="E85" s="112">
        <v>11.0</v>
      </c>
      <c r="F85" s="113">
        <f>N70</f>
        <v>1</v>
      </c>
      <c r="G85" s="107">
        <f t="shared" si="14"/>
        <v>3.333333333</v>
      </c>
      <c r="H85" s="412" t="s">
        <v>63</v>
      </c>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10"/>
      <c r="AJ85" s="111"/>
      <c r="AL85" s="112">
        <v>11.0</v>
      </c>
      <c r="AM85" s="113">
        <f>COUNTIF(N30:N69,"A")</f>
        <v>7</v>
      </c>
      <c r="AN85" s="410">
        <f>SUM(AM85/C18*100)</f>
        <v>23.33333333</v>
      </c>
      <c r="AO85" s="208">
        <f>COUNTIF(N30:N69,"B")</f>
        <v>1</v>
      </c>
      <c r="AP85" s="410">
        <f>SUM(AO85/C18*100)</f>
        <v>3.333333333</v>
      </c>
      <c r="AQ85" s="208">
        <f>COUNTIF(N30:N69,"C")</f>
        <v>15</v>
      </c>
      <c r="AR85" s="410">
        <f>SUM(AQ85/C18*100)</f>
        <v>50</v>
      </c>
      <c r="AS85" s="208">
        <f>COUNTIF(N30:N69,"D")</f>
        <v>4</v>
      </c>
      <c r="AT85" s="411">
        <f>SUM(AS85/C18*100)</f>
        <v>13.33333333</v>
      </c>
    </row>
    <row r="86">
      <c r="A86" s="94"/>
      <c r="B86" s="95"/>
      <c r="C86" s="103"/>
      <c r="D86" s="47"/>
      <c r="E86" s="112">
        <v>12.0</v>
      </c>
      <c r="F86" s="113">
        <f>O70</f>
        <v>5</v>
      </c>
      <c r="G86" s="107">
        <f t="shared" si="14"/>
        <v>16.66666667</v>
      </c>
      <c r="H86" s="108" t="s">
        <v>64</v>
      </c>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10"/>
      <c r="AJ86" s="116"/>
      <c r="AL86" s="112">
        <v>12.0</v>
      </c>
      <c r="AM86" s="113">
        <f>COUNTIF(O30:O69,"A")</f>
        <v>6</v>
      </c>
      <c r="AN86" s="410">
        <f>SUM(AM86/C18*100)</f>
        <v>20</v>
      </c>
      <c r="AO86" s="208">
        <f>COUNTIF(O30:O69,"B")</f>
        <v>4</v>
      </c>
      <c r="AP86" s="410">
        <f>SUM(AO86/C18*100)</f>
        <v>13.33333333</v>
      </c>
      <c r="AQ86" s="208">
        <f>COUNTIF(O30:O69,"C")</f>
        <v>5</v>
      </c>
      <c r="AR86" s="410">
        <f>SUM(AQ86/C18*100)</f>
        <v>16.66666667</v>
      </c>
      <c r="AS86" s="208">
        <f>COUNTIF(O30:O69,"D")</f>
        <v>12</v>
      </c>
      <c r="AT86" s="411">
        <f>SUM(AS86/C18*100)</f>
        <v>40</v>
      </c>
    </row>
    <row r="87">
      <c r="A87" s="94"/>
      <c r="B87" s="95"/>
      <c r="C87" s="103"/>
      <c r="D87" s="47"/>
      <c r="E87" s="112">
        <v>13.0</v>
      </c>
      <c r="F87" s="113">
        <f>P70</f>
        <v>6</v>
      </c>
      <c r="G87" s="107">
        <f t="shared" si="14"/>
        <v>20</v>
      </c>
      <c r="H87" s="412" t="s">
        <v>63</v>
      </c>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10"/>
      <c r="AJ87" s="111"/>
      <c r="AL87" s="112">
        <v>13.0</v>
      </c>
      <c r="AM87" s="113">
        <f>COUNTIF(P30:P69,"A")</f>
        <v>13</v>
      </c>
      <c r="AN87" s="410">
        <f>SUM(AM87/C18*100)</f>
        <v>43.33333333</v>
      </c>
      <c r="AO87" s="208">
        <f>COUNTIF(P30:P69,"B")</f>
        <v>6</v>
      </c>
      <c r="AP87" s="410">
        <f>SUM(AO87/C18*100)</f>
        <v>20</v>
      </c>
      <c r="AQ87" s="208">
        <f>COUNTIF(P30:P69,"C")</f>
        <v>8</v>
      </c>
      <c r="AR87" s="410">
        <f>SUM(AQ87/C18*100)</f>
        <v>26.66666667</v>
      </c>
      <c r="AS87" s="208">
        <f>COUNTIF(P30:P69,"D")</f>
        <v>0</v>
      </c>
      <c r="AT87" s="411">
        <f>SUM(AS87/C18*100)</f>
        <v>0</v>
      </c>
    </row>
    <row r="88">
      <c r="A88" s="94"/>
      <c r="B88" s="95"/>
      <c r="C88" s="103"/>
      <c r="D88" s="47"/>
      <c r="E88" s="112">
        <v>14.0</v>
      </c>
      <c r="F88" s="113">
        <f>Q70</f>
        <v>7</v>
      </c>
      <c r="G88" s="107">
        <f t="shared" si="14"/>
        <v>23.33333333</v>
      </c>
      <c r="H88" s="108" t="s">
        <v>65</v>
      </c>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10"/>
      <c r="AJ88" s="111"/>
      <c r="AL88" s="112">
        <v>14.0</v>
      </c>
      <c r="AM88" s="113">
        <f>COUNTIF(Q30:Q69,"A")</f>
        <v>6</v>
      </c>
      <c r="AN88" s="410">
        <f>SUM(AM88/C18*100)</f>
        <v>20</v>
      </c>
      <c r="AO88" s="208">
        <f>COUNTIF(Q30:Q69,"B")</f>
        <v>12</v>
      </c>
      <c r="AP88" s="410">
        <f>SUM(AO88/C18*100)</f>
        <v>40</v>
      </c>
      <c r="AQ88" s="208">
        <f>COUNTIF(Q30:Q69,"C")</f>
        <v>7</v>
      </c>
      <c r="AR88" s="410">
        <f>SUM(AQ88/C18*100)</f>
        <v>23.33333333</v>
      </c>
      <c r="AS88" s="208">
        <f>COUNTIF(Q30:Q69,"D")</f>
        <v>2</v>
      </c>
      <c r="AT88" s="411">
        <f>SUM(AS88/C18*100)</f>
        <v>6.666666667</v>
      </c>
    </row>
    <row r="89">
      <c r="A89" s="94"/>
      <c r="B89" s="95"/>
      <c r="C89" s="103"/>
      <c r="D89" s="47"/>
      <c r="E89" s="112">
        <v>15.0</v>
      </c>
      <c r="F89" s="113">
        <f>R70</f>
        <v>9</v>
      </c>
      <c r="G89" s="107">
        <f t="shared" si="14"/>
        <v>30</v>
      </c>
      <c r="H89" s="412" t="s">
        <v>66</v>
      </c>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10"/>
      <c r="AJ89" s="111"/>
      <c r="AL89" s="112">
        <v>15.0</v>
      </c>
      <c r="AM89" s="113">
        <f>COUNTIF(R30:R69,"A")</f>
        <v>5</v>
      </c>
      <c r="AN89" s="410">
        <f>SUM(AM89/C18*100)</f>
        <v>16.66666667</v>
      </c>
      <c r="AO89" s="208">
        <f>COUNTIF(R30:R69,"B")</f>
        <v>9</v>
      </c>
      <c r="AP89" s="410">
        <f>SUM(AO89/C18*100)</f>
        <v>30</v>
      </c>
      <c r="AQ89" s="208">
        <f>COUNTIF(R30:R69,"C")</f>
        <v>9</v>
      </c>
      <c r="AR89" s="410">
        <f>SUM(AQ89/C18*100)</f>
        <v>30</v>
      </c>
      <c r="AS89" s="208">
        <f>COUNTIF(R30:R69,"D")</f>
        <v>4</v>
      </c>
      <c r="AT89" s="411">
        <f>SUM(AS89/C18*100)</f>
        <v>13.33333333</v>
      </c>
    </row>
    <row r="90">
      <c r="A90" s="94"/>
      <c r="B90" s="95"/>
      <c r="C90" s="103"/>
      <c r="D90" s="47"/>
      <c r="E90" s="112">
        <v>16.0</v>
      </c>
      <c r="F90" s="113">
        <f>S70</f>
        <v>3</v>
      </c>
      <c r="G90" s="107">
        <f t="shared" si="14"/>
        <v>10</v>
      </c>
      <c r="H90" s="412" t="s">
        <v>66</v>
      </c>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10"/>
      <c r="AJ90" s="111"/>
      <c r="AL90" s="112">
        <v>16.0</v>
      </c>
      <c r="AM90" s="113">
        <f>COUNTIF(S30:S69,"A")</f>
        <v>14</v>
      </c>
      <c r="AN90" s="410">
        <f>SUM(AM90/C18*100)</f>
        <v>46.66666667</v>
      </c>
      <c r="AO90" s="208">
        <f>COUNTIF(S30:S69,"B")</f>
        <v>2</v>
      </c>
      <c r="AP90" s="410">
        <f>SUM(AO90/C18*100)</f>
        <v>6.666666667</v>
      </c>
      <c r="AQ90" s="208">
        <f>COUNTIF(S30:S69,"C")</f>
        <v>8</v>
      </c>
      <c r="AR90" s="410">
        <f>SUM(AQ90/C18*100)</f>
        <v>26.66666667</v>
      </c>
      <c r="AS90" s="208">
        <f>COUNTIF(S30:S69,"D")</f>
        <v>3</v>
      </c>
      <c r="AT90" s="411">
        <f>SUM(AS90/C18*100)</f>
        <v>10</v>
      </c>
    </row>
    <row r="91">
      <c r="A91" s="94"/>
      <c r="B91" s="95"/>
      <c r="C91" s="103"/>
      <c r="D91" s="47"/>
      <c r="E91" s="112">
        <v>17.0</v>
      </c>
      <c r="F91" s="113">
        <f>T70</f>
        <v>2</v>
      </c>
      <c r="G91" s="107">
        <f t="shared" si="14"/>
        <v>6.666666667</v>
      </c>
      <c r="H91" s="108" t="s">
        <v>67</v>
      </c>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10"/>
      <c r="AJ91" s="111"/>
      <c r="AL91" s="112">
        <v>17.0</v>
      </c>
      <c r="AM91" s="113">
        <f>COUNTIF(T30:T69,"A")</f>
        <v>11</v>
      </c>
      <c r="AN91" s="410">
        <f>SUM(AM91/C18*100)</f>
        <v>36.66666667</v>
      </c>
      <c r="AO91" s="208">
        <f>COUNTIF(T30:T69,"B")</f>
        <v>9</v>
      </c>
      <c r="AP91" s="410">
        <f>SUM(AO91/C18*100)</f>
        <v>30</v>
      </c>
      <c r="AQ91" s="208">
        <f>COUNTIF(T30:T69,"C")</f>
        <v>2</v>
      </c>
      <c r="AR91" s="410">
        <f>SUM(AQ91/C18*100)</f>
        <v>6.666666667</v>
      </c>
      <c r="AS91" s="208">
        <f>COUNTIF(T30:T69,"D")</f>
        <v>5</v>
      </c>
      <c r="AT91" s="411">
        <f>SUM(AS91/C18*100)</f>
        <v>16.66666667</v>
      </c>
    </row>
    <row r="92">
      <c r="A92" s="94"/>
      <c r="B92" s="95"/>
      <c r="C92" s="103"/>
      <c r="D92" s="47"/>
      <c r="E92" s="112">
        <v>18.0</v>
      </c>
      <c r="F92" s="113">
        <f>U70</f>
        <v>2</v>
      </c>
      <c r="G92" s="107">
        <f t="shared" si="14"/>
        <v>6.666666667</v>
      </c>
      <c r="H92" s="412" t="s">
        <v>68</v>
      </c>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10"/>
      <c r="AJ92" s="111"/>
      <c r="AL92" s="112">
        <v>18.0</v>
      </c>
      <c r="AM92" s="113">
        <f>COUNTIF(U30:U69,"A")</f>
        <v>15</v>
      </c>
      <c r="AN92" s="410">
        <f>SUM(AM92/C18*100)</f>
        <v>50</v>
      </c>
      <c r="AO92" s="208">
        <f>COUNTIF(U30:U69,"B")</f>
        <v>8</v>
      </c>
      <c r="AP92" s="410">
        <f>SUM(AO92/C18*100)</f>
        <v>26.66666667</v>
      </c>
      <c r="AQ92" s="208">
        <f>COUNTIF(U30:U69,"C")</f>
        <v>2</v>
      </c>
      <c r="AR92" s="410">
        <f>SUM(AQ92/C18*100)</f>
        <v>6.666666667</v>
      </c>
      <c r="AS92" s="208">
        <f>COUNTIF(U30:U69,"D")</f>
        <v>2</v>
      </c>
      <c r="AT92" s="411">
        <f>SUM(AS92/C18*100)</f>
        <v>6.666666667</v>
      </c>
    </row>
    <row r="93">
      <c r="A93" s="94"/>
      <c r="B93" s="95"/>
      <c r="C93" s="103"/>
      <c r="D93" s="47"/>
      <c r="E93" s="112">
        <v>19.0</v>
      </c>
      <c r="F93" s="113">
        <f>V70</f>
        <v>3</v>
      </c>
      <c r="G93" s="107">
        <f t="shared" si="14"/>
        <v>10</v>
      </c>
      <c r="H93" s="412" t="s">
        <v>67</v>
      </c>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10"/>
      <c r="AJ93" s="111"/>
      <c r="AL93" s="112">
        <v>19.0</v>
      </c>
      <c r="AM93" s="113">
        <f>COUNTIF(V30:V69,"A")</f>
        <v>3</v>
      </c>
      <c r="AN93" s="410">
        <f>SUM(AM93/C18*100)</f>
        <v>10</v>
      </c>
      <c r="AO93" s="208">
        <f>COUNTIF(V30:V69,"B")</f>
        <v>7</v>
      </c>
      <c r="AP93" s="410">
        <f>SUM(AO93/C18*100)</f>
        <v>23.33333333</v>
      </c>
      <c r="AQ93" s="208">
        <f>COUNTIF(V30:V69,"C")</f>
        <v>10</v>
      </c>
      <c r="AR93" s="410">
        <f>SUM(AQ93/C18*100)</f>
        <v>33.33333333</v>
      </c>
      <c r="AS93" s="208">
        <f>COUNTIF(V30:V69,"D")</f>
        <v>7</v>
      </c>
      <c r="AT93" s="411">
        <f>SUM(AS93/C18*100)</f>
        <v>23.33333333</v>
      </c>
    </row>
    <row r="94">
      <c r="A94" s="94"/>
      <c r="B94" s="95"/>
      <c r="C94" s="103"/>
      <c r="D94" s="47"/>
      <c r="E94" s="112">
        <v>20.0</v>
      </c>
      <c r="F94" s="113">
        <f>W70</f>
        <v>4</v>
      </c>
      <c r="G94" s="107">
        <f t="shared" si="14"/>
        <v>13.33333333</v>
      </c>
      <c r="H94" s="412" t="s">
        <v>69</v>
      </c>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10"/>
      <c r="AJ94" s="111"/>
      <c r="AL94" s="112">
        <v>20.0</v>
      </c>
      <c r="AM94" s="113">
        <f>COUNTIF(W30:W69,"A")</f>
        <v>4</v>
      </c>
      <c r="AN94" s="410">
        <f>SUM(AM94/C18*100)</f>
        <v>13.33333333</v>
      </c>
      <c r="AO94" s="208">
        <f>COUNTIF(W30:W69,"B")</f>
        <v>8</v>
      </c>
      <c r="AP94" s="410">
        <f>SUM(AO94/C18*100)</f>
        <v>26.66666667</v>
      </c>
      <c r="AQ94" s="208">
        <f>COUNTIF(W30:W69,"C")</f>
        <v>11</v>
      </c>
      <c r="AR94" s="410">
        <f>SUM(AQ94/C18*100)</f>
        <v>36.66666667</v>
      </c>
      <c r="AS94" s="208">
        <f>COUNTIF(W30:W69,"D")</f>
        <v>4</v>
      </c>
      <c r="AT94" s="411">
        <f>SUM(AS94/C18*100)</f>
        <v>13.33333333</v>
      </c>
    </row>
    <row r="95">
      <c r="A95" s="94"/>
      <c r="B95" s="95"/>
      <c r="C95" s="103"/>
      <c r="D95" s="117"/>
      <c r="E95" s="118">
        <v>21.0</v>
      </c>
      <c r="F95" s="119">
        <f>X70</f>
        <v>9</v>
      </c>
      <c r="G95" s="120">
        <f t="shared" si="14"/>
        <v>30</v>
      </c>
      <c r="H95" s="415" t="s">
        <v>70</v>
      </c>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3"/>
      <c r="AJ95" s="111"/>
      <c r="AL95" s="112">
        <v>21.0</v>
      </c>
      <c r="AM95" s="113">
        <f>COUNTIF(X30:X69,"A")</f>
        <v>6</v>
      </c>
      <c r="AN95" s="410">
        <f>SUM(AM95/C18*100)</f>
        <v>20</v>
      </c>
      <c r="AO95" s="208">
        <f>COUNTIF(X30:X69,"B")</f>
        <v>9</v>
      </c>
      <c r="AP95" s="410">
        <f>SUM(AO95/C18*100)</f>
        <v>30</v>
      </c>
      <c r="AQ95" s="208">
        <f>COUNTIF(X30:X69,"C")</f>
        <v>4</v>
      </c>
      <c r="AR95" s="410">
        <f>SUM(AQ95/C18*100)</f>
        <v>13.33333333</v>
      </c>
      <c r="AS95" s="208">
        <f>COUNTIF(X30:X69,"D")</f>
        <v>8</v>
      </c>
      <c r="AT95" s="411">
        <f>SUM(AS95/C18*100)</f>
        <v>26.66666667</v>
      </c>
    </row>
    <row r="96">
      <c r="A96" s="94"/>
      <c r="B96" s="95"/>
      <c r="C96" s="103"/>
      <c r="D96" s="124" t="s">
        <v>17</v>
      </c>
      <c r="E96" s="125">
        <v>1.0</v>
      </c>
      <c r="F96" s="106">
        <f>Y70</f>
        <v>10</v>
      </c>
      <c r="G96" s="107">
        <f t="shared" si="14"/>
        <v>33.33333333</v>
      </c>
      <c r="H96" s="126" t="s">
        <v>71</v>
      </c>
      <c r="I96" s="416"/>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8"/>
      <c r="AJ96" s="129"/>
      <c r="AK96" s="164" t="s">
        <v>17</v>
      </c>
      <c r="AL96" s="130">
        <v>1.0</v>
      </c>
      <c r="AM96" s="113">
        <f>COUNTIF(Y30:Y69,"A")</f>
        <v>13</v>
      </c>
      <c r="AN96" s="410">
        <f>SUM(AM96/C18*100)</f>
        <v>43.33333333</v>
      </c>
      <c r="AO96" s="208">
        <f>COUNTIF(Y30:Y69,"B")</f>
        <v>3</v>
      </c>
      <c r="AP96" s="410">
        <f>SUM(AO96/C18*100)</f>
        <v>10</v>
      </c>
      <c r="AQ96" s="208">
        <f>COUNTIF(Y30:Y69,"C")</f>
        <v>10</v>
      </c>
      <c r="AR96" s="410">
        <f>SUM(AQ96/C18*100)</f>
        <v>33.33333333</v>
      </c>
      <c r="AS96" s="208">
        <f>COUNTIF(Y30:Y69,"D")</f>
        <v>1</v>
      </c>
      <c r="AT96" s="411">
        <f>SUM(AS96/C18*100)</f>
        <v>3.333333333</v>
      </c>
    </row>
    <row r="97">
      <c r="A97" s="94"/>
      <c r="B97" s="95"/>
      <c r="C97" s="103"/>
      <c r="D97" s="47"/>
      <c r="E97" s="130">
        <v>2.0</v>
      </c>
      <c r="F97" s="113">
        <f>Z70</f>
        <v>3</v>
      </c>
      <c r="G97" s="107">
        <f t="shared" si="14"/>
        <v>10</v>
      </c>
      <c r="H97" s="131" t="s">
        <v>72</v>
      </c>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3"/>
      <c r="AJ97" s="134"/>
      <c r="AL97" s="130">
        <v>2.0</v>
      </c>
      <c r="AM97" s="113">
        <f>COUNTIF(Z30:Z69,"A")</f>
        <v>3</v>
      </c>
      <c r="AN97" s="410">
        <f>SUM(AM97/C18*100)</f>
        <v>10</v>
      </c>
      <c r="AO97" s="208">
        <f>COUNTIF(Z30:Z69,"B")</f>
        <v>6</v>
      </c>
      <c r="AP97" s="410">
        <f>SUM(AO97/C18*100)</f>
        <v>20</v>
      </c>
      <c r="AQ97" s="208">
        <f>COUNTIF(Z30:Z69,"C")</f>
        <v>3</v>
      </c>
      <c r="AR97" s="410">
        <f>SUM(AQ97/C18*100)</f>
        <v>10</v>
      </c>
      <c r="AS97" s="208">
        <f>COUNTIF(Z30:Z69,"D")</f>
        <v>15</v>
      </c>
      <c r="AT97" s="411">
        <f>SUM(AS97/C18*100)</f>
        <v>50</v>
      </c>
    </row>
    <row r="98">
      <c r="A98" s="94"/>
      <c r="B98" s="95"/>
      <c r="C98" s="103"/>
      <c r="D98" s="47"/>
      <c r="E98" s="130">
        <v>3.0</v>
      </c>
      <c r="F98" s="113">
        <f>AA70</f>
        <v>15</v>
      </c>
      <c r="G98" s="107">
        <f t="shared" si="14"/>
        <v>50</v>
      </c>
      <c r="H98" s="131" t="s">
        <v>73</v>
      </c>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3"/>
      <c r="AJ98" s="134"/>
      <c r="AL98" s="130">
        <v>3.0</v>
      </c>
      <c r="AM98" s="113">
        <f>COUNTIF(AA30:AA69,"A")</f>
        <v>6</v>
      </c>
      <c r="AN98" s="410">
        <f>SUM(AM98/C18*100)</f>
        <v>20</v>
      </c>
      <c r="AO98" s="208">
        <f>COUNTIF(AA30:AA69,"B")</f>
        <v>15</v>
      </c>
      <c r="AP98" s="410">
        <f>SUM(AO98/C18*100)</f>
        <v>50</v>
      </c>
      <c r="AQ98" s="208">
        <f>COUNTIF(AA30:AA69,"C")</f>
        <v>2</v>
      </c>
      <c r="AR98" s="410">
        <f>SUM(AQ98/C18*100)</f>
        <v>6.666666667</v>
      </c>
      <c r="AS98" s="208">
        <f>COUNTIF(AA30:AA69,"D")</f>
        <v>4</v>
      </c>
      <c r="AT98" s="411">
        <f>SUM(AS98/C18*100)</f>
        <v>13.33333333</v>
      </c>
    </row>
    <row r="99">
      <c r="A99" s="94"/>
      <c r="B99" s="95"/>
      <c r="C99" s="103"/>
      <c r="D99" s="47"/>
      <c r="E99" s="130">
        <v>4.0</v>
      </c>
      <c r="F99" s="113">
        <f>AB70</f>
        <v>6</v>
      </c>
      <c r="G99" s="107">
        <f t="shared" si="14"/>
        <v>20</v>
      </c>
      <c r="H99" s="135" t="s">
        <v>74</v>
      </c>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3"/>
      <c r="AJ99" s="134"/>
      <c r="AL99" s="130">
        <v>4.0</v>
      </c>
      <c r="AM99" s="113">
        <f>COUNTIF(AB30:AB69,"A")</f>
        <v>2</v>
      </c>
      <c r="AN99" s="410">
        <f>SUM(AM99/C18*100)</f>
        <v>6.666666667</v>
      </c>
      <c r="AO99" s="208">
        <f>COUNTIF(AB30:AB69,"B")</f>
        <v>18</v>
      </c>
      <c r="AP99" s="410">
        <f>SUM(AO99/C18*100)</f>
        <v>60</v>
      </c>
      <c r="AQ99" s="208">
        <f>COUNTIF(AB30:AB69,"C")</f>
        <v>1</v>
      </c>
      <c r="AR99" s="410">
        <f>SUM(AQ99/C18*100)</f>
        <v>3.333333333</v>
      </c>
      <c r="AS99" s="208">
        <f>COUNTIF(AB30:AB69,"D")</f>
        <v>6</v>
      </c>
      <c r="AT99" s="411">
        <f>SUM(AS99/C18*100)</f>
        <v>20</v>
      </c>
    </row>
    <row r="100">
      <c r="A100" s="94"/>
      <c r="B100" s="95"/>
      <c r="C100" s="103"/>
      <c r="D100" s="47"/>
      <c r="E100" s="130">
        <v>5.0</v>
      </c>
      <c r="F100" s="113">
        <f>AC70</f>
        <v>5</v>
      </c>
      <c r="G100" s="107">
        <f t="shared" si="14"/>
        <v>16.66666667</v>
      </c>
      <c r="H100" s="136" t="s">
        <v>71</v>
      </c>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3"/>
      <c r="AJ100" s="134"/>
      <c r="AL100" s="130">
        <v>5.0</v>
      </c>
      <c r="AM100" s="113">
        <f>COUNTIF(AC30:AC69,"A")</f>
        <v>5</v>
      </c>
      <c r="AN100" s="410">
        <f>SUM(AM100/C18*100)</f>
        <v>16.66666667</v>
      </c>
      <c r="AO100" s="208">
        <f>COUNTIF(AC30:AC69,"B")</f>
        <v>5</v>
      </c>
      <c r="AP100" s="410">
        <f>SUM(AO100/C18*100)</f>
        <v>16.66666667</v>
      </c>
      <c r="AQ100" s="208">
        <f>COUNTIF(AC30:AC69,"C")</f>
        <v>11</v>
      </c>
      <c r="AR100" s="410">
        <f>SUM(AQ100/C18*100)</f>
        <v>36.66666667</v>
      </c>
      <c r="AS100" s="208">
        <f>COUNTIF(AC30:AC69,"D")</f>
        <v>5</v>
      </c>
      <c r="AT100" s="411">
        <f>SUM(AS100/C18*100)</f>
        <v>16.66666667</v>
      </c>
    </row>
    <row r="101">
      <c r="A101" s="94"/>
      <c r="B101" s="95"/>
      <c r="C101" s="103"/>
      <c r="D101" s="47"/>
      <c r="E101" s="130">
        <v>6.0</v>
      </c>
      <c r="F101" s="113">
        <f>AD70</f>
        <v>11</v>
      </c>
      <c r="G101" s="107">
        <f t="shared" si="14"/>
        <v>36.66666667</v>
      </c>
      <c r="H101" s="137" t="s">
        <v>75</v>
      </c>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3"/>
      <c r="AJ101" s="134"/>
      <c r="AL101" s="130">
        <v>6.0</v>
      </c>
      <c r="AM101" s="113">
        <f>COUNTIF(AD30:AD69,"A")</f>
        <v>2</v>
      </c>
      <c r="AN101" s="410">
        <f>SUM(AM101/C18*100)</f>
        <v>6.666666667</v>
      </c>
      <c r="AO101" s="208">
        <f>COUNTIF(AD30:AD69,"B")</f>
        <v>7</v>
      </c>
      <c r="AP101" s="410">
        <f>SUM(AO101/C18*100)</f>
        <v>23.33333333</v>
      </c>
      <c r="AQ101" s="208">
        <f>COUNTIF(AD30:AD69,"C")</f>
        <v>6</v>
      </c>
      <c r="AR101" s="410">
        <f>SUM(AQ101/C18*100)</f>
        <v>20</v>
      </c>
      <c r="AS101" s="208">
        <f>COUNTIF(AD30:AD69,"D")</f>
        <v>11</v>
      </c>
      <c r="AT101" s="411">
        <f>SUM(AS101/C18*100)</f>
        <v>36.66666667</v>
      </c>
    </row>
    <row r="102">
      <c r="A102" s="94"/>
      <c r="B102" s="95"/>
      <c r="C102" s="103"/>
      <c r="D102" s="47"/>
      <c r="E102" s="130">
        <v>7.0</v>
      </c>
      <c r="F102" s="113">
        <f>AE70</f>
        <v>8</v>
      </c>
      <c r="G102" s="107">
        <f t="shared" si="14"/>
        <v>26.66666667</v>
      </c>
      <c r="H102" s="135" t="s">
        <v>76</v>
      </c>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3"/>
      <c r="AJ102" s="134"/>
      <c r="AL102" s="130">
        <v>7.0</v>
      </c>
      <c r="AM102" s="113">
        <f>COUNTIF(AE30:AE69,"A")</f>
        <v>6</v>
      </c>
      <c r="AN102" s="410">
        <f>SUM(AM102/C18*100)</f>
        <v>20</v>
      </c>
      <c r="AO102" s="208">
        <f>COUNTIF(AE30:AE69,"B")</f>
        <v>8</v>
      </c>
      <c r="AP102" s="410">
        <f>SUM(AO102/C18*100)</f>
        <v>26.66666667</v>
      </c>
      <c r="AQ102" s="208">
        <f>COUNTIF(AE30:AE69,"C")</f>
        <v>12</v>
      </c>
      <c r="AR102" s="410">
        <f>SUM(AQ102/C18*100)</f>
        <v>40</v>
      </c>
      <c r="AS102" s="208">
        <f>COUNTIF(AE30:AE69,"D")</f>
        <v>1</v>
      </c>
      <c r="AT102" s="411">
        <f>SUM(AS102/C18*100)</f>
        <v>3.333333333</v>
      </c>
    </row>
    <row r="103">
      <c r="A103" s="94"/>
      <c r="B103" s="95"/>
      <c r="C103" s="103"/>
      <c r="D103" s="47"/>
      <c r="E103" s="130">
        <v>8.0</v>
      </c>
      <c r="F103" s="113">
        <f>AF70</f>
        <v>3</v>
      </c>
      <c r="G103" s="107">
        <f t="shared" si="14"/>
        <v>10</v>
      </c>
      <c r="H103" s="131" t="s">
        <v>77</v>
      </c>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9"/>
      <c r="AJ103" s="134"/>
      <c r="AL103" s="130">
        <v>8.0</v>
      </c>
      <c r="AM103" s="113">
        <f>COUNTIF(AF30:AF69,"A")</f>
        <v>16</v>
      </c>
      <c r="AN103" s="410">
        <f>SUM(AM103/C18*100)</f>
        <v>53.33333333</v>
      </c>
      <c r="AO103" s="208">
        <f>COUNTIF(AF30:AF69,"B")</f>
        <v>4</v>
      </c>
      <c r="AP103" s="410">
        <f>SUM(AO103/C18*100)</f>
        <v>13.33333333</v>
      </c>
      <c r="AQ103" s="208">
        <f>COUNTIF(AF30:AF69,"C")</f>
        <v>3</v>
      </c>
      <c r="AR103" s="410">
        <f>SUM(AQ103/C18*100)</f>
        <v>10</v>
      </c>
      <c r="AS103" s="208">
        <f>COUNTIF(AF30:AF69,"D")</f>
        <v>4</v>
      </c>
      <c r="AT103" s="411">
        <f>SUM(AS103/C18*100)</f>
        <v>13.33333333</v>
      </c>
    </row>
    <row r="104">
      <c r="A104" s="94"/>
      <c r="B104" s="95"/>
      <c r="C104" s="103"/>
      <c r="D104" s="47"/>
      <c r="E104" s="130">
        <v>9.0</v>
      </c>
      <c r="F104" s="113">
        <f>AG70</f>
        <v>3</v>
      </c>
      <c r="G104" s="107">
        <f t="shared" si="14"/>
        <v>10</v>
      </c>
      <c r="H104" s="135" t="s">
        <v>78</v>
      </c>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3"/>
      <c r="AJ104" s="134"/>
      <c r="AL104" s="130">
        <v>9.0</v>
      </c>
      <c r="AM104" s="113">
        <f>COUNTIF(AG30:AG69,"A")</f>
        <v>3</v>
      </c>
      <c r="AN104" s="410">
        <f>SUM(AM104/C18*100)</f>
        <v>10</v>
      </c>
      <c r="AO104" s="208">
        <f>COUNTIF(AG30:AG69,"B")</f>
        <v>6</v>
      </c>
      <c r="AP104" s="410">
        <f>SUM(AO104/C18*100)</f>
        <v>20</v>
      </c>
      <c r="AQ104" s="208">
        <f>COUNTIF(AG30:AG69,"C")</f>
        <v>10</v>
      </c>
      <c r="AR104" s="410">
        <f>SUM(AQ104/C18*100)</f>
        <v>33.33333333</v>
      </c>
      <c r="AS104" s="208">
        <f>COUNTIF(AG30:AG69,"D")</f>
        <v>8</v>
      </c>
      <c r="AT104" s="411">
        <f>SUM(AS104/C18*100)</f>
        <v>26.66666667</v>
      </c>
    </row>
    <row r="105" ht="15.75" customHeight="1">
      <c r="A105" s="94"/>
      <c r="B105" s="95"/>
      <c r="C105" s="103"/>
      <c r="D105" s="47"/>
      <c r="E105" s="130">
        <v>10.0</v>
      </c>
      <c r="F105" s="113">
        <f>AH70</f>
        <v>7</v>
      </c>
      <c r="G105" s="107">
        <f t="shared" si="14"/>
        <v>23.33333333</v>
      </c>
      <c r="H105" s="137" t="s">
        <v>75</v>
      </c>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3"/>
      <c r="AJ105" s="134"/>
      <c r="AL105" s="130">
        <v>10.0</v>
      </c>
      <c r="AM105" s="113">
        <f>COUNTIF(AH30:AH69,"A")</f>
        <v>12</v>
      </c>
      <c r="AN105" s="410">
        <f>SUM(AM105/C18*100)</f>
        <v>40</v>
      </c>
      <c r="AO105" s="208">
        <f>COUNTIF(AH30:AH69,"B")</f>
        <v>5</v>
      </c>
      <c r="AP105" s="410">
        <f>SUM(AO105/C18*100)</f>
        <v>16.66666667</v>
      </c>
      <c r="AQ105" s="208">
        <f>COUNTIF(AH30:AH69,"C")</f>
        <v>7</v>
      </c>
      <c r="AR105" s="410">
        <f>SUM(AQ105/C18*100)</f>
        <v>23.33333333</v>
      </c>
      <c r="AS105" s="208">
        <f>COUNTIF(AH30:AH69,"D")</f>
        <v>3</v>
      </c>
      <c r="AT105" s="411">
        <f>SUM(AS105/C18*100)</f>
        <v>10</v>
      </c>
    </row>
    <row r="106">
      <c r="A106" s="94"/>
      <c r="B106" s="95"/>
      <c r="C106" s="103"/>
      <c r="D106" s="47"/>
      <c r="E106" s="130">
        <v>11.0</v>
      </c>
      <c r="F106" s="113">
        <f>AI70</f>
        <v>2</v>
      </c>
      <c r="G106" s="107">
        <f t="shared" si="14"/>
        <v>6.666666667</v>
      </c>
      <c r="H106" s="135" t="s">
        <v>79</v>
      </c>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3"/>
      <c r="AJ106" s="134"/>
      <c r="AL106" s="130">
        <v>11.0</v>
      </c>
      <c r="AM106" s="113">
        <f>COUNTIF(AI30:AI69,"A")</f>
        <v>7</v>
      </c>
      <c r="AN106" s="410">
        <f>SUM(AM106/C18*100)</f>
        <v>23.33333333</v>
      </c>
      <c r="AO106" s="208">
        <f>COUNTIF(AI30:AI69,"B")</f>
        <v>2</v>
      </c>
      <c r="AP106" s="410">
        <f>SUM(AO106/C18*100)</f>
        <v>6.666666667</v>
      </c>
      <c r="AQ106" s="208">
        <f>COUNTIF(AI30:AI69,"C")</f>
        <v>15</v>
      </c>
      <c r="AR106" s="410">
        <f>SUM(AQ106/C18*100)</f>
        <v>50</v>
      </c>
      <c r="AS106" s="208">
        <f>COUNTIF(AI30:AI69,"D")</f>
        <v>3</v>
      </c>
      <c r="AT106" s="411">
        <f>SUM(AS106/C18*100)</f>
        <v>10</v>
      </c>
    </row>
    <row r="107">
      <c r="A107" s="94"/>
      <c r="B107" s="95"/>
      <c r="C107" s="103"/>
      <c r="D107" s="47"/>
      <c r="E107" s="130">
        <v>12.0</v>
      </c>
      <c r="F107" s="114">
        <f>AJ70</f>
        <v>0</v>
      </c>
      <c r="G107" s="107">
        <f t="shared" si="14"/>
        <v>0</v>
      </c>
      <c r="H107" s="131" t="s">
        <v>80</v>
      </c>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1"/>
      <c r="AJ107" s="142"/>
      <c r="AL107" s="130">
        <v>12.0</v>
      </c>
      <c r="AM107" s="113">
        <f>COUNTIF(AJ30:AJ69,"A")</f>
        <v>2</v>
      </c>
      <c r="AN107" s="410">
        <f>SUM(AM107/C18*100)</f>
        <v>6.666666667</v>
      </c>
      <c r="AO107" s="208">
        <f>COUNTIF(AJ30:AJ69,"B")</f>
        <v>20</v>
      </c>
      <c r="AP107" s="410">
        <f>SUM(AO107/C18*100)</f>
        <v>66.66666667</v>
      </c>
      <c r="AQ107" s="208">
        <f>COUNTIF(AJ30:AJ69,"C")</f>
        <v>0</v>
      </c>
      <c r="AR107" s="410">
        <f>SUM(AQ107/C18*100)</f>
        <v>0</v>
      </c>
      <c r="AS107" s="208">
        <f>COUNTIF(AJ30:AJ69,"D")</f>
        <v>5</v>
      </c>
      <c r="AT107" s="411">
        <f>SUM(AS107/C18*100)</f>
        <v>16.66666667</v>
      </c>
    </row>
    <row r="108">
      <c r="A108" s="94"/>
      <c r="B108" s="95"/>
      <c r="C108" s="103"/>
      <c r="D108" s="47"/>
      <c r="E108" s="130">
        <v>13.0</v>
      </c>
      <c r="F108" s="113">
        <f>AK70</f>
        <v>4</v>
      </c>
      <c r="G108" s="107">
        <f t="shared" si="14"/>
        <v>13.33333333</v>
      </c>
      <c r="H108" s="137" t="s">
        <v>81</v>
      </c>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1"/>
      <c r="AJ108" s="143"/>
      <c r="AL108" s="130">
        <v>13.0</v>
      </c>
      <c r="AM108" s="113">
        <f>COUNTIF(AK30:AK69,"A")</f>
        <v>4</v>
      </c>
      <c r="AN108" s="410">
        <f>SUM(AM108/C18*100)</f>
        <v>13.33333333</v>
      </c>
      <c r="AO108" s="208">
        <f>COUNTIF(AK30:AK69,"B")</f>
        <v>6</v>
      </c>
      <c r="AP108" s="410">
        <f>SUM(AO108/C18*100)</f>
        <v>20</v>
      </c>
      <c r="AQ108" s="208">
        <f>COUNTIF(AK30:AK69,"C")</f>
        <v>3</v>
      </c>
      <c r="AR108" s="410">
        <f>SUM(AQ108/C18*100)</f>
        <v>10</v>
      </c>
      <c r="AS108" s="208">
        <f>COUNTIF(AK30:AK69,"D")</f>
        <v>14</v>
      </c>
      <c r="AT108" s="411">
        <f>SUM(AS108/C18*100)</f>
        <v>46.66666667</v>
      </c>
    </row>
    <row r="109">
      <c r="A109" s="94"/>
      <c r="B109" s="95"/>
      <c r="C109" s="103"/>
      <c r="D109" s="47"/>
      <c r="E109" s="130">
        <v>14.0</v>
      </c>
      <c r="F109" s="113">
        <f>AL70</f>
        <v>1</v>
      </c>
      <c r="G109" s="107">
        <f t="shared" si="14"/>
        <v>3.333333333</v>
      </c>
      <c r="H109" s="135" t="s">
        <v>79</v>
      </c>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3"/>
      <c r="AJ109" s="134"/>
      <c r="AL109" s="130">
        <v>14.0</v>
      </c>
      <c r="AM109" s="113">
        <f>COUNTIF(AL30:AL69,"A")</f>
        <v>5</v>
      </c>
      <c r="AN109" s="410">
        <f>SUM(AM109/C18*100)</f>
        <v>16.66666667</v>
      </c>
      <c r="AO109" s="208">
        <f>COUNTIF(AL30:AL69,"B")</f>
        <v>16</v>
      </c>
      <c r="AP109" s="410">
        <f>SUM(AO109/C18*100)</f>
        <v>53.33333333</v>
      </c>
      <c r="AQ109" s="208">
        <f>COUNTIF(AL30:AL69,"C")</f>
        <v>5</v>
      </c>
      <c r="AR109" s="410">
        <f>SUM(AQ109/C18*100)</f>
        <v>16.66666667</v>
      </c>
      <c r="AS109" s="208">
        <f>COUNTIF(AL30:AL69,"D")</f>
        <v>1</v>
      </c>
      <c r="AT109" s="411">
        <f>SUM(AS109/C18*100)</f>
        <v>3.333333333</v>
      </c>
    </row>
    <row r="110">
      <c r="A110" s="94"/>
      <c r="B110" s="95"/>
      <c r="C110" s="103"/>
      <c r="D110" s="47"/>
      <c r="E110" s="130">
        <v>15.0</v>
      </c>
      <c r="F110" s="113">
        <f>AM70</f>
        <v>2</v>
      </c>
      <c r="G110" s="107">
        <f t="shared" si="14"/>
        <v>6.666666667</v>
      </c>
      <c r="H110" s="145" t="s">
        <v>82</v>
      </c>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3"/>
      <c r="AJ110" s="134"/>
      <c r="AL110" s="130">
        <v>15.0</v>
      </c>
      <c r="AM110" s="113">
        <f>COUNTIF(AM30:AM69,"A")</f>
        <v>4</v>
      </c>
      <c r="AN110" s="410">
        <f>SUM(AM110/C18*100)</f>
        <v>13.33333333</v>
      </c>
      <c r="AO110" s="208">
        <f>COUNTIF(AM30:AM69,"B")</f>
        <v>4</v>
      </c>
      <c r="AP110" s="410">
        <f>SUM(AO110/C18*100)</f>
        <v>13.33333333</v>
      </c>
      <c r="AQ110" s="208">
        <f>COUNTIF(AM30:AM69,"C")</f>
        <v>17</v>
      </c>
      <c r="AR110" s="410">
        <f>SUM(AQ110/C18*100)</f>
        <v>56.66666667</v>
      </c>
      <c r="AS110" s="208">
        <f>COUNTIF(AM30:AM69,"D")</f>
        <v>2</v>
      </c>
      <c r="AT110" s="411">
        <f>SUM(AS110/C18*100)</f>
        <v>6.666666667</v>
      </c>
    </row>
    <row r="111">
      <c r="A111" s="94"/>
      <c r="B111" s="95"/>
      <c r="C111" s="103"/>
      <c r="D111" s="47"/>
      <c r="E111" s="130">
        <v>16.0</v>
      </c>
      <c r="F111" s="113">
        <f>AN70</f>
        <v>2</v>
      </c>
      <c r="G111" s="107">
        <f t="shared" si="14"/>
        <v>6.666666667</v>
      </c>
      <c r="H111" s="135" t="s">
        <v>83</v>
      </c>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3"/>
      <c r="AJ111" s="134"/>
      <c r="AL111" s="130">
        <v>16.0</v>
      </c>
      <c r="AM111" s="113">
        <f>COUNTIF(AN30:AN69,"A")</f>
        <v>10</v>
      </c>
      <c r="AN111" s="410">
        <f>SUM(AM111/C18*100)</f>
        <v>33.33333333</v>
      </c>
      <c r="AO111" s="208">
        <f>COUNTIF(AN30:AN69,"B")</f>
        <v>2</v>
      </c>
      <c r="AP111" s="410">
        <f>SUM(AO111/C18*100)</f>
        <v>6.666666667</v>
      </c>
      <c r="AQ111" s="208">
        <f>COUNTIF(AN30:AN69,"C")</f>
        <v>2</v>
      </c>
      <c r="AR111" s="410">
        <f>SUM(AQ111/C18*100)</f>
        <v>6.666666667</v>
      </c>
      <c r="AS111" s="208">
        <f>COUNTIF(AN30:AN69,"D")</f>
        <v>13</v>
      </c>
      <c r="AT111" s="411">
        <f>SUM(AS111/C18*100)</f>
        <v>43.33333333</v>
      </c>
    </row>
    <row r="112" ht="15.75" customHeight="1">
      <c r="A112" s="94"/>
      <c r="B112" s="95"/>
      <c r="C112" s="103"/>
      <c r="D112" s="47"/>
      <c r="E112" s="130">
        <v>17.0</v>
      </c>
      <c r="F112" s="113">
        <f>AO70</f>
        <v>2</v>
      </c>
      <c r="G112" s="107">
        <f t="shared" si="14"/>
        <v>6.666666667</v>
      </c>
      <c r="H112" s="144" t="s">
        <v>84</v>
      </c>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3"/>
      <c r="AJ112" s="134"/>
      <c r="AL112" s="130">
        <v>17.0</v>
      </c>
      <c r="AM112" s="113">
        <f>COUNTIF(AO30:AO69,"A")</f>
        <v>2</v>
      </c>
      <c r="AN112" s="410">
        <f>SUM(AM112/C18*100)</f>
        <v>6.666666667</v>
      </c>
      <c r="AO112" s="208">
        <f>COUNTIF(AO30:AO69,"B")</f>
        <v>17</v>
      </c>
      <c r="AP112" s="410">
        <f>SUM(AO112/C18*100)</f>
        <v>56.66666667</v>
      </c>
      <c r="AQ112" s="208">
        <f>COUNTIF(AO30:AO69,"C")</f>
        <v>2</v>
      </c>
      <c r="AR112" s="410">
        <f>SUM(AQ112/C18*100)</f>
        <v>6.666666667</v>
      </c>
      <c r="AS112" s="208">
        <f>COUNTIF(AO30:AO69,"D")</f>
        <v>6</v>
      </c>
      <c r="AT112" s="411">
        <f>SUM(AS112/C18*100)</f>
        <v>20</v>
      </c>
    </row>
    <row r="113" ht="15.75" customHeight="1">
      <c r="A113" s="94"/>
      <c r="B113" s="95"/>
      <c r="C113" s="103"/>
      <c r="D113" s="47"/>
      <c r="E113" s="130">
        <v>18.0</v>
      </c>
      <c r="F113" s="113">
        <f>AP70</f>
        <v>5</v>
      </c>
      <c r="G113" s="107">
        <f t="shared" si="14"/>
        <v>16.66666667</v>
      </c>
      <c r="H113" s="135" t="s">
        <v>83</v>
      </c>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3"/>
      <c r="AJ113" s="134"/>
      <c r="AL113" s="130">
        <v>18.0</v>
      </c>
      <c r="AM113" s="113">
        <f>COUNTIF(AP30:AP69,"A")</f>
        <v>5</v>
      </c>
      <c r="AN113" s="410">
        <f>SUM(AM113/C18*100)</f>
        <v>16.66666667</v>
      </c>
      <c r="AO113" s="208">
        <f>COUNTIF(AP30:AP69,"B")</f>
        <v>3</v>
      </c>
      <c r="AP113" s="410">
        <f>SUM(AO113/C18*100)</f>
        <v>10</v>
      </c>
      <c r="AQ113" s="208">
        <f>COUNTIF(AP30:AP69,"C")</f>
        <v>18</v>
      </c>
      <c r="AR113" s="410">
        <f>SUM(AQ113/C18*100)</f>
        <v>60</v>
      </c>
      <c r="AS113" s="208">
        <f>COUNTIF(AP30:AP69,"D")</f>
        <v>1</v>
      </c>
      <c r="AT113" s="411">
        <f>SUM(AS113/C18*100)</f>
        <v>3.333333333</v>
      </c>
    </row>
    <row r="114" ht="15.75" customHeight="1">
      <c r="A114" s="94"/>
      <c r="B114" s="95"/>
      <c r="C114" s="103"/>
      <c r="D114" s="47"/>
      <c r="E114" s="130">
        <v>19.0</v>
      </c>
      <c r="F114" s="113">
        <f>AQ70</f>
        <v>3</v>
      </c>
      <c r="G114" s="107">
        <f t="shared" si="14"/>
        <v>10</v>
      </c>
      <c r="H114" s="145" t="s">
        <v>85</v>
      </c>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3"/>
      <c r="AJ114" s="134"/>
      <c r="AL114" s="130">
        <v>19.0</v>
      </c>
      <c r="AM114" s="113">
        <f>COUNTIF(AQ30:AQ69,"A")</f>
        <v>9</v>
      </c>
      <c r="AN114" s="410">
        <f>SUM(AM114/C18*100)</f>
        <v>30</v>
      </c>
      <c r="AO114" s="208">
        <f>COUNTIF(AQ30:AQ69,"B")</f>
        <v>9</v>
      </c>
      <c r="AP114" s="410">
        <f>SUM(AO114/C18*100)</f>
        <v>30</v>
      </c>
      <c r="AQ114" s="208">
        <f>COUNTIF(AQ30:AQ69,"C")</f>
        <v>6</v>
      </c>
      <c r="AR114" s="410">
        <f>SUM(AQ114/C18*100)</f>
        <v>20</v>
      </c>
      <c r="AS114" s="208">
        <f>COUNTIF(AQ30:AQ69,"D")</f>
        <v>3</v>
      </c>
      <c r="AT114" s="411">
        <f>SUM(AS114/C18*100)</f>
        <v>10</v>
      </c>
    </row>
    <row r="115" ht="15.75" customHeight="1">
      <c r="A115" s="94"/>
      <c r="B115" s="95"/>
      <c r="C115" s="103"/>
      <c r="D115" s="47"/>
      <c r="E115" s="130">
        <v>20.0</v>
      </c>
      <c r="F115" s="113">
        <f>AR70</f>
        <v>8</v>
      </c>
      <c r="G115" s="107">
        <f t="shared" si="14"/>
        <v>26.66666667</v>
      </c>
      <c r="H115" s="135" t="s">
        <v>83</v>
      </c>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3"/>
      <c r="AJ115" s="134"/>
      <c r="AL115" s="130">
        <v>20.0</v>
      </c>
      <c r="AM115" s="113">
        <f>COUNTIF(AR30:AR69,"A")</f>
        <v>2</v>
      </c>
      <c r="AN115" s="410">
        <f>SUM(AM115/C18*100)</f>
        <v>6.666666667</v>
      </c>
      <c r="AO115" s="208">
        <f>COUNTIF(AR30:AR69,"B")</f>
        <v>8</v>
      </c>
      <c r="AP115" s="410">
        <f>SUM(AO115/C18*100)</f>
        <v>26.66666667</v>
      </c>
      <c r="AQ115" s="208">
        <f>COUNTIF(AR30:AR69,"C")</f>
        <v>12</v>
      </c>
      <c r="AR115" s="410">
        <f>SUM(AQ115/C18*100)</f>
        <v>40</v>
      </c>
      <c r="AS115" s="208">
        <f>COUNTIF(AR30:AR69,"D")</f>
        <v>4</v>
      </c>
      <c r="AT115" s="411">
        <f>SUM(AS115/C18*100)</f>
        <v>13.33333333</v>
      </c>
    </row>
    <row r="116" ht="15.75" customHeight="1">
      <c r="A116" s="94"/>
      <c r="B116" s="95"/>
      <c r="C116" s="103"/>
      <c r="D116" s="47"/>
      <c r="E116" s="130">
        <v>21.0</v>
      </c>
      <c r="F116" s="113">
        <f>AS70</f>
        <v>6</v>
      </c>
      <c r="G116" s="107">
        <f t="shared" si="14"/>
        <v>20</v>
      </c>
      <c r="H116" s="135" t="s">
        <v>78</v>
      </c>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3"/>
      <c r="AJ116" s="134"/>
      <c r="AL116" s="130">
        <v>21.0</v>
      </c>
      <c r="AM116" s="113">
        <f>COUNTIF(AS30:AS69,"A")</f>
        <v>2</v>
      </c>
      <c r="AN116" s="410">
        <f>SUM(AM116/C18*100)</f>
        <v>6.666666667</v>
      </c>
      <c r="AO116" s="208">
        <f>COUNTIF(AS30:AS69,"B")</f>
        <v>5</v>
      </c>
      <c r="AP116" s="410">
        <f>SUM(AO116/C18*100)</f>
        <v>16.66666667</v>
      </c>
      <c r="AQ116" s="208">
        <f>COUNTIF(AS30:AS69,"C")</f>
        <v>13</v>
      </c>
      <c r="AR116" s="410">
        <f>SUM(AQ116/C18*100)</f>
        <v>43.33333333</v>
      </c>
      <c r="AS116" s="208">
        <f>COUNTIF(AS30:AS69,"D")</f>
        <v>6</v>
      </c>
      <c r="AT116" s="411">
        <f>SUM(AS116/C18*100)</f>
        <v>20</v>
      </c>
    </row>
    <row r="117" ht="15.75" customHeight="1">
      <c r="A117" s="85"/>
      <c r="B117" s="85"/>
      <c r="C117" s="146"/>
      <c r="D117" s="65"/>
      <c r="E117" s="130">
        <v>22.0</v>
      </c>
      <c r="F117" s="113">
        <f>AT70</f>
        <v>8</v>
      </c>
      <c r="G117" s="107">
        <f t="shared" si="14"/>
        <v>26.66666667</v>
      </c>
      <c r="H117" s="137" t="s">
        <v>86</v>
      </c>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8"/>
      <c r="AJ117" s="134"/>
      <c r="AL117" s="165">
        <v>22.0</v>
      </c>
      <c r="AM117" s="113">
        <f>COUNTIF(AT30:AT69,"A")</f>
        <v>8</v>
      </c>
      <c r="AN117" s="410">
        <f>SUM(AM117/C18*100)</f>
        <v>26.66666667</v>
      </c>
      <c r="AO117" s="208">
        <f>COUNTIF(AT30:AT69,"B")</f>
        <v>11</v>
      </c>
      <c r="AP117" s="410">
        <f>SUM(AO117/C18*100)</f>
        <v>36.66666667</v>
      </c>
      <c r="AQ117" s="208">
        <f>COUNTIF(AT30:AT69,"C")</f>
        <v>5</v>
      </c>
      <c r="AR117" s="410">
        <f>SUM(AQ117/C18*100)</f>
        <v>16.66666667</v>
      </c>
      <c r="AS117" s="208">
        <f>COUNTIF(AT30:AT69,"D")</f>
        <v>1</v>
      </c>
      <c r="AT117" s="411">
        <f>SUM(AS117/C18*100)</f>
        <v>3.333333333</v>
      </c>
    </row>
    <row r="118" ht="82.5" customHeight="1"/>
    <row r="119" ht="15.75" customHeight="1">
      <c r="A119" s="90"/>
      <c r="B119" s="90"/>
      <c r="C119" s="91"/>
      <c r="D119" s="417" t="s">
        <v>89</v>
      </c>
      <c r="E119" s="418"/>
      <c r="F119" s="418"/>
      <c r="G119" s="418"/>
      <c r="H119" s="418"/>
      <c r="I119" s="419"/>
      <c r="K119" s="170"/>
      <c r="L119" s="171"/>
      <c r="M119" s="171"/>
      <c r="N119" s="171"/>
      <c r="O119" s="171"/>
      <c r="P119" s="171"/>
      <c r="Q119" s="171"/>
      <c r="R119" s="171"/>
      <c r="S119" s="171"/>
      <c r="T119" s="171"/>
      <c r="U119" s="171"/>
      <c r="V119" s="171"/>
      <c r="W119" s="171"/>
      <c r="X119" s="171"/>
      <c r="Y119" s="171"/>
      <c r="Z119" s="171"/>
      <c r="AA119" s="171"/>
      <c r="AB119" s="171"/>
      <c r="AC119" s="171"/>
      <c r="AD119" s="171"/>
      <c r="AE119" s="171"/>
      <c r="AF119" s="171"/>
      <c r="AG119" s="171"/>
      <c r="AH119" s="171"/>
      <c r="AI119" s="171"/>
      <c r="AJ119" s="171"/>
      <c r="AK119" s="171"/>
      <c r="AL119" s="171"/>
      <c r="AM119" s="171"/>
      <c r="AN119" s="171"/>
      <c r="AO119" s="171"/>
      <c r="AP119" s="171"/>
      <c r="AQ119" s="171"/>
      <c r="AR119" s="171"/>
      <c r="AS119" s="171"/>
      <c r="AT119" s="171"/>
      <c r="AU119" s="171"/>
      <c r="AV119" s="171"/>
      <c r="AW119" s="171"/>
      <c r="AX119" s="171"/>
      <c r="AY119" s="171"/>
      <c r="AZ119" s="171"/>
      <c r="BA119" s="171"/>
      <c r="BB119" s="171"/>
      <c r="BC119" s="171"/>
      <c r="BD119" s="171"/>
      <c r="BE119" s="171"/>
      <c r="BF119" s="171"/>
      <c r="BG119" s="171"/>
      <c r="BH119" s="171"/>
      <c r="BI119" s="171"/>
      <c r="BJ119" s="337"/>
    </row>
    <row r="120" ht="15.75" customHeight="1">
      <c r="A120" s="94"/>
      <c r="B120" s="95"/>
      <c r="C120" s="103"/>
      <c r="D120" s="420" t="s">
        <v>10</v>
      </c>
      <c r="E120" s="421" t="s">
        <v>54</v>
      </c>
      <c r="F120" s="422" t="s">
        <v>90</v>
      </c>
      <c r="G120" s="423"/>
      <c r="H120" s="423"/>
      <c r="I120" s="424"/>
      <c r="K120" s="178"/>
      <c r="BJ120" s="338"/>
    </row>
    <row r="121" ht="15.75" customHeight="1">
      <c r="A121" s="94"/>
      <c r="B121" s="95"/>
      <c r="C121" s="103"/>
      <c r="D121" s="193">
        <f>COUNTIF(BB30:BB69,"ABAIXO DO BÁSICO")</f>
        <v>11</v>
      </c>
      <c r="E121" s="425">
        <f>SUM(D121/C18*100)</f>
        <v>36.66666667</v>
      </c>
      <c r="F121" s="426" t="s">
        <v>91</v>
      </c>
      <c r="G121" s="427"/>
      <c r="H121" s="427"/>
      <c r="I121" s="428"/>
      <c r="K121" s="178"/>
      <c r="BJ121" s="338"/>
    </row>
    <row r="122" ht="15.75" customHeight="1">
      <c r="A122" s="94"/>
      <c r="B122" s="95"/>
      <c r="C122" s="103"/>
      <c r="D122" s="193">
        <f>COUNTIF(BB30:BB69,"BÁSICO")</f>
        <v>5</v>
      </c>
      <c r="E122" s="425">
        <f>SUM(D122/C18*100)</f>
        <v>16.66666667</v>
      </c>
      <c r="F122" s="429" t="s">
        <v>92</v>
      </c>
      <c r="G122" s="427"/>
      <c r="H122" s="427"/>
      <c r="I122" s="428"/>
      <c r="K122" s="178"/>
      <c r="L122" s="192" t="s">
        <v>93</v>
      </c>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338"/>
    </row>
    <row r="123" ht="15.75" customHeight="1">
      <c r="A123" s="94"/>
      <c r="B123" s="95"/>
      <c r="C123" s="103"/>
      <c r="D123" s="193">
        <f>COUNTIF(BB30:BB69,"ADEQUADO")</f>
        <v>14</v>
      </c>
      <c r="E123" s="425">
        <f>SUM(D123/C18*100)</f>
        <v>46.66666667</v>
      </c>
      <c r="F123" s="430" t="s">
        <v>94</v>
      </c>
      <c r="G123" s="427"/>
      <c r="H123" s="427"/>
      <c r="I123" s="428"/>
      <c r="K123" s="178"/>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79"/>
      <c r="AN123" s="179"/>
      <c r="AO123" s="179"/>
      <c r="AP123" s="179"/>
      <c r="AQ123" s="179"/>
      <c r="AR123" s="179"/>
      <c r="AS123" s="179"/>
      <c r="AT123" s="179"/>
      <c r="AU123" s="179"/>
      <c r="AV123" s="179"/>
      <c r="AW123" s="179"/>
      <c r="AX123" s="179"/>
      <c r="AY123" s="179"/>
      <c r="AZ123" s="179"/>
      <c r="BA123" s="179"/>
      <c r="BB123" s="179"/>
      <c r="BC123" s="179"/>
      <c r="BD123" s="179"/>
      <c r="BE123" s="179"/>
      <c r="BF123" s="179"/>
      <c r="BG123" s="179"/>
      <c r="BH123" s="179"/>
      <c r="BI123" s="179"/>
      <c r="BJ123" s="338"/>
    </row>
    <row r="124" ht="15.75" customHeight="1">
      <c r="A124" s="94"/>
      <c r="B124" s="95"/>
      <c r="C124" s="103"/>
      <c r="D124" s="193">
        <f>COUNTIF(BB30:BB69,"AVANÇADO")</f>
        <v>0</v>
      </c>
      <c r="E124" s="425">
        <f>SUM(D124/C18*100)</f>
        <v>0</v>
      </c>
      <c r="F124" s="431" t="s">
        <v>95</v>
      </c>
      <c r="G124" s="427"/>
      <c r="H124" s="427"/>
      <c r="I124" s="428"/>
      <c r="K124" s="178"/>
      <c r="L124" s="179" t="s">
        <v>325</v>
      </c>
      <c r="BJ124" s="338"/>
    </row>
    <row r="125" ht="15.75" customHeight="1">
      <c r="A125" s="94"/>
      <c r="B125" s="95"/>
      <c r="C125" s="103"/>
      <c r="D125" s="226"/>
      <c r="E125" s="226"/>
      <c r="F125" s="226"/>
      <c r="G125" s="226"/>
      <c r="H125" s="432"/>
      <c r="I125" s="226"/>
      <c r="K125" s="178"/>
      <c r="L125" s="179" t="s">
        <v>326</v>
      </c>
      <c r="BJ125" s="338"/>
    </row>
    <row r="126" ht="15.75" customHeight="1">
      <c r="A126" s="94"/>
      <c r="B126" s="95"/>
      <c r="C126" s="103"/>
      <c r="D126" s="433" t="s">
        <v>16</v>
      </c>
      <c r="E126" s="434"/>
      <c r="F126" s="434"/>
      <c r="G126" s="434"/>
      <c r="H126" s="434"/>
      <c r="I126" s="435"/>
      <c r="K126" s="178"/>
      <c r="L126" s="179" t="s">
        <v>327</v>
      </c>
      <c r="BJ126" s="338"/>
    </row>
    <row r="127" ht="15.75" customHeight="1">
      <c r="A127" s="94"/>
      <c r="B127" s="95"/>
      <c r="C127" s="103"/>
      <c r="D127" s="420" t="s">
        <v>10</v>
      </c>
      <c r="E127" s="421" t="s">
        <v>54</v>
      </c>
      <c r="F127" s="422" t="s">
        <v>90</v>
      </c>
      <c r="G127" s="423"/>
      <c r="H127" s="423"/>
      <c r="I127" s="424"/>
      <c r="K127" s="178"/>
      <c r="L127" s="179" t="s">
        <v>328</v>
      </c>
      <c r="BJ127" s="338"/>
    </row>
    <row r="128" ht="15.75" customHeight="1">
      <c r="A128" s="94"/>
      <c r="B128" s="95"/>
      <c r="C128" s="103"/>
      <c r="D128" s="193">
        <f>COUNTIF(BF30:BF69,"ABAIXO DO BÁSICO")</f>
        <v>8</v>
      </c>
      <c r="E128" s="425">
        <f>SUM(D128/C18*100)</f>
        <v>26.66666667</v>
      </c>
      <c r="F128" s="426" t="s">
        <v>91</v>
      </c>
      <c r="G128" s="436"/>
      <c r="H128" s="436"/>
      <c r="I128" s="437"/>
      <c r="K128" s="178"/>
      <c r="L128" s="179"/>
      <c r="BJ128" s="338"/>
    </row>
    <row r="129" ht="15.75" customHeight="1">
      <c r="A129" s="94"/>
      <c r="B129" s="95"/>
      <c r="C129" s="103"/>
      <c r="D129" s="193">
        <f>COUNTIF(BF30:BF69,"BÁSICO")</f>
        <v>15</v>
      </c>
      <c r="E129" s="425">
        <f>SUM(D129/C18*100)</f>
        <v>50</v>
      </c>
      <c r="F129" s="429" t="s">
        <v>92</v>
      </c>
      <c r="G129" s="436"/>
      <c r="H129" s="436"/>
      <c r="I129" s="437"/>
      <c r="K129" s="178"/>
      <c r="L129" s="179" t="s">
        <v>329</v>
      </c>
      <c r="BJ129" s="338"/>
    </row>
    <row r="130" ht="15.75" customHeight="1">
      <c r="A130" s="94"/>
      <c r="B130" s="95"/>
      <c r="C130" s="103"/>
      <c r="D130" s="193">
        <f>COUNTIF(BF30:BF69,"ADEQUADO")</f>
        <v>7</v>
      </c>
      <c r="E130" s="425">
        <f>SUM(D130/C18*100)</f>
        <v>23.33333333</v>
      </c>
      <c r="F130" s="430" t="s">
        <v>94</v>
      </c>
      <c r="G130" s="436"/>
      <c r="H130" s="436"/>
      <c r="I130" s="437"/>
      <c r="K130" s="178"/>
      <c r="L130" s="179" t="s">
        <v>330</v>
      </c>
      <c r="BJ130" s="338"/>
    </row>
    <row r="131" ht="15.75" customHeight="1">
      <c r="A131" s="94"/>
      <c r="B131" s="95"/>
      <c r="C131" s="103"/>
      <c r="D131" s="193">
        <f>COUNTIF(BF30:BF69,"AVANÇADO")</f>
        <v>0</v>
      </c>
      <c r="E131" s="425">
        <f>SUM(D131/C18*100)</f>
        <v>0</v>
      </c>
      <c r="F131" s="431" t="s">
        <v>95</v>
      </c>
      <c r="G131" s="436"/>
      <c r="H131" s="436"/>
      <c r="I131" s="437"/>
      <c r="K131" s="178"/>
      <c r="L131" s="179" t="s">
        <v>331</v>
      </c>
      <c r="BJ131" s="338"/>
    </row>
    <row r="132" ht="15.75" customHeight="1">
      <c r="A132" s="94"/>
      <c r="B132" s="95"/>
      <c r="C132" s="103"/>
      <c r="D132" s="226"/>
      <c r="E132" s="226"/>
      <c r="F132" s="226"/>
      <c r="G132" s="226"/>
      <c r="H132" s="226"/>
      <c r="I132" s="226"/>
      <c r="K132" s="178"/>
      <c r="L132" s="179"/>
      <c r="BJ132" s="338"/>
    </row>
    <row r="133" ht="15.75" customHeight="1">
      <c r="A133" s="94"/>
      <c r="B133" s="95"/>
      <c r="C133" s="103"/>
      <c r="D133" s="438" t="s">
        <v>17</v>
      </c>
      <c r="E133" s="439"/>
      <c r="F133" s="439"/>
      <c r="G133" s="439"/>
      <c r="H133" s="439"/>
      <c r="I133" s="440"/>
      <c r="K133" s="178"/>
      <c r="L133" s="179" t="s">
        <v>332</v>
      </c>
      <c r="BJ133" s="338"/>
    </row>
    <row r="134" ht="15.75" customHeight="1">
      <c r="A134" s="94"/>
      <c r="B134" s="95"/>
      <c r="C134" s="103"/>
      <c r="D134" s="420" t="s">
        <v>10</v>
      </c>
      <c r="E134" s="421" t="s">
        <v>54</v>
      </c>
      <c r="F134" s="422" t="s">
        <v>90</v>
      </c>
      <c r="G134" s="423"/>
      <c r="H134" s="423"/>
      <c r="I134" s="424"/>
      <c r="K134" s="178"/>
      <c r="L134" s="179" t="s">
        <v>333</v>
      </c>
      <c r="BJ134" s="338"/>
    </row>
    <row r="135" ht="15.75" customHeight="1">
      <c r="A135" s="94"/>
      <c r="B135" s="95"/>
      <c r="C135" s="103"/>
      <c r="D135" s="193">
        <f>COUNTIF(BI30:BI69,"ABAIXO DO BÁSICO")</f>
        <v>7</v>
      </c>
      <c r="E135" s="425">
        <f>SUM(D135/C18*100)</f>
        <v>23.33333333</v>
      </c>
      <c r="F135" s="426" t="s">
        <v>91</v>
      </c>
      <c r="G135" s="427"/>
      <c r="H135" s="427"/>
      <c r="I135" s="428"/>
      <c r="K135" s="178"/>
      <c r="L135" s="179" t="s">
        <v>334</v>
      </c>
      <c r="BJ135" s="338"/>
    </row>
    <row r="136" ht="15.75" customHeight="1">
      <c r="A136" s="94"/>
      <c r="B136" s="95"/>
      <c r="C136" s="103"/>
      <c r="D136" s="193">
        <f>COUNTIF(BI30:BI69,"BÁSICO")</f>
        <v>14</v>
      </c>
      <c r="E136" s="425">
        <f>SUM(D136/C18*100)</f>
        <v>46.66666667</v>
      </c>
      <c r="F136" s="429" t="s">
        <v>92</v>
      </c>
      <c r="G136" s="427"/>
      <c r="H136" s="427"/>
      <c r="I136" s="428"/>
      <c r="K136" s="178"/>
      <c r="BJ136" s="338"/>
    </row>
    <row r="137" ht="15.75" customHeight="1">
      <c r="A137" s="94"/>
      <c r="B137" s="95"/>
      <c r="C137" s="103"/>
      <c r="D137" s="193">
        <f>COUNTIF(BI30:BI69,"ADEQUADO")</f>
        <v>8</v>
      </c>
      <c r="E137" s="425">
        <f>SUM(D137/C18*100)</f>
        <v>26.66666667</v>
      </c>
      <c r="F137" s="430" t="s">
        <v>94</v>
      </c>
      <c r="G137" s="427"/>
      <c r="H137" s="427"/>
      <c r="I137" s="428"/>
      <c r="K137" s="178"/>
      <c r="BJ137" s="338"/>
    </row>
    <row r="138" ht="15.75" customHeight="1">
      <c r="A138" s="84"/>
      <c r="B138" s="85"/>
      <c r="C138" s="146"/>
      <c r="D138" s="193">
        <f>COUNTIF(BI30:BI69,"AVANÇADO")</f>
        <v>1</v>
      </c>
      <c r="E138" s="425">
        <f>SUM(D138/C18*100)</f>
        <v>3.333333333</v>
      </c>
      <c r="F138" s="431" t="s">
        <v>95</v>
      </c>
      <c r="G138" s="427"/>
      <c r="H138" s="427"/>
      <c r="I138" s="428"/>
      <c r="K138" s="223"/>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c r="BC138" s="224"/>
      <c r="BD138" s="224"/>
      <c r="BE138" s="224"/>
      <c r="BF138" s="224"/>
      <c r="BG138" s="224"/>
      <c r="BH138" s="224"/>
      <c r="BI138" s="224"/>
      <c r="BJ138" s="340"/>
    </row>
    <row r="139" ht="15.75" customHeight="1"/>
    <row r="140" ht="15.75" customHeight="1"/>
    <row r="141" ht="15.75" customHeight="1"/>
    <row r="142" ht="15.75" customHeight="1"/>
    <row r="143" ht="15.75" customHeight="1"/>
    <row r="144" ht="15.75" customHeight="1"/>
    <row r="145" ht="15.75" customHeight="1"/>
    <row r="146" ht="73.5" customHeight="1">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180"/>
    </row>
    <row r="147" ht="15.75" customHeight="1"/>
    <row r="148" ht="15.75" customHeight="1">
      <c r="BA148" s="226" t="s">
        <v>107</v>
      </c>
    </row>
    <row r="149" ht="15.75" customHeight="1">
      <c r="AL149" s="227"/>
      <c r="AM149" s="227"/>
      <c r="AN149" s="227"/>
      <c r="AO149" s="227"/>
      <c r="AP149" s="227"/>
      <c r="AQ149" s="227"/>
      <c r="AR149" s="227"/>
      <c r="AS149" s="227"/>
      <c r="AT149" s="227"/>
      <c r="AU149" s="227"/>
      <c r="AV149" s="227"/>
      <c r="AW149" s="227"/>
      <c r="AX149" s="227"/>
      <c r="BA149" s="227" t="s">
        <v>108</v>
      </c>
    </row>
    <row r="150" ht="15.75" customHeight="1"/>
  </sheetData>
  <mergeCells count="60">
    <mergeCell ref="A19:B19"/>
    <mergeCell ref="A20:B20"/>
    <mergeCell ref="A21:B21"/>
    <mergeCell ref="A23:C23"/>
    <mergeCell ref="D25:BB25"/>
    <mergeCell ref="BD25:BI25"/>
    <mergeCell ref="A26:A29"/>
    <mergeCell ref="BI27:BI29"/>
    <mergeCell ref="BG26:BI26"/>
    <mergeCell ref="AV27:AV29"/>
    <mergeCell ref="AW27:AW29"/>
    <mergeCell ref="AX27:AX29"/>
    <mergeCell ref="AY27:AY29"/>
    <mergeCell ref="AZ27:AZ29"/>
    <mergeCell ref="BA27:BA29"/>
    <mergeCell ref="B26:B29"/>
    <mergeCell ref="C26:C29"/>
    <mergeCell ref="A70:C70"/>
    <mergeCell ref="D72:AI72"/>
    <mergeCell ref="AK72:AT73"/>
    <mergeCell ref="D73:E74"/>
    <mergeCell ref="F73:F74"/>
    <mergeCell ref="G73:G74"/>
    <mergeCell ref="H73:AI74"/>
    <mergeCell ref="D75:D95"/>
    <mergeCell ref="AK75:AK95"/>
    <mergeCell ref="D96:D117"/>
    <mergeCell ref="AK96:AK117"/>
    <mergeCell ref="L122:T122"/>
    <mergeCell ref="D6:AX7"/>
    <mergeCell ref="D9:AX10"/>
    <mergeCell ref="D12:AX12"/>
    <mergeCell ref="A15:C15"/>
    <mergeCell ref="A16:C16"/>
    <mergeCell ref="A17:C17"/>
    <mergeCell ref="A18:B18"/>
    <mergeCell ref="D26:X26"/>
    <mergeCell ref="Y26:AT26"/>
    <mergeCell ref="AV26:BB26"/>
    <mergeCell ref="BD26:BF26"/>
    <mergeCell ref="BB27:BB29"/>
    <mergeCell ref="BD27:BD29"/>
    <mergeCell ref="BE27:BE29"/>
    <mergeCell ref="BF27:BF29"/>
    <mergeCell ref="BG27:BG29"/>
    <mergeCell ref="BH27:BH29"/>
    <mergeCell ref="L131:BI131"/>
    <mergeCell ref="L132:BI132"/>
    <mergeCell ref="L133:BI133"/>
    <mergeCell ref="L134:BI134"/>
    <mergeCell ref="L135:BI135"/>
    <mergeCell ref="L136:BI136"/>
    <mergeCell ref="L137:BI137"/>
    <mergeCell ref="L124:BI124"/>
    <mergeCell ref="L125:BI125"/>
    <mergeCell ref="L126:BI126"/>
    <mergeCell ref="L127:BI127"/>
    <mergeCell ref="L128:BI128"/>
    <mergeCell ref="L129:BI129"/>
    <mergeCell ref="L130:BI130"/>
  </mergeCells>
  <conditionalFormatting sqref="C30:C69">
    <cfRule type="containsText" dxfId="6" priority="1" operator="containsText" text="NÃO">
      <formula>NOT(ISERROR(SEARCH(("NÃO"),(C30))))</formula>
    </cfRule>
  </conditionalFormatting>
  <conditionalFormatting sqref="C30:C69">
    <cfRule type="containsText" dxfId="1" priority="2" operator="containsText" text="SIM">
      <formula>NOT(ISERROR(SEARCH(("SIM"),(C30))))</formula>
    </cfRule>
  </conditionalFormatting>
  <conditionalFormatting sqref="AV30:AZ69">
    <cfRule type="containsText" dxfId="6" priority="3" operator="containsText" text="F">
      <formula>NOT(ISERROR(SEARCH(("F"),(AV30))))</formula>
    </cfRule>
  </conditionalFormatting>
  <conditionalFormatting sqref="F30:F69">
    <cfRule type="containsText" dxfId="5" priority="4" operator="containsText" text="B">
      <formula>NOT(ISERROR(SEARCH(("B"),(F30))))</formula>
    </cfRule>
  </conditionalFormatting>
  <conditionalFormatting sqref="F30:F69">
    <cfRule type="containsText" dxfId="4" priority="5" operator="containsText" text="C">
      <formula>NOT(ISERROR(SEARCH(("C"),(F30))))</formula>
    </cfRule>
  </conditionalFormatting>
  <conditionalFormatting sqref="F30:F69">
    <cfRule type="containsText" dxfId="5" priority="6" operator="containsText" text="D">
      <formula>NOT(ISERROR(SEARCH(("D"),(F30))))</formula>
    </cfRule>
  </conditionalFormatting>
  <conditionalFormatting sqref="G30:G69">
    <cfRule type="containsText" dxfId="5" priority="7" operator="containsText" text="A">
      <formula>NOT(ISERROR(SEARCH(("A"),(G30))))</formula>
    </cfRule>
  </conditionalFormatting>
  <conditionalFormatting sqref="G30:G69">
    <cfRule type="containsText" dxfId="4" priority="8" operator="containsText" text="B">
      <formula>NOT(ISERROR(SEARCH(("B"),(G30))))</formula>
    </cfRule>
  </conditionalFormatting>
  <conditionalFormatting sqref="G30:G69">
    <cfRule type="containsText" dxfId="5" priority="9" operator="containsText" text="C">
      <formula>NOT(ISERROR(SEARCH(("C"),(G30))))</formula>
    </cfRule>
  </conditionalFormatting>
  <conditionalFormatting sqref="G30:G69">
    <cfRule type="containsText" dxfId="11" priority="10" operator="containsText" text="D">
      <formula>NOT(ISERROR(SEARCH(("D"),(G30))))</formula>
    </cfRule>
  </conditionalFormatting>
  <conditionalFormatting sqref="H30:H69">
    <cfRule type="containsText" dxfId="5" priority="11" operator="containsText" text="A">
      <formula>NOT(ISERROR(SEARCH(("A"),(H30))))</formula>
    </cfRule>
  </conditionalFormatting>
  <conditionalFormatting sqref="H30:H69">
    <cfRule type="containsText" dxfId="4" priority="12" operator="containsText" text="B">
      <formula>NOT(ISERROR(SEARCH(("B"),(H30))))</formula>
    </cfRule>
  </conditionalFormatting>
  <conditionalFormatting sqref="H30:H69">
    <cfRule type="containsText" dxfId="5" priority="13" operator="containsText" text="C">
      <formula>NOT(ISERROR(SEARCH(("C"),(H30))))</formula>
    </cfRule>
  </conditionalFormatting>
  <conditionalFormatting sqref="H30:H69">
    <cfRule type="containsText" dxfId="5" priority="14" operator="containsText" text="D">
      <formula>NOT(ISERROR(SEARCH(("D"),(H30))))</formula>
    </cfRule>
  </conditionalFormatting>
  <conditionalFormatting sqref="I30:I69">
    <cfRule type="containsText" dxfId="11" priority="15" operator="containsText" text="A">
      <formula>NOT(ISERROR(SEARCH(("A"),(I30))))</formula>
    </cfRule>
  </conditionalFormatting>
  <conditionalFormatting sqref="I30:I69">
    <cfRule type="containsText" dxfId="5" priority="16" operator="containsText" text="B">
      <formula>NOT(ISERROR(SEARCH(("B"),(I30))))</formula>
    </cfRule>
  </conditionalFormatting>
  <conditionalFormatting sqref="I30:I69">
    <cfRule type="containsText" dxfId="5" priority="17" operator="containsText" text="C">
      <formula>NOT(ISERROR(SEARCH(("C"),(I30))))</formula>
    </cfRule>
  </conditionalFormatting>
  <conditionalFormatting sqref="I30:I69">
    <cfRule type="containsText" dxfId="4" priority="18" operator="containsText" text="D">
      <formula>NOT(ISERROR(SEARCH(("D"),(I30))))</formula>
    </cfRule>
  </conditionalFormatting>
  <conditionalFormatting sqref="J30:J69">
    <cfRule type="containsText" dxfId="5" priority="19" operator="containsText" text="A">
      <formula>NOT(ISERROR(SEARCH(("A"),(J30))))</formula>
    </cfRule>
  </conditionalFormatting>
  <conditionalFormatting sqref="J30:J69">
    <cfRule type="containsText" dxfId="4" priority="20" operator="containsText" text="B">
      <formula>NOT(ISERROR(SEARCH(("B"),(J30))))</formula>
    </cfRule>
  </conditionalFormatting>
  <conditionalFormatting sqref="J30:J69">
    <cfRule type="containsText" dxfId="5" priority="21" operator="containsText" text="C">
      <formula>NOT(ISERROR(SEARCH(("C"),(J30))))</formula>
    </cfRule>
  </conditionalFormatting>
  <conditionalFormatting sqref="J30:J69">
    <cfRule type="containsText" dxfId="5" priority="22" operator="containsText" text="D">
      <formula>NOT(ISERROR(SEARCH(("D"),(J30))))</formula>
    </cfRule>
  </conditionalFormatting>
  <conditionalFormatting sqref="K30:K69">
    <cfRule type="containsText" dxfId="11" priority="23" operator="containsText" text="A">
      <formula>NOT(ISERROR(SEARCH(("A"),(K30))))</formula>
    </cfRule>
  </conditionalFormatting>
  <conditionalFormatting sqref="K30:K69">
    <cfRule type="containsText" dxfId="4" priority="24" operator="containsText" text="B">
      <formula>NOT(ISERROR(SEARCH(("B"),(K30))))</formula>
    </cfRule>
  </conditionalFormatting>
  <conditionalFormatting sqref="K30:K69">
    <cfRule type="containsText" dxfId="5" priority="25" operator="containsText" text="C">
      <formula>NOT(ISERROR(SEARCH(("C"),(K30))))</formula>
    </cfRule>
  </conditionalFormatting>
  <conditionalFormatting sqref="K30:K69">
    <cfRule type="containsText" dxfId="5" priority="26" operator="containsText" text="D">
      <formula>NOT(ISERROR(SEARCH(("D"),(K30))))</formula>
    </cfRule>
  </conditionalFormatting>
  <conditionalFormatting sqref="L30:L69">
    <cfRule type="containsText" dxfId="4" priority="27" operator="containsText" text="A">
      <formula>NOT(ISERROR(SEARCH(("A"),(L30))))</formula>
    </cfRule>
  </conditionalFormatting>
  <conditionalFormatting sqref="L30:L69">
    <cfRule type="containsText" dxfId="5" priority="28" operator="containsText" text="B">
      <formula>NOT(ISERROR(SEARCH(("B"),(L30))))</formula>
    </cfRule>
  </conditionalFormatting>
  <conditionalFormatting sqref="L30:L69">
    <cfRule type="containsText" dxfId="5" priority="29" operator="containsText" text="C">
      <formula>NOT(ISERROR(SEARCH(("C"),(L30))))</formula>
    </cfRule>
  </conditionalFormatting>
  <conditionalFormatting sqref="L30:L69">
    <cfRule type="containsText" dxfId="11" priority="30" operator="containsText" text="D">
      <formula>NOT(ISERROR(SEARCH(("D"),(L30))))</formula>
    </cfRule>
  </conditionalFormatting>
  <conditionalFormatting sqref="M30:M69">
    <cfRule type="containsText" dxfId="5" priority="31" operator="containsText" text="A">
      <formula>NOT(ISERROR(SEARCH(("A"),(M30))))</formula>
    </cfRule>
  </conditionalFormatting>
  <conditionalFormatting sqref="M30:M69">
    <cfRule type="containsText" dxfId="4" priority="32" operator="containsText" text="B">
      <formula>NOT(ISERROR(SEARCH(("B"),(M30))))</formula>
    </cfRule>
  </conditionalFormatting>
  <conditionalFormatting sqref="M30:M69">
    <cfRule type="containsText" dxfId="5" priority="33" operator="containsText" text="C">
      <formula>NOT(ISERROR(SEARCH(("C"),(M30))))</formula>
    </cfRule>
  </conditionalFormatting>
  <conditionalFormatting sqref="M30:M69">
    <cfRule type="containsText" dxfId="5" priority="34" operator="containsText" text="D">
      <formula>NOT(ISERROR(SEARCH(("D"),(M30))))</formula>
    </cfRule>
  </conditionalFormatting>
  <conditionalFormatting sqref="N30:N69">
    <cfRule type="containsText" dxfId="5" priority="35" operator="containsText" text="A">
      <formula>NOT(ISERROR(SEARCH(("A"),(N30))))</formula>
    </cfRule>
  </conditionalFormatting>
  <conditionalFormatting sqref="N30:N69">
    <cfRule type="containsText" dxfId="11" priority="36" operator="containsText" text="B">
      <formula>NOT(ISERROR(SEARCH(("B"),(N30))))</formula>
    </cfRule>
  </conditionalFormatting>
  <conditionalFormatting sqref="N30:N69">
    <cfRule type="containsText" dxfId="4" priority="37" operator="containsText" text="C">
      <formula>NOT(ISERROR(SEARCH(("C"),(N30))))</formula>
    </cfRule>
  </conditionalFormatting>
  <conditionalFormatting sqref="N30:N69">
    <cfRule type="containsText" dxfId="5" priority="38" operator="containsText" text="D">
      <formula>NOT(ISERROR(SEARCH(("D"),(N30))))</formula>
    </cfRule>
  </conditionalFormatting>
  <conditionalFormatting sqref="O30:O69">
    <cfRule type="containsText" dxfId="5" priority="39" operator="containsText" text="A">
      <formula>NOT(ISERROR(SEARCH(("A"),(O30))))</formula>
    </cfRule>
  </conditionalFormatting>
  <conditionalFormatting sqref="O30:O69">
    <cfRule type="containsText" dxfId="5" priority="40" operator="containsText" text="B">
      <formula>NOT(ISERROR(SEARCH(("B"),(O30))))</formula>
    </cfRule>
  </conditionalFormatting>
  <conditionalFormatting sqref="O30:O69">
    <cfRule type="containsText" dxfId="4" priority="41" operator="containsText" text="C">
      <formula>NOT(ISERROR(SEARCH(("C"),(O30))))</formula>
    </cfRule>
  </conditionalFormatting>
  <conditionalFormatting sqref="O30:O69">
    <cfRule type="containsText" dxfId="5" priority="42" operator="containsText" text="D">
      <formula>NOT(ISERROR(SEARCH(("D"),(O30))))</formula>
    </cfRule>
  </conditionalFormatting>
  <conditionalFormatting sqref="P30:P69">
    <cfRule type="containsText" dxfId="4" priority="43" operator="containsText" text="A">
      <formula>NOT(ISERROR(SEARCH(("A"),(P30))))</formula>
    </cfRule>
  </conditionalFormatting>
  <conditionalFormatting sqref="P30:P69">
    <cfRule type="containsText" dxfId="5" priority="44" operator="containsText" text="B">
      <formula>NOT(ISERROR(SEARCH(("B"),(P30))))</formula>
    </cfRule>
  </conditionalFormatting>
  <conditionalFormatting sqref="P30:P69">
    <cfRule type="containsText" dxfId="5" priority="45" operator="containsText" text="C">
      <formula>NOT(ISERROR(SEARCH(("C"),(P30))))</formula>
    </cfRule>
  </conditionalFormatting>
  <conditionalFormatting sqref="P30:P69">
    <cfRule type="containsText" dxfId="5" priority="46" operator="containsText" text="D">
      <formula>NOT(ISERROR(SEARCH(("D"),(P30))))</formula>
    </cfRule>
  </conditionalFormatting>
  <conditionalFormatting sqref="Q30:Q69">
    <cfRule type="containsText" dxfId="11" priority="47" operator="containsText" text="A">
      <formula>NOT(ISERROR(SEARCH(("A"),(Q30))))</formula>
    </cfRule>
  </conditionalFormatting>
  <conditionalFormatting sqref="Q30:Q69">
    <cfRule type="containsText" dxfId="12" priority="48" operator="containsText" text="B">
      <formula>NOT(ISERROR(SEARCH(("B"),(Q30))))</formula>
    </cfRule>
  </conditionalFormatting>
  <conditionalFormatting sqref="Q30:Q69">
    <cfRule type="containsText" dxfId="11" priority="49" operator="containsText" text="C">
      <formula>NOT(ISERROR(SEARCH(("C"),(Q30))))</formula>
    </cfRule>
  </conditionalFormatting>
  <conditionalFormatting sqref="Q30:Q69">
    <cfRule type="containsText" dxfId="5" priority="50" operator="containsText" text="D">
      <formula>NOT(ISERROR(SEARCH(("D"),(Q30))))</formula>
    </cfRule>
  </conditionalFormatting>
  <conditionalFormatting sqref="R30:R69">
    <cfRule type="containsText" dxfId="5" priority="51" operator="containsText" text="A">
      <formula>NOT(ISERROR(SEARCH(("A"),(R30))))</formula>
    </cfRule>
  </conditionalFormatting>
  <conditionalFormatting sqref="R30:R69">
    <cfRule type="containsText" dxfId="5" priority="52" operator="containsText" text="B">
      <formula>NOT(ISERROR(SEARCH(("B"),(R30))))</formula>
    </cfRule>
  </conditionalFormatting>
  <conditionalFormatting sqref="R30:R69">
    <cfRule type="containsText" dxfId="5" priority="53" operator="containsText" text="C">
      <formula>NOT(ISERROR(SEARCH(("C"),(R30))))</formula>
    </cfRule>
  </conditionalFormatting>
  <conditionalFormatting sqref="R30:R69">
    <cfRule type="containsText" dxfId="4" priority="54" operator="containsText" text="D">
      <formula>NOT(ISERROR(SEARCH(("D"),(R30))))</formula>
    </cfRule>
  </conditionalFormatting>
  <conditionalFormatting sqref="S30:S69">
    <cfRule type="containsText" dxfId="4" priority="55" operator="containsText" text="A">
      <formula>NOT(ISERROR(SEARCH(("A"),(S30))))</formula>
    </cfRule>
  </conditionalFormatting>
  <conditionalFormatting sqref="S30:S69">
    <cfRule type="containsText" dxfId="5" priority="56" operator="containsText" text="B">
      <formula>NOT(ISERROR(SEARCH(("B"),(S30))))</formula>
    </cfRule>
  </conditionalFormatting>
  <conditionalFormatting sqref="S30:S69">
    <cfRule type="containsText" dxfId="5" priority="57" operator="containsText" text="C">
      <formula>NOT(ISERROR(SEARCH(("C"),(S30))))</formula>
    </cfRule>
  </conditionalFormatting>
  <conditionalFormatting sqref="S30:S69">
    <cfRule type="containsText" dxfId="5" priority="58" operator="containsText" text="D">
      <formula>NOT(ISERROR(SEARCH(("D"),(S30))))</formula>
    </cfRule>
  </conditionalFormatting>
  <conditionalFormatting sqref="T30:T69">
    <cfRule type="containsText" dxfId="4" priority="59" operator="containsText" text="A">
      <formula>NOT(ISERROR(SEARCH(("A"),(T30))))</formula>
    </cfRule>
  </conditionalFormatting>
  <conditionalFormatting sqref="T30:T69">
    <cfRule type="containsText" dxfId="5" priority="60" operator="containsText" text="B">
      <formula>NOT(ISERROR(SEARCH(("B"),(T30))))</formula>
    </cfRule>
  </conditionalFormatting>
  <conditionalFormatting sqref="T30:T69">
    <cfRule type="containsText" dxfId="5" priority="61" operator="containsText" text="C">
      <formula>NOT(ISERROR(SEARCH(("C"),(T30))))</formula>
    </cfRule>
  </conditionalFormatting>
  <conditionalFormatting sqref="T30:T69">
    <cfRule type="containsText" dxfId="5" priority="62" operator="containsText" text="D">
      <formula>NOT(ISERROR(SEARCH(("D"),(T30))))</formula>
    </cfRule>
  </conditionalFormatting>
  <conditionalFormatting sqref="U30:U69">
    <cfRule type="containsText" dxfId="4" priority="63" operator="containsText" text="A">
      <formula>NOT(ISERROR(SEARCH(("A"),(U30))))</formula>
    </cfRule>
  </conditionalFormatting>
  <conditionalFormatting sqref="U30:U69">
    <cfRule type="containsText" dxfId="5" priority="64" operator="containsText" text="B">
      <formula>NOT(ISERROR(SEARCH(("B"),(U30))))</formula>
    </cfRule>
  </conditionalFormatting>
  <conditionalFormatting sqref="U30:U69">
    <cfRule type="containsText" dxfId="5" priority="65" operator="containsText" text="C">
      <formula>NOT(ISERROR(SEARCH(("C"),(U30))))</formula>
    </cfRule>
  </conditionalFormatting>
  <conditionalFormatting sqref="U30:U69">
    <cfRule type="containsText" dxfId="5" priority="66" operator="containsText" text="D">
      <formula>NOT(ISERROR(SEARCH(("D"),(U30))))</formula>
    </cfRule>
  </conditionalFormatting>
  <conditionalFormatting sqref="V30:V69">
    <cfRule type="containsText" dxfId="5" priority="67" operator="containsText" text="A">
      <formula>NOT(ISERROR(SEARCH(("A"),(V30))))</formula>
    </cfRule>
  </conditionalFormatting>
  <conditionalFormatting sqref="V30:V69">
    <cfRule type="containsText" dxfId="5" priority="68" operator="containsText" text="B">
      <formula>NOT(ISERROR(SEARCH(("B"),(V30))))</formula>
    </cfRule>
  </conditionalFormatting>
  <conditionalFormatting sqref="V30:V69">
    <cfRule type="containsText" dxfId="4" priority="69" operator="containsText" text="C">
      <formula>NOT(ISERROR(SEARCH(("C"),(V30))))</formula>
    </cfRule>
  </conditionalFormatting>
  <conditionalFormatting sqref="V30:V69">
    <cfRule type="containsText" dxfId="5" priority="70" operator="containsText" text="D">
      <formula>NOT(ISERROR(SEARCH(("D"),(V30))))</formula>
    </cfRule>
  </conditionalFormatting>
  <conditionalFormatting sqref="W30:W69">
    <cfRule type="containsText" dxfId="5" priority="71" operator="containsText" text="A">
      <formula>NOT(ISERROR(SEARCH(("A"),(W30))))</formula>
    </cfRule>
  </conditionalFormatting>
  <conditionalFormatting sqref="W30:W69">
    <cfRule type="containsText" dxfId="5" priority="72" operator="containsText" text="B">
      <formula>NOT(ISERROR(SEARCH(("B"),(W30))))</formula>
    </cfRule>
  </conditionalFormatting>
  <conditionalFormatting sqref="W30:W69">
    <cfRule type="containsText" dxfId="5" priority="73" operator="containsText" text="C">
      <formula>NOT(ISERROR(SEARCH(("C"),(W30))))</formula>
    </cfRule>
  </conditionalFormatting>
  <conditionalFormatting sqref="W30:W69">
    <cfRule type="containsText" dxfId="4" priority="74" operator="containsText" text="D">
      <formula>NOT(ISERROR(SEARCH(("D"),(W30))))</formula>
    </cfRule>
  </conditionalFormatting>
  <conditionalFormatting sqref="X30:X69">
    <cfRule type="containsText" dxfId="5" priority="75" operator="containsText" text="A">
      <formula>NOT(ISERROR(SEARCH(("A"),(X30))))</formula>
    </cfRule>
  </conditionalFormatting>
  <conditionalFormatting sqref="X30:X69">
    <cfRule type="containsText" dxfId="12" priority="76" operator="containsText" text="B">
      <formula>NOT(ISERROR(SEARCH(("B"),(X30))))</formula>
    </cfRule>
  </conditionalFormatting>
  <conditionalFormatting sqref="X30:X69">
    <cfRule type="containsText" dxfId="11" priority="77" operator="containsText" text="C">
      <formula>NOT(ISERROR(SEARCH(("C"),(X30))))</formula>
    </cfRule>
  </conditionalFormatting>
  <conditionalFormatting sqref="X30:X69">
    <cfRule type="containsText" dxfId="11" priority="78" operator="containsText" text="D">
      <formula>NOT(ISERROR(SEARCH(("D"),(X30))))</formula>
    </cfRule>
  </conditionalFormatting>
  <conditionalFormatting sqref="Y30:Y69">
    <cfRule type="containsText" dxfId="4" priority="79" operator="containsText" text="A">
      <formula>NOT(ISERROR(SEARCH(("A"),(Y30))))</formula>
    </cfRule>
  </conditionalFormatting>
  <conditionalFormatting sqref="Y30:Y69">
    <cfRule type="containsText" dxfId="5" priority="80" operator="containsText" text="B">
      <formula>NOT(ISERROR(SEARCH(("B"),(Y30))))</formula>
    </cfRule>
  </conditionalFormatting>
  <conditionalFormatting sqref="Y30:Y69">
    <cfRule type="containsText" dxfId="5" priority="81" operator="containsText" text="C">
      <formula>NOT(ISERROR(SEARCH(("C"),(Y30))))</formula>
    </cfRule>
  </conditionalFormatting>
  <conditionalFormatting sqref="Y30:Y69">
    <cfRule type="containsText" dxfId="5" priority="82" operator="containsText" text="D">
      <formula>NOT(ISERROR(SEARCH(("D"),(Y30))))</formula>
    </cfRule>
  </conditionalFormatting>
  <conditionalFormatting sqref="AB30:AB69">
    <cfRule type="containsText" dxfId="5" priority="83" operator="containsText" text="A">
      <formula>NOT(ISERROR(SEARCH(("A"),(AB30))))</formula>
    </cfRule>
  </conditionalFormatting>
  <conditionalFormatting sqref="AB30:AB69">
    <cfRule type="containsText" dxfId="5" priority="84" operator="containsText" text="B">
      <formula>NOT(ISERROR(SEARCH(("B"),(AB30))))</formula>
    </cfRule>
  </conditionalFormatting>
  <conditionalFormatting sqref="AB30:AB69">
    <cfRule type="containsText" dxfId="5" priority="85" operator="containsText" text="C">
      <formula>NOT(ISERROR(SEARCH(("C"),(AB30))))</formula>
    </cfRule>
  </conditionalFormatting>
  <conditionalFormatting sqref="AB30:AB69">
    <cfRule type="containsText" dxfId="4" priority="86" operator="containsText" text="D">
      <formula>NOT(ISERROR(SEARCH(("D"),(AB30))))</formula>
    </cfRule>
  </conditionalFormatting>
  <conditionalFormatting sqref="AC30:AC69">
    <cfRule type="containsText" dxfId="5" priority="87" operator="containsText" text="A">
      <formula>NOT(ISERROR(SEARCH(("A"),(AC30))))</formula>
    </cfRule>
  </conditionalFormatting>
  <conditionalFormatting sqref="AC30:AC69">
    <cfRule type="containsText" dxfId="5" priority="88" operator="containsText" text="B">
      <formula>NOT(ISERROR(SEARCH(("B"),(AC30))))</formula>
    </cfRule>
  </conditionalFormatting>
  <conditionalFormatting sqref="AC30:AC69">
    <cfRule type="containsText" dxfId="4" priority="89" operator="containsText" text="C">
      <formula>NOT(ISERROR(SEARCH(("C"),(AC30))))</formula>
    </cfRule>
  </conditionalFormatting>
  <conditionalFormatting sqref="AC30:AC69">
    <cfRule type="containsText" dxfId="5" priority="90" operator="containsText" text="D">
      <formula>NOT(ISERROR(SEARCH(("D"),(AC30))))</formula>
    </cfRule>
  </conditionalFormatting>
  <conditionalFormatting sqref="AD30:AD69">
    <cfRule type="containsText" dxfId="5" priority="91" operator="containsText" text="A">
      <formula>NOT(ISERROR(SEARCH(("A"),(AD30))))</formula>
    </cfRule>
  </conditionalFormatting>
  <conditionalFormatting sqref="AD30:AD69">
    <cfRule type="containsText" dxfId="5" priority="92" operator="containsText" text="B">
      <formula>NOT(ISERROR(SEARCH(("B"),(AD30))))</formula>
    </cfRule>
  </conditionalFormatting>
  <conditionalFormatting sqref="AD30:AD69">
    <cfRule type="containsText" dxfId="4" priority="93" operator="containsText" text="C">
      <formula>NOT(ISERROR(SEARCH(("C"),(AD30))))</formula>
    </cfRule>
  </conditionalFormatting>
  <conditionalFormatting sqref="AD30:AD69">
    <cfRule type="containsText" dxfId="5" priority="94" operator="containsText" text="D">
      <formula>NOT(ISERROR(SEARCH(("D"),(AD30))))</formula>
    </cfRule>
  </conditionalFormatting>
  <conditionalFormatting sqref="AE30:AE69">
    <cfRule type="containsText" dxfId="5" priority="95" operator="containsText" text="A">
      <formula>NOT(ISERROR(SEARCH(("A"),(AE30))))</formula>
    </cfRule>
  </conditionalFormatting>
  <conditionalFormatting sqref="AE30:AE69">
    <cfRule type="containsText" dxfId="4" priority="96" operator="containsText" text="B">
      <formula>NOT(ISERROR(SEARCH(("B"),(AE30))))</formula>
    </cfRule>
  </conditionalFormatting>
  <conditionalFormatting sqref="AE30:AE69">
    <cfRule type="containsText" dxfId="5" priority="97" operator="containsText" text="C">
      <formula>NOT(ISERROR(SEARCH(("C"),(AE30))))</formula>
    </cfRule>
  </conditionalFormatting>
  <conditionalFormatting sqref="AE30:AE69">
    <cfRule type="containsText" dxfId="5" priority="98" operator="containsText" text="D">
      <formula>NOT(ISERROR(SEARCH(("D"),(AE30))))</formula>
    </cfRule>
  </conditionalFormatting>
  <conditionalFormatting sqref="AF30:AF69">
    <cfRule type="containsText" dxfId="4" priority="99" operator="containsText" text="A">
      <formula>NOT(ISERROR(SEARCH(("A"),(AF30))))</formula>
    </cfRule>
  </conditionalFormatting>
  <conditionalFormatting sqref="AF30:AF69">
    <cfRule type="containsText" dxfId="5" priority="100" operator="containsText" text="B">
      <formula>NOT(ISERROR(SEARCH(("B"),(AF30))))</formula>
    </cfRule>
  </conditionalFormatting>
  <conditionalFormatting sqref="AF30:AF69">
    <cfRule type="containsText" dxfId="11" priority="101" operator="containsText" text="C">
      <formula>NOT(ISERROR(SEARCH(("C"),(AF30))))</formula>
    </cfRule>
  </conditionalFormatting>
  <conditionalFormatting sqref="AF30:AF69">
    <cfRule type="containsText" dxfId="11" priority="102" operator="containsText" text="D">
      <formula>NOT(ISERROR(SEARCH(("D"),(AF30))))</formula>
    </cfRule>
  </conditionalFormatting>
  <conditionalFormatting sqref="AG30:AG69">
    <cfRule type="containsText" dxfId="5" priority="103" operator="containsText" text="A">
      <formula>NOT(ISERROR(SEARCH(("A"),(AG30))))</formula>
    </cfRule>
  </conditionalFormatting>
  <conditionalFormatting sqref="AG30:AG69">
    <cfRule type="containsText" dxfId="5" priority="104" operator="containsText" text="B">
      <formula>NOT(ISERROR(SEARCH(("B"),(AG30))))</formula>
    </cfRule>
  </conditionalFormatting>
  <conditionalFormatting sqref="AG30:AG69">
    <cfRule type="containsText" dxfId="5" priority="105" operator="containsText" text="C">
      <formula>NOT(ISERROR(SEARCH(("C"),(AG30))))</formula>
    </cfRule>
  </conditionalFormatting>
  <conditionalFormatting sqref="AG30:AG69">
    <cfRule type="containsText" dxfId="4" priority="106" operator="containsText" text="D">
      <formula>NOT(ISERROR(SEARCH(("D"),(AG30))))</formula>
    </cfRule>
  </conditionalFormatting>
  <conditionalFormatting sqref="AH30:AH69">
    <cfRule type="containsText" dxfId="4" priority="107" operator="containsText" text="A">
      <formula>NOT(ISERROR(SEARCH(("A"),(AH30))))</formula>
    </cfRule>
  </conditionalFormatting>
  <conditionalFormatting sqref="AH30:AH69">
    <cfRule type="containsText" dxfId="5" priority="108" operator="containsText" text="B">
      <formula>NOT(ISERROR(SEARCH(("B"),(AH30))))</formula>
    </cfRule>
  </conditionalFormatting>
  <conditionalFormatting sqref="AH30:AH69">
    <cfRule type="containsText" dxfId="5" priority="109" operator="containsText" text="C">
      <formula>NOT(ISERROR(SEARCH(("C"),(AH30))))</formula>
    </cfRule>
  </conditionalFormatting>
  <conditionalFormatting sqref="AH30:AH69">
    <cfRule type="containsText" dxfId="5" priority="110" operator="containsText" text="D">
      <formula>NOT(ISERROR(SEARCH(("D"),(AH30))))</formula>
    </cfRule>
  </conditionalFormatting>
  <conditionalFormatting sqref="AI30:AI69">
    <cfRule type="containsText" dxfId="5" priority="111" operator="containsText" text="A">
      <formula>NOT(ISERROR(SEARCH(("A"),(AI30))))</formula>
    </cfRule>
  </conditionalFormatting>
  <conditionalFormatting sqref="AI30:AI69">
    <cfRule type="containsText" dxfId="5" priority="112" operator="containsText" text="B">
      <formula>NOT(ISERROR(SEARCH(("B"),(AI30))))</formula>
    </cfRule>
  </conditionalFormatting>
  <conditionalFormatting sqref="AI30:AI69">
    <cfRule type="containsText" dxfId="4" priority="113" operator="containsText" text="C">
      <formula>NOT(ISERROR(SEARCH(("C"),(AI30))))</formula>
    </cfRule>
  </conditionalFormatting>
  <conditionalFormatting sqref="AI30:AI69">
    <cfRule type="containsText" dxfId="5" priority="114" operator="containsText" text="D">
      <formula>NOT(ISERROR(SEARCH(("D"),(AI30))))</formula>
    </cfRule>
  </conditionalFormatting>
  <conditionalFormatting sqref="AJ30:AJ69">
    <cfRule type="containsText" dxfId="5" priority="115" operator="containsText" text="A">
      <formula>NOT(ISERROR(SEARCH(("A"),(AJ30))))</formula>
    </cfRule>
  </conditionalFormatting>
  <conditionalFormatting sqref="AJ30:AJ69">
    <cfRule type="containsText" dxfId="4" priority="116" operator="containsText" text="B">
      <formula>NOT(ISERROR(SEARCH(("B"),(AJ30))))</formula>
    </cfRule>
  </conditionalFormatting>
  <conditionalFormatting sqref="AJ30:AJ69">
    <cfRule type="containsText" dxfId="5" priority="117" operator="containsText" text="C">
      <formula>NOT(ISERROR(SEARCH(("C"),(AJ30))))</formula>
    </cfRule>
  </conditionalFormatting>
  <conditionalFormatting sqref="AJ30:AJ69">
    <cfRule type="containsText" dxfId="5" priority="118" operator="containsText" text="D">
      <formula>NOT(ISERROR(SEARCH(("D"),(AJ30))))</formula>
    </cfRule>
  </conditionalFormatting>
  <conditionalFormatting sqref="AK30:AK69">
    <cfRule type="containsText" dxfId="5" priority="119" operator="containsText" text="A">
      <formula>NOT(ISERROR(SEARCH(("A"),(AK30))))</formula>
    </cfRule>
  </conditionalFormatting>
  <conditionalFormatting sqref="AK30:AK69">
    <cfRule type="containsText" dxfId="5" priority="120" operator="containsText" text="B">
      <formula>NOT(ISERROR(SEARCH(("B"),(AK30))))</formula>
    </cfRule>
  </conditionalFormatting>
  <conditionalFormatting sqref="AK30:AK69">
    <cfRule type="containsText" dxfId="5" priority="121" operator="containsText" text="C">
      <formula>NOT(ISERROR(SEARCH(("C"),(AK30))))</formula>
    </cfRule>
  </conditionalFormatting>
  <conditionalFormatting sqref="AK30:AK69">
    <cfRule type="containsText" dxfId="4" priority="122" operator="containsText" text="D">
      <formula>NOT(ISERROR(SEARCH(("D"),(AK30))))</formula>
    </cfRule>
  </conditionalFormatting>
  <conditionalFormatting sqref="AL30:AL69">
    <cfRule type="containsText" dxfId="5" priority="123" operator="containsText" text="A">
      <formula>NOT(ISERROR(SEARCH(("A"),(AL30))))</formula>
    </cfRule>
  </conditionalFormatting>
  <conditionalFormatting sqref="AL30:AL69">
    <cfRule type="containsText" dxfId="4" priority="124" operator="containsText" text="B">
      <formula>NOT(ISERROR(SEARCH(("B"),(AL30))))</formula>
    </cfRule>
  </conditionalFormatting>
  <conditionalFormatting sqref="AL30:AL69">
    <cfRule type="containsText" dxfId="5" priority="125" operator="containsText" text="C">
      <formula>NOT(ISERROR(SEARCH(("C"),(AL30))))</formula>
    </cfRule>
  </conditionalFormatting>
  <conditionalFormatting sqref="AL30:AL69">
    <cfRule type="containsText" dxfId="5" priority="126" operator="containsText" text="D">
      <formula>NOT(ISERROR(SEARCH(("D"),(AL30))))</formula>
    </cfRule>
  </conditionalFormatting>
  <conditionalFormatting sqref="AM30:AM69">
    <cfRule type="containsText" dxfId="5" priority="127" operator="containsText" text="A">
      <formula>NOT(ISERROR(SEARCH(("A"),(AM30))))</formula>
    </cfRule>
  </conditionalFormatting>
  <conditionalFormatting sqref="AM30:AM69">
    <cfRule type="containsText" dxfId="5" priority="128" operator="containsText" text="B">
      <formula>NOT(ISERROR(SEARCH(("B"),(AM30))))</formula>
    </cfRule>
  </conditionalFormatting>
  <conditionalFormatting sqref="AM30:AM69">
    <cfRule type="containsText" dxfId="4" priority="129" operator="containsText" text="C">
      <formula>NOT(ISERROR(SEARCH(("C"),(AM30))))</formula>
    </cfRule>
  </conditionalFormatting>
  <conditionalFormatting sqref="AM30:AM69">
    <cfRule type="containsText" dxfId="5" priority="130" operator="containsText" text="D">
      <formula>NOT(ISERROR(SEARCH(("D"),(AM30))))</formula>
    </cfRule>
  </conditionalFormatting>
  <conditionalFormatting sqref="AN30:AN69">
    <cfRule type="containsText" dxfId="4" priority="131" operator="containsText" text="A">
      <formula>NOT(ISERROR(SEARCH(("A"),(AN30))))</formula>
    </cfRule>
  </conditionalFormatting>
  <conditionalFormatting sqref="AN30:AN69">
    <cfRule type="containsText" dxfId="5" priority="132" operator="containsText" text="B">
      <formula>NOT(ISERROR(SEARCH(("B"),(AN30))))</formula>
    </cfRule>
  </conditionalFormatting>
  <conditionalFormatting sqref="AN30:AN69">
    <cfRule type="containsText" dxfId="11" priority="133" operator="containsText" text="C">
      <formula>NOT(ISERROR(SEARCH(("C"),(AN30))))</formula>
    </cfRule>
  </conditionalFormatting>
  <conditionalFormatting sqref="AN30:AN69">
    <cfRule type="containsText" dxfId="11" priority="134" operator="containsText" text="D">
      <formula>NOT(ISERROR(SEARCH(("D"),(AN30))))</formula>
    </cfRule>
  </conditionalFormatting>
  <conditionalFormatting sqref="AO30:AO69">
    <cfRule type="containsText" dxfId="5" priority="135" operator="containsText" text="A">
      <formula>NOT(ISERROR(SEARCH(("A"),(AO30))))</formula>
    </cfRule>
  </conditionalFormatting>
  <conditionalFormatting sqref="AO30:AO69">
    <cfRule type="containsText" dxfId="4" priority="136" operator="containsText" text="B">
      <formula>NOT(ISERROR(SEARCH(("B"),(AO30))))</formula>
    </cfRule>
  </conditionalFormatting>
  <conditionalFormatting sqref="AO30:AO69">
    <cfRule type="containsText" dxfId="11" priority="137" operator="containsText" text="C">
      <formula>NOT(ISERROR(SEARCH(("C"),(AO30))))</formula>
    </cfRule>
  </conditionalFormatting>
  <conditionalFormatting sqref="AO30:AO69">
    <cfRule type="containsText" dxfId="5" priority="138" operator="containsText" text="D">
      <formula>NOT(ISERROR(SEARCH(("D"),(AO30))))</formula>
    </cfRule>
  </conditionalFormatting>
  <conditionalFormatting sqref="AP30:AP69">
    <cfRule type="containsText" dxfId="5" priority="139" operator="containsText" text="A">
      <formula>NOT(ISERROR(SEARCH(("A"),(AP30))))</formula>
    </cfRule>
  </conditionalFormatting>
  <conditionalFormatting sqref="AP30:AP69">
    <cfRule type="containsText" dxfId="5" priority="140" operator="containsText" text="B">
      <formula>NOT(ISERROR(SEARCH(("B"),(AP30))))</formula>
    </cfRule>
  </conditionalFormatting>
  <conditionalFormatting sqref="AP30:AP69">
    <cfRule type="containsText" dxfId="5" priority="141" operator="containsText" text="C">
      <formula>NOT(ISERROR(SEARCH(("C"),(AP30))))</formula>
    </cfRule>
  </conditionalFormatting>
  <conditionalFormatting sqref="AP30:AP69">
    <cfRule type="containsText" dxfId="4" priority="142" operator="containsText" text="D">
      <formula>NOT(ISERROR(SEARCH(("D"),(AP30))))</formula>
    </cfRule>
  </conditionalFormatting>
  <conditionalFormatting sqref="AQ30:AQ69">
    <cfRule type="containsText" dxfId="4" priority="143" operator="containsText" text="A">
      <formula>NOT(ISERROR(SEARCH(("A"),(AQ30))))</formula>
    </cfRule>
  </conditionalFormatting>
  <conditionalFormatting sqref="AQ30:AQ69">
    <cfRule type="containsText" dxfId="5" priority="144" operator="containsText" text="B">
      <formula>NOT(ISERROR(SEARCH(("B"),(AQ30))))</formula>
    </cfRule>
  </conditionalFormatting>
  <conditionalFormatting sqref="AQ30:AQ69">
    <cfRule type="containsText" dxfId="5" priority="145" operator="containsText" text="C">
      <formula>NOT(ISERROR(SEARCH(("C"),(AQ30))))</formula>
    </cfRule>
  </conditionalFormatting>
  <conditionalFormatting sqref="AQ30:AQ69">
    <cfRule type="containsText" dxfId="11" priority="146" operator="containsText" text="D">
      <formula>NOT(ISERROR(SEARCH(("D"),(AQ30))))</formula>
    </cfRule>
  </conditionalFormatting>
  <conditionalFormatting sqref="AR30:AR69">
    <cfRule type="containsText" dxfId="5" priority="147" operator="containsText" text="A">
      <formula>NOT(ISERROR(SEARCH(("A"),(AR30))))</formula>
    </cfRule>
  </conditionalFormatting>
  <conditionalFormatting sqref="AR30:AR69">
    <cfRule type="containsText" dxfId="5" priority="148" operator="containsText" text="B">
      <formula>NOT(ISERROR(SEARCH(("B"),(AR30))))</formula>
    </cfRule>
  </conditionalFormatting>
  <conditionalFormatting sqref="AR30:AR69">
    <cfRule type="containsText" dxfId="4" priority="149" operator="containsText" text="C">
      <formula>NOT(ISERROR(SEARCH(("C"),(AR30))))</formula>
    </cfRule>
  </conditionalFormatting>
  <conditionalFormatting sqref="AR30:AR69">
    <cfRule type="containsText" dxfId="5" priority="150" operator="containsText" text="D">
      <formula>NOT(ISERROR(SEARCH(("D"),(AR30))))</formula>
    </cfRule>
  </conditionalFormatting>
  <conditionalFormatting sqref="AS30:AS69">
    <cfRule type="containsText" dxfId="5" priority="151" operator="containsText" text="A">
      <formula>NOT(ISERROR(SEARCH(("A"),(AS30))))</formula>
    </cfRule>
  </conditionalFormatting>
  <conditionalFormatting sqref="AS30:AS69">
    <cfRule type="containsText" dxfId="5" priority="152" operator="containsText" text="B">
      <formula>NOT(ISERROR(SEARCH(("B"),(AS30))))</formula>
    </cfRule>
  </conditionalFormatting>
  <conditionalFormatting sqref="AS30:AS69">
    <cfRule type="containsText" dxfId="4" priority="153" operator="containsText" text="C">
      <formula>NOT(ISERROR(SEARCH(("C"),(AS30))))</formula>
    </cfRule>
  </conditionalFormatting>
  <conditionalFormatting sqref="AS30:AS69">
    <cfRule type="containsText" dxfId="5" priority="154" operator="containsText" text="D">
      <formula>NOT(ISERROR(SEARCH(("D"),(AS30))))</formula>
    </cfRule>
  </conditionalFormatting>
  <conditionalFormatting sqref="AT30:AT69">
    <cfRule type="containsText" dxfId="5" priority="155" operator="containsText" text="A">
      <formula>NOT(ISERROR(SEARCH(("A"),(AT30))))</formula>
    </cfRule>
  </conditionalFormatting>
  <conditionalFormatting sqref="AT30:AT69">
    <cfRule type="containsText" dxfId="12" priority="156" operator="containsText" text="B">
      <formula>NOT(ISERROR(SEARCH(("B"),(AT30))))</formula>
    </cfRule>
  </conditionalFormatting>
  <conditionalFormatting sqref="AT30:AT69">
    <cfRule type="containsText" dxfId="11" priority="157" operator="containsText" text="C">
      <formula>NOT(ISERROR(SEARCH(("C"),(AT30))))</formula>
    </cfRule>
  </conditionalFormatting>
  <conditionalFormatting sqref="AT30:AT69">
    <cfRule type="containsText" dxfId="11" priority="158" operator="containsText" text="D">
      <formula>NOT(ISERROR(SEARCH(("D"),(AT30))))</formula>
    </cfRule>
  </conditionalFormatting>
  <conditionalFormatting sqref="AV30:AV69">
    <cfRule type="containsText" dxfId="4" priority="159" operator="containsText" text="A">
      <formula>NOT(ISERROR(SEARCH(("A"),(AV30))))</formula>
    </cfRule>
  </conditionalFormatting>
  <conditionalFormatting sqref="AV30:AV69">
    <cfRule type="containsText" dxfId="5" priority="160" operator="containsText" text="B">
      <formula>NOT(ISERROR(SEARCH(("B"),(AV30))))</formula>
    </cfRule>
  </conditionalFormatting>
  <conditionalFormatting sqref="AV30:AV69">
    <cfRule type="containsText" dxfId="5" priority="161" operator="containsText" text="C">
      <formula>NOT(ISERROR(SEARCH(("C"),(AV30))))</formula>
    </cfRule>
  </conditionalFormatting>
  <conditionalFormatting sqref="AV30:AV69">
    <cfRule type="containsText" dxfId="5" priority="162" operator="containsText" text="X">
      <formula>NOT(ISERROR(SEARCH(("X"),(AV30))))</formula>
    </cfRule>
  </conditionalFormatting>
  <conditionalFormatting sqref="BA30:BA69">
    <cfRule type="containsText" dxfId="6" priority="163" operator="containsText" text="F">
      <formula>NOT(ISERROR(SEARCH(("F"),(BA30))))</formula>
    </cfRule>
  </conditionalFormatting>
  <conditionalFormatting sqref="BB30:BB69 BF30:BF69 BI30:BI69">
    <cfRule type="containsText" dxfId="13" priority="164" operator="containsText" text="Abaixo do Básico">
      <formula>NOT(ISERROR(SEARCH(("Abaixo do Básico"),(BB30))))</formula>
    </cfRule>
  </conditionalFormatting>
  <conditionalFormatting sqref="BB30:BB69 BF30:BF69 BI30:BI69">
    <cfRule type="containsText" dxfId="14" priority="165" operator="containsText" text="Básico">
      <formula>NOT(ISERROR(SEARCH(("Básico"),(BB30))))</formula>
    </cfRule>
  </conditionalFormatting>
  <conditionalFormatting sqref="BB30:BB69 BF30:BF69 BI30:BI69">
    <cfRule type="containsText" dxfId="15" priority="166" operator="containsText" text="Adequado">
      <formula>NOT(ISERROR(SEARCH(("Adequado"),(BB30))))</formula>
    </cfRule>
  </conditionalFormatting>
  <conditionalFormatting sqref="BB30:BB69 BF30:BF69 BI30:BI69">
    <cfRule type="containsText" dxfId="16" priority="167" operator="containsText" text="Avançado">
      <formula>NOT(ISERROR(SEARCH(("Avançado"),(BB30))))</formula>
    </cfRule>
  </conditionalFormatting>
  <conditionalFormatting sqref="AV30:BB69">
    <cfRule type="containsBlanks" dxfId="6" priority="168">
      <formula>LEN(TRIM(AV30))=0</formula>
    </cfRule>
  </conditionalFormatting>
  <conditionalFormatting sqref="BD30:BI69">
    <cfRule type="containsBlanks" dxfId="6" priority="169">
      <formula>LEN(TRIM(BD30))=0</formula>
    </cfRule>
  </conditionalFormatting>
  <conditionalFormatting sqref="D30:D69">
    <cfRule type="containsText" dxfId="5" priority="170" operator="containsText" text="A">
      <formula>NOT(ISERROR(SEARCH(("A"),(D30))))</formula>
    </cfRule>
  </conditionalFormatting>
  <conditionalFormatting sqref="D30:D69">
    <cfRule type="containsText" dxfId="5" priority="171" operator="containsText" text="B">
      <formula>NOT(ISERROR(SEARCH(("B"),(D30))))</formula>
    </cfRule>
  </conditionalFormatting>
  <conditionalFormatting sqref="D30:D69">
    <cfRule type="containsText" dxfId="4" priority="172" operator="containsText" text="C">
      <formula>NOT(ISERROR(SEARCH(("C"),(D30))))</formula>
    </cfRule>
  </conditionalFormatting>
  <conditionalFormatting sqref="D30:D69">
    <cfRule type="containsText" dxfId="5" priority="173" operator="containsText" text="D">
      <formula>NOT(ISERROR(SEARCH(("D"),(D30))))</formula>
    </cfRule>
  </conditionalFormatting>
  <conditionalFormatting sqref="Z30:Z69">
    <cfRule type="containsText" dxfId="5" priority="174" operator="containsText" text="A">
      <formula>NOT(ISERROR(SEARCH(("A"),(Z30))))</formula>
    </cfRule>
  </conditionalFormatting>
  <conditionalFormatting sqref="Z30:Z69">
    <cfRule type="containsText" dxfId="5" priority="175" operator="containsText" text="B">
      <formula>NOT(ISERROR(SEARCH(("B"),(Z30))))</formula>
    </cfRule>
  </conditionalFormatting>
  <conditionalFormatting sqref="Z30:Z69">
    <cfRule type="containsText" dxfId="5" priority="176" operator="containsText" text="C">
      <formula>NOT(ISERROR(SEARCH(("C"),(Z30))))</formula>
    </cfRule>
  </conditionalFormatting>
  <conditionalFormatting sqref="Z30:Z69">
    <cfRule type="containsText" dxfId="4" priority="177" operator="containsText" text="D">
      <formula>NOT(ISERROR(SEARCH(("D"),(Z30))))</formula>
    </cfRule>
  </conditionalFormatting>
  <conditionalFormatting sqref="AA30:AA69">
    <cfRule type="containsText" dxfId="5" priority="178" operator="containsText" text="A">
      <formula>NOT(ISERROR(SEARCH(("A"),(AA30))))</formula>
    </cfRule>
  </conditionalFormatting>
  <conditionalFormatting sqref="AA30:AA69">
    <cfRule type="containsText" dxfId="5" priority="179" operator="containsText" text="B">
      <formula>NOT(ISERROR(SEARCH(("B"),(AA30))))</formula>
    </cfRule>
  </conditionalFormatting>
  <conditionalFormatting sqref="AA30:AA69">
    <cfRule type="containsText" dxfId="4" priority="180" operator="containsText" text="C">
      <formula>NOT(ISERROR(SEARCH(("C"),(AA30))))</formula>
    </cfRule>
  </conditionalFormatting>
  <conditionalFormatting sqref="AA30:AA69">
    <cfRule type="containsText" dxfId="5" priority="181" operator="containsText" text="D">
      <formula>NOT(ISERROR(SEARCH(("D"),(AA30))))</formula>
    </cfRule>
  </conditionalFormatting>
  <conditionalFormatting sqref="D30:AT69">
    <cfRule type="containsText" dxfId="6" priority="182" operator="containsText" text="F">
      <formula>NOT(ISERROR(SEARCH(("F"),(D30))))</formula>
    </cfRule>
  </conditionalFormatting>
  <conditionalFormatting sqref="D30:AT69">
    <cfRule type="containsText" dxfId="5" priority="183" operator="containsText" text="X">
      <formula>NOT(ISERROR(SEARCH(("X"),(D30))))</formula>
    </cfRule>
  </conditionalFormatting>
  <conditionalFormatting sqref="D30:AT69">
    <cfRule type="containsBlanks" dxfId="6" priority="184">
      <formula>LEN(TRIM(D30))=0</formula>
    </cfRule>
  </conditionalFormatting>
  <conditionalFormatting sqref="B30:B69">
    <cfRule type="containsBlanks" dxfId="6" priority="185">
      <formula>LEN(TRIM(B30))=0</formula>
    </cfRule>
  </conditionalFormatting>
  <conditionalFormatting sqref="F30:F69">
    <cfRule type="containsText" dxfId="5" priority="186" operator="containsText" text="A">
      <formula>NOT(ISERROR(SEARCH(("A"),(F30))))</formula>
    </cfRule>
  </conditionalFormatting>
  <conditionalFormatting sqref="E30:E69">
    <cfRule type="containsText" dxfId="5" priority="187" operator="containsText" text="A">
      <formula>NOT(ISERROR(SEARCH(("A"),(E30))))</formula>
    </cfRule>
  </conditionalFormatting>
  <conditionalFormatting sqref="E30:E69">
    <cfRule type="containsText" dxfId="5" priority="188" operator="containsText" text="B">
      <formula>NOT(ISERROR(SEARCH(("B"),(E30))))</formula>
    </cfRule>
  </conditionalFormatting>
  <conditionalFormatting sqref="E30:E69">
    <cfRule type="containsText" dxfId="4" priority="189" operator="containsText" text="C">
      <formula>NOT(ISERROR(SEARCH(("C"),(E30))))</formula>
    </cfRule>
  </conditionalFormatting>
  <conditionalFormatting sqref="E30:E69">
    <cfRule type="containsText" dxfId="5" priority="190" operator="containsText" text="D">
      <formula>NOT(ISERROR(SEARCH(("D"),(E30))))</formula>
    </cfRule>
  </conditionalFormatting>
  <hyperlinks>
    <hyperlink r:id="rId1" ref="A23"/>
  </hyperlinks>
  <printOptions horizontalCentered="1"/>
  <pageMargins bottom="0.75" footer="0.0" header="0.0" left="0.7" right="0.7" top="0.75"/>
  <pageSetup fitToHeight="0" paperSize="9" cellComments="atEnd" orientation="landscape"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46" width="4.75"/>
    <col customWidth="1" min="47" max="47" width="3.38"/>
    <col customWidth="1" min="48" max="49" width="4.13"/>
    <col customWidth="1" min="50" max="50" width="4.25"/>
    <col customWidth="1" min="51" max="51" width="4.63"/>
    <col customWidth="1" min="52" max="52" width="4.75"/>
    <col customWidth="1" min="53" max="53" width="4.25"/>
    <col customWidth="1" min="54" max="54" width="14.13"/>
    <col customWidth="1" min="55" max="55" width="1.88"/>
    <col customWidth="1" min="56" max="56" width="5.25"/>
    <col customWidth="1" min="57" max="57" width="5.0"/>
    <col customWidth="1" min="58" max="58" width="14.13"/>
    <col customWidth="1" min="59" max="59" width="5.13"/>
    <col customWidth="1" min="60" max="60" width="4.75"/>
    <col customWidth="1" min="61" max="61" width="15.75"/>
    <col customWidth="1" min="62" max="63"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row>
    <row r="6" ht="25.5" customHeight="1">
      <c r="A6" s="1"/>
      <c r="B6" s="1"/>
      <c r="C6" s="1"/>
      <c r="D6" s="5" t="s">
        <v>0</v>
      </c>
      <c r="AY6" s="5"/>
      <c r="AZ6" s="5"/>
      <c r="BA6" s="5"/>
      <c r="BB6" s="5"/>
      <c r="BC6" s="5"/>
      <c r="BD6" s="5"/>
      <c r="BE6" s="5"/>
      <c r="BF6" s="4"/>
      <c r="BG6" s="4"/>
      <c r="BH6" s="4"/>
      <c r="BI6" s="3"/>
      <c r="BJ6" s="3"/>
      <c r="BK6" s="3"/>
    </row>
    <row r="7" ht="25.5" customHeight="1">
      <c r="A7" s="1"/>
      <c r="B7" s="1"/>
      <c r="C7" s="1"/>
      <c r="AY7" s="5"/>
      <c r="AZ7" s="5"/>
      <c r="BA7" s="5"/>
      <c r="BB7" s="5"/>
      <c r="BC7" s="5"/>
      <c r="BD7" s="5"/>
      <c r="BE7" s="5"/>
      <c r="BF7" s="4"/>
      <c r="BG7" s="4"/>
      <c r="BH7" s="4"/>
      <c r="BI7" s="3"/>
      <c r="BJ7" s="3"/>
      <c r="BK7" s="3"/>
    </row>
    <row r="8" ht="25.5" customHeight="1">
      <c r="A8" s="1"/>
      <c r="B8" s="1"/>
      <c r="C8" s="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4"/>
      <c r="BG8" s="4"/>
      <c r="BH8" s="4"/>
      <c r="BI8" s="3"/>
      <c r="BJ8" s="3"/>
      <c r="BK8" s="3"/>
    </row>
    <row r="9" ht="25.5" customHeight="1">
      <c r="A9" s="1"/>
      <c r="B9" s="1"/>
      <c r="C9" s="1"/>
      <c r="D9" s="6" t="s">
        <v>1</v>
      </c>
      <c r="AY9" s="7"/>
      <c r="AZ9" s="7"/>
      <c r="BA9" s="7"/>
      <c r="BB9" s="7"/>
      <c r="BC9" s="7"/>
      <c r="BD9" s="7"/>
      <c r="BE9" s="7"/>
      <c r="BF9" s="4"/>
      <c r="BG9" s="4"/>
      <c r="BH9" s="4"/>
      <c r="BI9" s="3"/>
      <c r="BJ9" s="3"/>
      <c r="BK9" s="3"/>
    </row>
    <row r="10" ht="25.5" customHeight="1">
      <c r="A10" s="1"/>
      <c r="B10" s="1"/>
      <c r="C10" s="1"/>
      <c r="AY10" s="7"/>
      <c r="AZ10" s="7"/>
      <c r="BA10" s="7"/>
      <c r="BB10" s="7"/>
      <c r="BC10" s="7"/>
      <c r="BD10" s="7"/>
      <c r="BE10" s="7"/>
      <c r="BF10" s="4"/>
      <c r="BG10" s="4"/>
      <c r="BH10" s="4"/>
      <c r="BI10" s="3"/>
      <c r="BJ10" s="3"/>
      <c r="BK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row>
    <row r="12" ht="25.5" customHeight="1">
      <c r="A12" s="1"/>
      <c r="B12" s="1"/>
      <c r="C12" s="1"/>
      <c r="D12" s="8" t="s">
        <v>2</v>
      </c>
      <c r="AY12" s="9"/>
      <c r="AZ12" s="9"/>
      <c r="BA12" s="9"/>
      <c r="BB12" s="9"/>
      <c r="BC12" s="9"/>
      <c r="BD12" s="9"/>
      <c r="BE12" s="9"/>
      <c r="BF12" s="4"/>
      <c r="BG12" s="4"/>
      <c r="BH12" s="4"/>
      <c r="BI12" s="3"/>
      <c r="BJ12" s="3"/>
      <c r="BK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V13" s="3"/>
      <c r="AW13" s="3"/>
      <c r="AX13" s="3"/>
      <c r="AY13" s="3"/>
      <c r="AZ13" s="3"/>
      <c r="BA13" s="3"/>
      <c r="BB13" s="4"/>
      <c r="BC13" s="4"/>
      <c r="BD13" s="4"/>
      <c r="BE13" s="4"/>
      <c r="BF13" s="4"/>
      <c r="BG13" s="4"/>
      <c r="BH13" s="4"/>
      <c r="BI13" s="3"/>
      <c r="BJ13" s="3"/>
      <c r="BK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V14" s="3"/>
      <c r="AW14" s="3"/>
      <c r="AX14" s="3"/>
      <c r="AY14" s="3"/>
      <c r="AZ14" s="3"/>
      <c r="BA14" s="3"/>
      <c r="BB14" s="4"/>
      <c r="BC14" s="4"/>
      <c r="BD14" s="4"/>
      <c r="BE14" s="4"/>
      <c r="BF14" s="4"/>
      <c r="BG14" s="4"/>
      <c r="BH14" s="4"/>
      <c r="BI14" s="3"/>
      <c r="BJ14" s="3"/>
      <c r="BK14" s="3"/>
    </row>
    <row r="15" ht="25.5" customHeight="1">
      <c r="A15" s="13"/>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V15" s="3"/>
      <c r="AW15" s="3"/>
      <c r="AX15" s="3"/>
      <c r="AY15" s="3"/>
      <c r="AZ15" s="3"/>
      <c r="BA15" s="3"/>
      <c r="BB15" s="4"/>
      <c r="BC15" s="4"/>
      <c r="BD15" s="4"/>
      <c r="BE15" s="4"/>
      <c r="BF15" s="4"/>
      <c r="BG15" s="4"/>
      <c r="BH15" s="4"/>
      <c r="BI15" s="3"/>
      <c r="BJ15" s="3"/>
      <c r="BK15" s="3"/>
    </row>
    <row r="16" ht="25.5" customHeight="1">
      <c r="A16" s="15" t="s">
        <v>49</v>
      </c>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V16" s="3"/>
      <c r="AW16" s="3"/>
      <c r="AX16" s="3"/>
      <c r="AY16" s="3"/>
      <c r="AZ16" s="3"/>
      <c r="BA16" s="3"/>
      <c r="BB16" s="4"/>
      <c r="BC16" s="4"/>
      <c r="BD16" s="4"/>
      <c r="BE16" s="4"/>
      <c r="BF16" s="4"/>
      <c r="BG16" s="4"/>
      <c r="BH16" s="4"/>
      <c r="BI16" s="3"/>
      <c r="BJ16" s="3"/>
      <c r="BK16" s="3"/>
    </row>
    <row r="17" ht="25.5" customHeight="1">
      <c r="A17" s="13"/>
      <c r="C17" s="14"/>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V17" s="3"/>
      <c r="AW17" s="3"/>
      <c r="AX17" s="3"/>
      <c r="AY17" s="3"/>
      <c r="AZ17" s="3"/>
      <c r="BA17" s="3"/>
      <c r="BB17" s="4"/>
      <c r="BC17" s="4"/>
      <c r="BD17" s="4"/>
      <c r="BE17" s="4"/>
      <c r="BF17" s="4"/>
      <c r="BG17" s="4"/>
      <c r="BH17" s="4"/>
      <c r="BI17" s="3"/>
      <c r="BJ17" s="3"/>
      <c r="BK17" s="3"/>
    </row>
    <row r="18" ht="21.0" customHeight="1">
      <c r="A18" s="16" t="s">
        <v>4</v>
      </c>
      <c r="C18" s="18">
        <f>COUNTA(B30:B69)</f>
        <v>29</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V18" s="3"/>
      <c r="AW18" s="3"/>
      <c r="AX18" s="3"/>
      <c r="AY18" s="3"/>
      <c r="AZ18" s="3"/>
      <c r="BA18" s="3"/>
      <c r="BB18" s="4"/>
      <c r="BC18" s="4"/>
      <c r="BD18" s="4"/>
      <c r="BE18" s="4"/>
      <c r="BF18" s="4"/>
      <c r="BG18" s="4"/>
      <c r="BH18" s="4"/>
      <c r="BI18" s="3"/>
      <c r="BJ18" s="3"/>
      <c r="BK18" s="3"/>
    </row>
    <row r="19" ht="21.75" customHeight="1">
      <c r="A19" s="16" t="s">
        <v>5</v>
      </c>
      <c r="C19" s="18">
        <f>SUMPRODUCT(LEN(D30:D69) - LEN(SUBSTITUTE(SUBSTITUTE(SUBSTITUTE(SUBSTITUTE(SUBSTITUTE(D30:D69,"A",""),"B",""),"C",""),"D",""),"X","")))</f>
        <v>29</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V19" s="3"/>
      <c r="AW19" s="3"/>
      <c r="AX19" s="3"/>
      <c r="AY19" s="3"/>
      <c r="AZ19" s="3"/>
      <c r="BA19" s="3"/>
      <c r="BB19" s="4"/>
      <c r="BC19" s="4"/>
      <c r="BD19" s="4"/>
      <c r="BE19" s="4"/>
      <c r="BF19" s="4"/>
      <c r="BG19" s="4"/>
      <c r="BH19" s="4"/>
      <c r="BI19" s="3"/>
      <c r="BJ19" s="3"/>
      <c r="BK19" s="3"/>
    </row>
    <row r="20" ht="21.0" customHeight="1">
      <c r="A20" s="16" t="s">
        <v>6</v>
      </c>
      <c r="C20" s="18">
        <f>COUNTIF(D30:D69,"F")</f>
        <v>0</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V20" s="3"/>
      <c r="AW20" s="3"/>
      <c r="AX20" s="3"/>
      <c r="AY20" s="3"/>
      <c r="AZ20" s="3"/>
      <c r="BA20" s="3"/>
      <c r="BB20" s="4"/>
      <c r="BC20" s="4"/>
      <c r="BD20" s="4"/>
      <c r="BE20" s="4"/>
      <c r="BF20" s="4"/>
      <c r="BG20" s="4"/>
      <c r="BH20" s="4"/>
      <c r="BI20" s="3"/>
      <c r="BJ20" s="3"/>
      <c r="BK20" s="3"/>
    </row>
    <row r="21" ht="24.0" customHeight="1">
      <c r="A21" s="16" t="s">
        <v>7</v>
      </c>
      <c r="C21" s="18">
        <f>COUNTIF(C30:C69,"SIM")</f>
        <v>2</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V21" s="3"/>
      <c r="AW21" s="3"/>
      <c r="AX21" s="3"/>
      <c r="AY21" s="3"/>
      <c r="AZ21" s="3"/>
      <c r="BA21" s="3"/>
      <c r="BB21" s="4"/>
      <c r="BC21" s="4"/>
      <c r="BD21" s="4"/>
      <c r="BE21" s="4"/>
      <c r="BF21" s="4"/>
      <c r="BG21" s="4"/>
      <c r="BH21" s="4"/>
      <c r="BI21" s="3"/>
      <c r="BJ21" s="3"/>
      <c r="BK21" s="3"/>
    </row>
    <row r="22" ht="24.0" customHeight="1">
      <c r="A22" s="16"/>
      <c r="B22" s="19"/>
      <c r="C22" s="21"/>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V22" s="3"/>
      <c r="AW22" s="3"/>
      <c r="AX22" s="3"/>
      <c r="AY22" s="3"/>
      <c r="AZ22" s="3"/>
      <c r="BA22" s="3"/>
      <c r="BB22" s="4"/>
      <c r="BC22" s="4"/>
      <c r="BD22" s="4"/>
      <c r="BE22" s="4"/>
      <c r="BF22" s="4"/>
      <c r="BG22" s="4"/>
      <c r="BH22" s="4"/>
      <c r="BI22" s="3"/>
      <c r="BJ22" s="3"/>
      <c r="BK22" s="3"/>
    </row>
    <row r="23" ht="42.0" customHeight="1">
      <c r="A23" s="22" t="s">
        <v>8</v>
      </c>
      <c r="B23" s="23"/>
      <c r="C23" s="24"/>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V23" s="3"/>
      <c r="AW23" s="3"/>
      <c r="AX23" s="3"/>
      <c r="AY23" s="3"/>
      <c r="AZ23" s="3"/>
      <c r="BA23" s="3"/>
      <c r="BB23" s="4"/>
      <c r="BC23" s="4"/>
      <c r="BD23" s="4"/>
      <c r="BE23" s="4"/>
      <c r="BF23" s="4"/>
      <c r="BG23" s="4"/>
      <c r="BH23" s="4"/>
      <c r="BI23" s="3"/>
      <c r="BJ23" s="3"/>
      <c r="BK23" s="3"/>
    </row>
    <row r="24" ht="36.0"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V24" s="3"/>
      <c r="AW24" s="3"/>
      <c r="AX24" s="3"/>
      <c r="AY24" s="3"/>
      <c r="AZ24" s="3"/>
      <c r="BA24" s="3"/>
      <c r="BB24" s="4"/>
      <c r="BC24" s="4"/>
      <c r="BD24" s="4"/>
      <c r="BE24" s="4"/>
      <c r="BF24" s="4"/>
      <c r="BG24" s="4"/>
      <c r="BH24" s="4"/>
      <c r="BI24" s="3"/>
      <c r="BJ24" s="3"/>
      <c r="BK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41"/>
      <c r="BC25" s="236"/>
      <c r="BD25" s="342" t="s">
        <v>155</v>
      </c>
      <c r="BJ25" s="3"/>
      <c r="BK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344"/>
      <c r="Y26" s="345" t="s">
        <v>17</v>
      </c>
      <c r="Z26" s="29"/>
      <c r="AA26" s="29"/>
      <c r="AB26" s="29"/>
      <c r="AC26" s="29"/>
      <c r="AD26" s="29"/>
      <c r="AE26" s="29"/>
      <c r="AF26" s="29"/>
      <c r="AG26" s="29"/>
      <c r="AH26" s="29"/>
      <c r="AI26" s="29"/>
      <c r="AJ26" s="29"/>
      <c r="AK26" s="29"/>
      <c r="AL26" s="29"/>
      <c r="AM26" s="29"/>
      <c r="AN26" s="29"/>
      <c r="AO26" s="29"/>
      <c r="AP26" s="29"/>
      <c r="AQ26" s="29"/>
      <c r="AR26" s="29"/>
      <c r="AS26" s="29"/>
      <c r="AT26" s="41"/>
      <c r="AV26" s="346" t="s">
        <v>89</v>
      </c>
      <c r="BC26" s="347"/>
      <c r="BD26" s="348" t="s">
        <v>158</v>
      </c>
      <c r="BF26" s="349"/>
      <c r="BG26" s="350" t="s">
        <v>17</v>
      </c>
      <c r="BJ26" s="3"/>
      <c r="BK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9" t="s">
        <v>38</v>
      </c>
      <c r="Y27" s="50" t="s">
        <v>335</v>
      </c>
      <c r="Z27" s="51" t="s">
        <v>19</v>
      </c>
      <c r="AA27" s="51" t="s">
        <v>20</v>
      </c>
      <c r="AB27" s="51" t="s">
        <v>21</v>
      </c>
      <c r="AC27" s="51" t="s">
        <v>22</v>
      </c>
      <c r="AD27" s="51" t="s">
        <v>23</v>
      </c>
      <c r="AE27" s="51" t="s">
        <v>24</v>
      </c>
      <c r="AF27" s="51" t="s">
        <v>25</v>
      </c>
      <c r="AG27" s="51" t="s">
        <v>26</v>
      </c>
      <c r="AH27" s="51" t="s">
        <v>27</v>
      </c>
      <c r="AI27" s="51" t="s">
        <v>28</v>
      </c>
      <c r="AJ27" s="51" t="s">
        <v>29</v>
      </c>
      <c r="AK27" s="51" t="s">
        <v>30</v>
      </c>
      <c r="AL27" s="51" t="s">
        <v>31</v>
      </c>
      <c r="AM27" s="51" t="s">
        <v>32</v>
      </c>
      <c r="AN27" s="51" t="s">
        <v>33</v>
      </c>
      <c r="AO27" s="51" t="s">
        <v>34</v>
      </c>
      <c r="AP27" s="51" t="s">
        <v>35</v>
      </c>
      <c r="AQ27" s="51" t="s">
        <v>36</v>
      </c>
      <c r="AR27" s="51" t="s">
        <v>37</v>
      </c>
      <c r="AS27" s="51" t="s">
        <v>38</v>
      </c>
      <c r="AT27" s="51" t="s">
        <v>40</v>
      </c>
      <c r="AV27" s="351" t="s">
        <v>160</v>
      </c>
      <c r="AW27" s="351" t="s">
        <v>161</v>
      </c>
      <c r="AX27" s="351" t="s">
        <v>162</v>
      </c>
      <c r="AY27" s="351" t="s">
        <v>163</v>
      </c>
      <c r="AZ27" s="351" t="s">
        <v>164</v>
      </c>
      <c r="BA27" s="352" t="s">
        <v>165</v>
      </c>
      <c r="BB27" s="353" t="s">
        <v>90</v>
      </c>
      <c r="BC27" s="354"/>
      <c r="BD27" s="355" t="s">
        <v>166</v>
      </c>
      <c r="BE27" s="355" t="s">
        <v>167</v>
      </c>
      <c r="BF27" s="356" t="s">
        <v>168</v>
      </c>
      <c r="BG27" s="357" t="s">
        <v>166</v>
      </c>
      <c r="BH27" s="358" t="s">
        <v>167</v>
      </c>
      <c r="BI27" s="359" t="s">
        <v>168</v>
      </c>
      <c r="BJ27" s="360"/>
      <c r="BK27" s="360"/>
    </row>
    <row r="28" ht="19.5" hidden="1" customHeight="1">
      <c r="A28" s="47"/>
      <c r="B28" s="14"/>
      <c r="C28" s="14"/>
      <c r="D28" s="60">
        <v>18.0</v>
      </c>
      <c r="E28" s="60">
        <v>9.0</v>
      </c>
      <c r="F28" s="60">
        <v>0.0</v>
      </c>
      <c r="G28" s="60">
        <v>36.0</v>
      </c>
      <c r="H28" s="60">
        <v>36.0</v>
      </c>
      <c r="I28" s="60">
        <v>36.0</v>
      </c>
      <c r="J28" s="60">
        <v>18.0</v>
      </c>
      <c r="K28" s="60">
        <v>18.0</v>
      </c>
      <c r="L28" s="60">
        <v>36.0</v>
      </c>
      <c r="M28" s="60">
        <v>36.0</v>
      </c>
      <c r="N28" s="60">
        <v>36.0</v>
      </c>
      <c r="O28" s="60">
        <v>36.0</v>
      </c>
      <c r="P28" s="60">
        <v>36.0</v>
      </c>
      <c r="Q28" s="60">
        <v>9.0</v>
      </c>
      <c r="R28" s="60">
        <v>18.0</v>
      </c>
      <c r="S28" s="60">
        <v>36.0</v>
      </c>
      <c r="T28" s="60">
        <v>36.0</v>
      </c>
      <c r="U28" s="60">
        <v>9.0</v>
      </c>
      <c r="V28" s="60">
        <v>0.0</v>
      </c>
      <c r="W28" s="60">
        <v>36.0</v>
      </c>
      <c r="X28" s="61">
        <v>0.0</v>
      </c>
      <c r="Y28" s="62">
        <v>25.0</v>
      </c>
      <c r="Z28" s="62">
        <v>25.0</v>
      </c>
      <c r="AA28" s="62">
        <v>25.0</v>
      </c>
      <c r="AB28" s="62">
        <v>25.0</v>
      </c>
      <c r="AC28" s="63">
        <v>16.0</v>
      </c>
      <c r="AD28" s="63">
        <v>25.0</v>
      </c>
      <c r="AE28" s="63">
        <v>8.0</v>
      </c>
      <c r="AF28" s="63">
        <v>25.0</v>
      </c>
      <c r="AG28" s="63">
        <v>25.0</v>
      </c>
      <c r="AH28" s="63">
        <v>16.0</v>
      </c>
      <c r="AI28" s="63">
        <v>25.0</v>
      </c>
      <c r="AJ28" s="63">
        <v>25.0</v>
      </c>
      <c r="AK28" s="63">
        <v>25.0</v>
      </c>
      <c r="AL28" s="63">
        <v>25.0</v>
      </c>
      <c r="AM28" s="63">
        <v>25.0</v>
      </c>
      <c r="AN28" s="63">
        <v>25.0</v>
      </c>
      <c r="AO28" s="63">
        <v>16.0</v>
      </c>
      <c r="AP28" s="63">
        <v>25.0</v>
      </c>
      <c r="AQ28" s="63">
        <v>25.0</v>
      </c>
      <c r="AR28" s="63">
        <v>25.0</v>
      </c>
      <c r="AS28" s="63">
        <v>25.0</v>
      </c>
      <c r="AT28" s="63">
        <v>25.0</v>
      </c>
      <c r="AV28" s="47"/>
      <c r="AW28" s="47"/>
      <c r="AX28" s="47"/>
      <c r="AY28" s="47"/>
      <c r="AZ28" s="47"/>
      <c r="BA28" s="47"/>
      <c r="BB28" s="47"/>
      <c r="BC28" s="354"/>
      <c r="BD28" s="47"/>
      <c r="BE28" s="47"/>
      <c r="BF28" s="361"/>
      <c r="BG28" s="14"/>
      <c r="BH28" s="47"/>
      <c r="BI28" s="47"/>
      <c r="BJ28" s="360"/>
      <c r="BK28" s="360"/>
    </row>
    <row r="29" ht="19.5" customHeight="1">
      <c r="A29" s="65"/>
      <c r="B29" s="24"/>
      <c r="C29" s="24"/>
      <c r="D29" s="66" t="s">
        <v>41</v>
      </c>
      <c r="E29" s="66" t="s">
        <v>41</v>
      </c>
      <c r="F29" s="66" t="s">
        <v>41</v>
      </c>
      <c r="G29" s="66" t="s">
        <v>42</v>
      </c>
      <c r="H29" s="66" t="s">
        <v>42</v>
      </c>
      <c r="I29" s="66" t="s">
        <v>43</v>
      </c>
      <c r="J29" s="66" t="s">
        <v>42</v>
      </c>
      <c r="K29" s="66" t="s">
        <v>42</v>
      </c>
      <c r="L29" s="66" t="s">
        <v>44</v>
      </c>
      <c r="M29" s="66" t="s">
        <v>42</v>
      </c>
      <c r="N29" s="66" t="s">
        <v>41</v>
      </c>
      <c r="O29" s="66" t="s">
        <v>41</v>
      </c>
      <c r="P29" s="66" t="s">
        <v>44</v>
      </c>
      <c r="Q29" s="66" t="s">
        <v>42</v>
      </c>
      <c r="R29" s="66" t="s">
        <v>43</v>
      </c>
      <c r="S29" s="66" t="s">
        <v>44</v>
      </c>
      <c r="T29" s="66" t="s">
        <v>44</v>
      </c>
      <c r="U29" s="66" t="s">
        <v>44</v>
      </c>
      <c r="V29" s="66" t="s">
        <v>41</v>
      </c>
      <c r="W29" s="66" t="s">
        <v>43</v>
      </c>
      <c r="X29" s="246" t="s">
        <v>42</v>
      </c>
      <c r="Y29" s="68" t="s">
        <v>44</v>
      </c>
      <c r="Z29" s="69" t="s">
        <v>43</v>
      </c>
      <c r="AA29" s="69" t="s">
        <v>41</v>
      </c>
      <c r="AB29" s="69" t="s">
        <v>43</v>
      </c>
      <c r="AC29" s="69" t="s">
        <v>41</v>
      </c>
      <c r="AD29" s="69" t="s">
        <v>41</v>
      </c>
      <c r="AE29" s="69" t="s">
        <v>42</v>
      </c>
      <c r="AF29" s="69" t="s">
        <v>44</v>
      </c>
      <c r="AG29" s="69" t="s">
        <v>43</v>
      </c>
      <c r="AH29" s="69" t="s">
        <v>44</v>
      </c>
      <c r="AI29" s="69" t="s">
        <v>41</v>
      </c>
      <c r="AJ29" s="69" t="s">
        <v>42</v>
      </c>
      <c r="AK29" s="69" t="s">
        <v>43</v>
      </c>
      <c r="AL29" s="69" t="s">
        <v>42</v>
      </c>
      <c r="AM29" s="69" t="s">
        <v>41</v>
      </c>
      <c r="AN29" s="69" t="s">
        <v>44</v>
      </c>
      <c r="AO29" s="69" t="s">
        <v>42</v>
      </c>
      <c r="AP29" s="69" t="s">
        <v>43</v>
      </c>
      <c r="AQ29" s="69" t="s">
        <v>44</v>
      </c>
      <c r="AR29" s="69" t="s">
        <v>41</v>
      </c>
      <c r="AS29" s="69" t="s">
        <v>41</v>
      </c>
      <c r="AT29" s="69" t="s">
        <v>42</v>
      </c>
      <c r="AV29" s="65"/>
      <c r="AW29" s="65"/>
      <c r="AX29" s="65"/>
      <c r="AY29" s="65"/>
      <c r="AZ29" s="65"/>
      <c r="BA29" s="65"/>
      <c r="BB29" s="65"/>
      <c r="BC29" s="354"/>
      <c r="BD29" s="65"/>
      <c r="BE29" s="65"/>
      <c r="BF29" s="362"/>
      <c r="BG29" s="24"/>
      <c r="BH29" s="65"/>
      <c r="BI29" s="65"/>
      <c r="BJ29" s="360"/>
      <c r="BK29" s="360"/>
    </row>
    <row r="30" ht="15.75" customHeight="1">
      <c r="A30" s="82">
        <v>1.0</v>
      </c>
      <c r="B30" s="71" t="s">
        <v>336</v>
      </c>
      <c r="C30" s="363" t="s">
        <v>170</v>
      </c>
      <c r="D30" s="364" t="s">
        <v>42</v>
      </c>
      <c r="E30" s="365" t="s">
        <v>42</v>
      </c>
      <c r="F30" s="365" t="s">
        <v>43</v>
      </c>
      <c r="G30" s="365" t="s">
        <v>43</v>
      </c>
      <c r="H30" s="365" t="s">
        <v>43</v>
      </c>
      <c r="I30" s="365" t="s">
        <v>41</v>
      </c>
      <c r="J30" s="365" t="s">
        <v>44</v>
      </c>
      <c r="K30" s="365" t="s">
        <v>41</v>
      </c>
      <c r="L30" s="365" t="s">
        <v>42</v>
      </c>
      <c r="M30" s="365" t="s">
        <v>44</v>
      </c>
      <c r="N30" s="365" t="s">
        <v>44</v>
      </c>
      <c r="O30" s="365" t="s">
        <v>43</v>
      </c>
      <c r="P30" s="365" t="s">
        <v>44</v>
      </c>
      <c r="Q30" s="365" t="s">
        <v>42</v>
      </c>
      <c r="R30" s="365" t="s">
        <v>41</v>
      </c>
      <c r="S30" s="365" t="s">
        <v>41</v>
      </c>
      <c r="T30" s="365" t="s">
        <v>41</v>
      </c>
      <c r="U30" s="365" t="s">
        <v>42</v>
      </c>
      <c r="V30" s="365" t="s">
        <v>41</v>
      </c>
      <c r="W30" s="365" t="s">
        <v>43</v>
      </c>
      <c r="X30" s="366" t="s">
        <v>42</v>
      </c>
      <c r="Y30" s="367" t="s">
        <v>44</v>
      </c>
      <c r="Z30" s="365" t="s">
        <v>42</v>
      </c>
      <c r="AA30" s="365" t="s">
        <v>42</v>
      </c>
      <c r="AB30" s="365" t="s">
        <v>43</v>
      </c>
      <c r="AC30" s="365" t="s">
        <v>41</v>
      </c>
      <c r="AD30" s="365" t="s">
        <v>41</v>
      </c>
      <c r="AE30" s="365" t="s">
        <v>42</v>
      </c>
      <c r="AF30" s="365" t="s">
        <v>43</v>
      </c>
      <c r="AG30" s="365" t="s">
        <v>43</v>
      </c>
      <c r="AH30" s="365" t="s">
        <v>44</v>
      </c>
      <c r="AI30" s="365" t="s">
        <v>42</v>
      </c>
      <c r="AJ30" s="365" t="s">
        <v>42</v>
      </c>
      <c r="AK30" s="365" t="s">
        <v>43</v>
      </c>
      <c r="AL30" s="365" t="s">
        <v>42</v>
      </c>
      <c r="AM30" s="365" t="s">
        <v>41</v>
      </c>
      <c r="AN30" s="365" t="s">
        <v>44</v>
      </c>
      <c r="AO30" s="365" t="s">
        <v>41</v>
      </c>
      <c r="AP30" s="365" t="s">
        <v>41</v>
      </c>
      <c r="AQ30" s="365" t="s">
        <v>43</v>
      </c>
      <c r="AR30" s="365" t="s">
        <v>41</v>
      </c>
      <c r="AS30" s="365" t="s">
        <v>41</v>
      </c>
      <c r="AT30" s="365" t="s">
        <v>42</v>
      </c>
      <c r="AU30" s="368"/>
      <c r="AV30" s="369" t="s">
        <v>44</v>
      </c>
      <c r="AW30" s="370">
        <v>3.0</v>
      </c>
      <c r="AX30" s="370">
        <v>2.0</v>
      </c>
      <c r="AY30" s="370">
        <v>2.0</v>
      </c>
      <c r="AZ30" s="370">
        <v>2.0</v>
      </c>
      <c r="BA30" s="371">
        <f t="shared" ref="BA30:BA58" si="1">(100/16)*((SUM(AW30:AZ30)))</f>
        <v>56.25</v>
      </c>
      <c r="BB30" s="372" t="str">
        <f t="shared" ref="BB30:BB58" si="2">IF((SUM(BA30))&lt;=25, "Abaixo do Básico", IF((SUM(BA30))&lt;=50, "Básico", IF((SUM(BA30))&lt;=75, "Adequado", "Avançado")))</f>
        <v>Adequado</v>
      </c>
      <c r="BC30" s="373"/>
      <c r="BD30" s="374">
        <f t="shared" ref="BD30:BD58" si="3">SUMPRODUCT(--(D30:X30=D$29:X$29))</f>
        <v>5</v>
      </c>
      <c r="BE30" s="374">
        <f t="shared" ref="BE30:BE58" si="4">SUMPRODUCT((D30:X30=D$29:X$29)*D$28:X$28)</f>
        <v>81</v>
      </c>
      <c r="BF30" s="375" t="str">
        <f t="shared" ref="BF30:BF58" si="5">IF((SUM(BE30))&lt;=125, "Abaixo do Básico", IF((SUM(BE30))&lt;=250, "Básico", IF((SUM(BE30))&lt;=375, "Adequado", "Avançado")))</f>
        <v>Abaixo do Básico</v>
      </c>
      <c r="BG30" s="376">
        <f t="shared" ref="BG30:BG58" si="6">SUMPRODUCT(--(Y30:AT30=Y$29:AT$29))</f>
        <v>15</v>
      </c>
      <c r="BH30" s="374">
        <f t="shared" ref="BH30:BH58" si="7">SUMPRODUCT((Y30:AT30=Y$29:AT$29)*Y$28:AT$28)</f>
        <v>340</v>
      </c>
      <c r="BI30" s="377" t="str">
        <f t="shared" ref="BI30:BI58" si="8">IF((SUM(BH30))&lt;=125, "Abaixo do Básico", IF((SUM(BH30))&lt;=250, "Básico", IF((SUM(BH30))&lt;=375, "Adequado", "Avançado")))</f>
        <v>Adequado</v>
      </c>
      <c r="BJ30" s="25"/>
      <c r="BK30" s="25"/>
    </row>
    <row r="31" ht="15.75" customHeight="1">
      <c r="A31" s="82">
        <v>2.0</v>
      </c>
      <c r="B31" s="378" t="s">
        <v>337</v>
      </c>
      <c r="C31" s="363" t="s">
        <v>170</v>
      </c>
      <c r="D31" s="379" t="s">
        <v>41</v>
      </c>
      <c r="E31" s="365" t="s">
        <v>44</v>
      </c>
      <c r="F31" s="365" t="s">
        <v>41</v>
      </c>
      <c r="G31" s="365" t="s">
        <v>41</v>
      </c>
      <c r="H31" s="365" t="s">
        <v>44</v>
      </c>
      <c r="I31" s="365" t="s">
        <v>43</v>
      </c>
      <c r="J31" s="365" t="s">
        <v>42</v>
      </c>
      <c r="K31" s="365" t="s">
        <v>42</v>
      </c>
      <c r="L31" s="365" t="s">
        <v>44</v>
      </c>
      <c r="M31" s="365" t="s">
        <v>42</v>
      </c>
      <c r="N31" s="365" t="s">
        <v>41</v>
      </c>
      <c r="O31" s="365" t="s">
        <v>41</v>
      </c>
      <c r="P31" s="365" t="s">
        <v>44</v>
      </c>
      <c r="Q31" s="365" t="s">
        <v>44</v>
      </c>
      <c r="R31" s="365" t="s">
        <v>42</v>
      </c>
      <c r="S31" s="365" t="s">
        <v>44</v>
      </c>
      <c r="T31" s="365" t="s">
        <v>44</v>
      </c>
      <c r="U31" s="365" t="s">
        <v>44</v>
      </c>
      <c r="V31" s="365" t="s">
        <v>41</v>
      </c>
      <c r="W31" s="365" t="s">
        <v>43</v>
      </c>
      <c r="X31" s="366" t="s">
        <v>42</v>
      </c>
      <c r="Y31" s="367" t="s">
        <v>44</v>
      </c>
      <c r="Z31" s="365" t="s">
        <v>43</v>
      </c>
      <c r="AA31" s="365" t="s">
        <v>42</v>
      </c>
      <c r="AB31" s="365" t="s">
        <v>43</v>
      </c>
      <c r="AC31" s="365" t="s">
        <v>41</v>
      </c>
      <c r="AD31" s="365" t="s">
        <v>42</v>
      </c>
      <c r="AE31" s="365" t="s">
        <v>42</v>
      </c>
      <c r="AF31" s="365" t="s">
        <v>44</v>
      </c>
      <c r="AG31" s="365" t="s">
        <v>41</v>
      </c>
      <c r="AH31" s="365" t="s">
        <v>41</v>
      </c>
      <c r="AI31" s="365" t="s">
        <v>41</v>
      </c>
      <c r="AJ31" s="365" t="s">
        <v>42</v>
      </c>
      <c r="AK31" s="365" t="s">
        <v>42</v>
      </c>
      <c r="AL31" s="365" t="s">
        <v>42</v>
      </c>
      <c r="AM31" s="365" t="s">
        <v>44</v>
      </c>
      <c r="AN31" s="365" t="s">
        <v>41</v>
      </c>
      <c r="AO31" s="365" t="s">
        <v>41</v>
      </c>
      <c r="AP31" s="365" t="s">
        <v>43</v>
      </c>
      <c r="AQ31" s="365" t="s">
        <v>41</v>
      </c>
      <c r="AR31" s="365" t="s">
        <v>42</v>
      </c>
      <c r="AS31" s="365" t="s">
        <v>42</v>
      </c>
      <c r="AT31" s="365" t="s">
        <v>42</v>
      </c>
      <c r="AU31" s="368"/>
      <c r="AV31" s="369" t="s">
        <v>44</v>
      </c>
      <c r="AW31" s="370">
        <v>4.0</v>
      </c>
      <c r="AX31" s="370">
        <v>3.0</v>
      </c>
      <c r="AY31" s="370">
        <v>3.0</v>
      </c>
      <c r="AZ31" s="370">
        <v>3.0</v>
      </c>
      <c r="BA31" s="371">
        <f t="shared" si="1"/>
        <v>81.25</v>
      </c>
      <c r="BB31" s="372" t="str">
        <f t="shared" si="2"/>
        <v>Avançado</v>
      </c>
      <c r="BC31" s="373"/>
      <c r="BD31" s="374">
        <f t="shared" si="3"/>
        <v>16</v>
      </c>
      <c r="BE31" s="374">
        <f t="shared" si="4"/>
        <v>387</v>
      </c>
      <c r="BF31" s="375" t="str">
        <f t="shared" si="5"/>
        <v>Avançado</v>
      </c>
      <c r="BG31" s="376">
        <f t="shared" si="6"/>
        <v>11</v>
      </c>
      <c r="BH31" s="374">
        <f t="shared" si="7"/>
        <v>249</v>
      </c>
      <c r="BI31" s="377" t="str">
        <f t="shared" si="8"/>
        <v>Básico</v>
      </c>
      <c r="BJ31" s="25"/>
      <c r="BK31" s="25"/>
    </row>
    <row r="32" ht="15.75" customHeight="1">
      <c r="A32" s="82">
        <v>3.0</v>
      </c>
      <c r="B32" s="378" t="s">
        <v>338</v>
      </c>
      <c r="C32" s="363" t="s">
        <v>170</v>
      </c>
      <c r="D32" s="379" t="s">
        <v>42</v>
      </c>
      <c r="E32" s="365" t="s">
        <v>42</v>
      </c>
      <c r="F32" s="365" t="s">
        <v>41</v>
      </c>
      <c r="G32" s="365" t="s">
        <v>44</v>
      </c>
      <c r="H32" s="365" t="s">
        <v>41</v>
      </c>
      <c r="I32" s="365" t="s">
        <v>41</v>
      </c>
      <c r="J32" s="365" t="s">
        <v>42</v>
      </c>
      <c r="K32" s="365" t="s">
        <v>43</v>
      </c>
      <c r="L32" s="365" t="s">
        <v>44</v>
      </c>
      <c r="M32" s="365" t="s">
        <v>41</v>
      </c>
      <c r="N32" s="365" t="s">
        <v>43</v>
      </c>
      <c r="O32" s="365" t="s">
        <v>43</v>
      </c>
      <c r="P32" s="365" t="s">
        <v>44</v>
      </c>
      <c r="Q32" s="365" t="s">
        <v>42</v>
      </c>
      <c r="R32" s="365" t="s">
        <v>42</v>
      </c>
      <c r="S32" s="365" t="s">
        <v>41</v>
      </c>
      <c r="T32" s="365" t="s">
        <v>41</v>
      </c>
      <c r="U32" s="365" t="s">
        <v>42</v>
      </c>
      <c r="V32" s="365" t="s">
        <v>41</v>
      </c>
      <c r="W32" s="365" t="s">
        <v>43</v>
      </c>
      <c r="X32" s="366" t="s">
        <v>42</v>
      </c>
      <c r="Y32" s="367" t="s">
        <v>44</v>
      </c>
      <c r="Z32" s="365" t="s">
        <v>43</v>
      </c>
      <c r="AA32" s="365" t="s">
        <v>42</v>
      </c>
      <c r="AB32" s="365" t="s">
        <v>43</v>
      </c>
      <c r="AC32" s="365" t="s">
        <v>42</v>
      </c>
      <c r="AD32" s="365" t="s">
        <v>43</v>
      </c>
      <c r="AE32" s="365" t="s">
        <v>41</v>
      </c>
      <c r="AF32" s="365" t="s">
        <v>43</v>
      </c>
      <c r="AG32" s="365" t="s">
        <v>41</v>
      </c>
      <c r="AH32" s="365" t="s">
        <v>42</v>
      </c>
      <c r="AI32" s="365" t="s">
        <v>41</v>
      </c>
      <c r="AJ32" s="365" t="s">
        <v>42</v>
      </c>
      <c r="AK32" s="365" t="s">
        <v>41</v>
      </c>
      <c r="AL32" s="365" t="s">
        <v>42</v>
      </c>
      <c r="AM32" s="365" t="s">
        <v>44</v>
      </c>
      <c r="AN32" s="365" t="s">
        <v>42</v>
      </c>
      <c r="AO32" s="365" t="s">
        <v>42</v>
      </c>
      <c r="AP32" s="365" t="s">
        <v>41</v>
      </c>
      <c r="AQ32" s="365" t="s">
        <v>43</v>
      </c>
      <c r="AR32" s="365" t="s">
        <v>42</v>
      </c>
      <c r="AS32" s="365" t="s">
        <v>42</v>
      </c>
      <c r="AT32" s="365" t="s">
        <v>44</v>
      </c>
      <c r="AU32" s="368"/>
      <c r="AV32" s="369" t="s">
        <v>44</v>
      </c>
      <c r="AW32" s="370">
        <v>4.0</v>
      </c>
      <c r="AX32" s="370">
        <v>3.0</v>
      </c>
      <c r="AY32" s="370">
        <v>3.0</v>
      </c>
      <c r="AZ32" s="370">
        <v>3.0</v>
      </c>
      <c r="BA32" s="371">
        <f t="shared" si="1"/>
        <v>81.25</v>
      </c>
      <c r="BB32" s="372" t="str">
        <f t="shared" si="2"/>
        <v>Avançado</v>
      </c>
      <c r="BC32" s="373"/>
      <c r="BD32" s="374">
        <f t="shared" si="3"/>
        <v>8</v>
      </c>
      <c r="BE32" s="374">
        <f t="shared" si="4"/>
        <v>135</v>
      </c>
      <c r="BF32" s="375" t="str">
        <f t="shared" si="5"/>
        <v>Básico</v>
      </c>
      <c r="BG32" s="376">
        <f t="shared" si="6"/>
        <v>7</v>
      </c>
      <c r="BH32" s="374">
        <f t="shared" si="7"/>
        <v>166</v>
      </c>
      <c r="BI32" s="377" t="str">
        <f t="shared" si="8"/>
        <v>Básico</v>
      </c>
      <c r="BJ32" s="25"/>
      <c r="BK32" s="25"/>
    </row>
    <row r="33" ht="15.75" customHeight="1">
      <c r="A33" s="82">
        <v>4.0</v>
      </c>
      <c r="B33" s="378" t="s">
        <v>339</v>
      </c>
      <c r="C33" s="363" t="s">
        <v>170</v>
      </c>
      <c r="D33" s="379" t="s">
        <v>43</v>
      </c>
      <c r="E33" s="365" t="s">
        <v>41</v>
      </c>
      <c r="F33" s="365" t="s">
        <v>43</v>
      </c>
      <c r="G33" s="365" t="s">
        <v>44</v>
      </c>
      <c r="H33" s="365" t="s">
        <v>43</v>
      </c>
      <c r="I33" s="365" t="s">
        <v>43</v>
      </c>
      <c r="J33" s="365" t="s">
        <v>41</v>
      </c>
      <c r="K33" s="365" t="s">
        <v>42</v>
      </c>
      <c r="L33" s="365" t="s">
        <v>44</v>
      </c>
      <c r="M33" s="365" t="s">
        <v>43</v>
      </c>
      <c r="N33" s="365" t="s">
        <v>41</v>
      </c>
      <c r="O33" s="365" t="s">
        <v>41</v>
      </c>
      <c r="P33" s="365" t="s">
        <v>44</v>
      </c>
      <c r="Q33" s="365" t="s">
        <v>42</v>
      </c>
      <c r="R33" s="365" t="s">
        <v>41</v>
      </c>
      <c r="S33" s="365" t="s">
        <v>44</v>
      </c>
      <c r="T33" s="365" t="s">
        <v>41</v>
      </c>
      <c r="U33" s="365" t="s">
        <v>42</v>
      </c>
      <c r="V33" s="365" t="s">
        <v>41</v>
      </c>
      <c r="W33" s="365" t="s">
        <v>41</v>
      </c>
      <c r="X33" s="366" t="s">
        <v>42</v>
      </c>
      <c r="Y33" s="367" t="s">
        <v>44</v>
      </c>
      <c r="Z33" s="365" t="s">
        <v>43</v>
      </c>
      <c r="AA33" s="365" t="s">
        <v>44</v>
      </c>
      <c r="AB33" s="365" t="s">
        <v>43</v>
      </c>
      <c r="AC33" s="365" t="s">
        <v>41</v>
      </c>
      <c r="AD33" s="365" t="s">
        <v>43</v>
      </c>
      <c r="AE33" s="365" t="s">
        <v>42</v>
      </c>
      <c r="AF33" s="365" t="s">
        <v>43</v>
      </c>
      <c r="AG33" s="365" t="s">
        <v>44</v>
      </c>
      <c r="AH33" s="365" t="s">
        <v>41</v>
      </c>
      <c r="AI33" s="365" t="s">
        <v>44</v>
      </c>
      <c r="AJ33" s="365" t="s">
        <v>42</v>
      </c>
      <c r="AK33" s="365" t="s">
        <v>41</v>
      </c>
      <c r="AL33" s="365" t="s">
        <v>42</v>
      </c>
      <c r="AM33" s="365" t="s">
        <v>44</v>
      </c>
      <c r="AN33" s="365" t="s">
        <v>43</v>
      </c>
      <c r="AO33" s="365" t="s">
        <v>41</v>
      </c>
      <c r="AP33" s="365" t="s">
        <v>44</v>
      </c>
      <c r="AQ33" s="365" t="s">
        <v>43</v>
      </c>
      <c r="AR33" s="365" t="s">
        <v>42</v>
      </c>
      <c r="AS33" s="365" t="s">
        <v>42</v>
      </c>
      <c r="AT33" s="365" t="s">
        <v>41</v>
      </c>
      <c r="AU33" s="368"/>
      <c r="AV33" s="369" t="s">
        <v>44</v>
      </c>
      <c r="AW33" s="370">
        <v>3.0</v>
      </c>
      <c r="AX33" s="370">
        <v>3.0</v>
      </c>
      <c r="AY33" s="370">
        <v>3.0</v>
      </c>
      <c r="AZ33" s="370">
        <v>3.0</v>
      </c>
      <c r="BA33" s="371">
        <f t="shared" si="1"/>
        <v>75</v>
      </c>
      <c r="BB33" s="372" t="str">
        <f t="shared" si="2"/>
        <v>Adequado</v>
      </c>
      <c r="BC33" s="373"/>
      <c r="BD33" s="374">
        <f t="shared" si="3"/>
        <v>11</v>
      </c>
      <c r="BE33" s="374">
        <f t="shared" si="4"/>
        <v>252</v>
      </c>
      <c r="BF33" s="375" t="str">
        <f t="shared" si="5"/>
        <v>Adequado</v>
      </c>
      <c r="BG33" s="376">
        <f t="shared" si="6"/>
        <v>7</v>
      </c>
      <c r="BH33" s="374">
        <f t="shared" si="7"/>
        <v>149</v>
      </c>
      <c r="BI33" s="377" t="str">
        <f t="shared" si="8"/>
        <v>Básico</v>
      </c>
      <c r="BJ33" s="25"/>
      <c r="BK33" s="25"/>
    </row>
    <row r="34" ht="15.75" customHeight="1">
      <c r="A34" s="82">
        <v>5.0</v>
      </c>
      <c r="B34" s="378" t="s">
        <v>340</v>
      </c>
      <c r="C34" s="363" t="s">
        <v>170</v>
      </c>
      <c r="D34" s="379" t="s">
        <v>41</v>
      </c>
      <c r="E34" s="365" t="s">
        <v>43</v>
      </c>
      <c r="F34" s="365" t="s">
        <v>43</v>
      </c>
      <c r="G34" s="365" t="s">
        <v>42</v>
      </c>
      <c r="H34" s="365" t="s">
        <v>43</v>
      </c>
      <c r="I34" s="365" t="s">
        <v>43</v>
      </c>
      <c r="J34" s="365" t="s">
        <v>44</v>
      </c>
      <c r="K34" s="365" t="s">
        <v>43</v>
      </c>
      <c r="L34" s="365" t="s">
        <v>42</v>
      </c>
      <c r="M34" s="365" t="s">
        <v>43</v>
      </c>
      <c r="N34" s="365" t="s">
        <v>42</v>
      </c>
      <c r="O34" s="365" t="s">
        <v>41</v>
      </c>
      <c r="P34" s="365" t="s">
        <v>44</v>
      </c>
      <c r="Q34" s="365" t="s">
        <v>44</v>
      </c>
      <c r="R34" s="365" t="s">
        <v>41</v>
      </c>
      <c r="S34" s="365" t="s">
        <v>41</v>
      </c>
      <c r="T34" s="365" t="s">
        <v>44</v>
      </c>
      <c r="U34" s="365" t="s">
        <v>43</v>
      </c>
      <c r="V34" s="365" t="s">
        <v>41</v>
      </c>
      <c r="W34" s="365" t="s">
        <v>44</v>
      </c>
      <c r="X34" s="366" t="s">
        <v>42</v>
      </c>
      <c r="Y34" s="367" t="s">
        <v>44</v>
      </c>
      <c r="Z34" s="365" t="s">
        <v>43</v>
      </c>
      <c r="AA34" s="365" t="s">
        <v>42</v>
      </c>
      <c r="AB34" s="365" t="s">
        <v>43</v>
      </c>
      <c r="AC34" s="365" t="s">
        <v>44</v>
      </c>
      <c r="AD34" s="365" t="s">
        <v>44</v>
      </c>
      <c r="AE34" s="365" t="s">
        <v>173</v>
      </c>
      <c r="AF34" s="365" t="s">
        <v>44</v>
      </c>
      <c r="AG34" s="365" t="s">
        <v>42</v>
      </c>
      <c r="AH34" s="365" t="s">
        <v>44</v>
      </c>
      <c r="AI34" s="365" t="s">
        <v>41</v>
      </c>
      <c r="AJ34" s="365" t="s">
        <v>42</v>
      </c>
      <c r="AK34" s="365" t="s">
        <v>43</v>
      </c>
      <c r="AL34" s="365" t="s">
        <v>41</v>
      </c>
      <c r="AM34" s="365" t="s">
        <v>41</v>
      </c>
      <c r="AN34" s="365" t="s">
        <v>44</v>
      </c>
      <c r="AO34" s="365" t="s">
        <v>44</v>
      </c>
      <c r="AP34" s="365" t="s">
        <v>43</v>
      </c>
      <c r="AQ34" s="365" t="s">
        <v>44</v>
      </c>
      <c r="AR34" s="365" t="s">
        <v>41</v>
      </c>
      <c r="AS34" s="365" t="s">
        <v>41</v>
      </c>
      <c r="AT34" s="365" t="s">
        <v>42</v>
      </c>
      <c r="AU34" s="368"/>
      <c r="AV34" s="369" t="s">
        <v>44</v>
      </c>
      <c r="AW34" s="370">
        <v>3.0</v>
      </c>
      <c r="AX34" s="370">
        <v>3.0</v>
      </c>
      <c r="AY34" s="370">
        <v>3.0</v>
      </c>
      <c r="AZ34" s="370">
        <v>3.0</v>
      </c>
      <c r="BA34" s="371">
        <f t="shared" si="1"/>
        <v>75</v>
      </c>
      <c r="BB34" s="372" t="str">
        <f t="shared" si="2"/>
        <v>Adequado</v>
      </c>
      <c r="BC34" s="373"/>
      <c r="BD34" s="374">
        <f t="shared" si="3"/>
        <v>8</v>
      </c>
      <c r="BE34" s="374">
        <f t="shared" si="4"/>
        <v>198</v>
      </c>
      <c r="BF34" s="375" t="str">
        <f t="shared" si="5"/>
        <v>Básico</v>
      </c>
      <c r="BG34" s="376">
        <f t="shared" si="6"/>
        <v>15</v>
      </c>
      <c r="BH34" s="374">
        <f t="shared" si="7"/>
        <v>366</v>
      </c>
      <c r="BI34" s="377" t="str">
        <f t="shared" si="8"/>
        <v>Adequado</v>
      </c>
      <c r="BJ34" s="25"/>
      <c r="BK34" s="25"/>
    </row>
    <row r="35" ht="15.75" customHeight="1">
      <c r="A35" s="82">
        <v>6.0</v>
      </c>
      <c r="B35" s="378" t="s">
        <v>341</v>
      </c>
      <c r="C35" s="363" t="s">
        <v>170</v>
      </c>
      <c r="D35" s="379" t="s">
        <v>41</v>
      </c>
      <c r="E35" s="365" t="s">
        <v>42</v>
      </c>
      <c r="F35" s="365" t="s">
        <v>43</v>
      </c>
      <c r="G35" s="365" t="s">
        <v>44</v>
      </c>
      <c r="H35" s="365" t="s">
        <v>44</v>
      </c>
      <c r="I35" s="365" t="s">
        <v>43</v>
      </c>
      <c r="J35" s="365" t="s">
        <v>41</v>
      </c>
      <c r="K35" s="365" t="s">
        <v>41</v>
      </c>
      <c r="L35" s="365" t="s">
        <v>42</v>
      </c>
      <c r="M35" s="365" t="s">
        <v>44</v>
      </c>
      <c r="N35" s="365" t="s">
        <v>41</v>
      </c>
      <c r="O35" s="365" t="s">
        <v>41</v>
      </c>
      <c r="P35" s="365" t="s">
        <v>44</v>
      </c>
      <c r="Q35" s="365" t="s">
        <v>42</v>
      </c>
      <c r="R35" s="365" t="s">
        <v>41</v>
      </c>
      <c r="S35" s="365" t="s">
        <v>41</v>
      </c>
      <c r="T35" s="365" t="s">
        <v>41</v>
      </c>
      <c r="U35" s="365" t="s">
        <v>44</v>
      </c>
      <c r="V35" s="365" t="s">
        <v>41</v>
      </c>
      <c r="W35" s="365" t="s">
        <v>41</v>
      </c>
      <c r="X35" s="366" t="s">
        <v>42</v>
      </c>
      <c r="Y35" s="367" t="s">
        <v>44</v>
      </c>
      <c r="Z35" s="365" t="s">
        <v>43</v>
      </c>
      <c r="AA35" s="365" t="s">
        <v>42</v>
      </c>
      <c r="AB35" s="365" t="s">
        <v>43</v>
      </c>
      <c r="AC35" s="365" t="s">
        <v>41</v>
      </c>
      <c r="AD35" s="365" t="s">
        <v>41</v>
      </c>
      <c r="AE35" s="365" t="s">
        <v>42</v>
      </c>
      <c r="AF35" s="365" t="s">
        <v>43</v>
      </c>
      <c r="AG35" s="365" t="s">
        <v>43</v>
      </c>
      <c r="AH35" s="365" t="s">
        <v>43</v>
      </c>
      <c r="AI35" s="365" t="s">
        <v>44</v>
      </c>
      <c r="AJ35" s="365" t="s">
        <v>42</v>
      </c>
      <c r="AK35" s="365" t="s">
        <v>43</v>
      </c>
      <c r="AL35" s="365" t="s">
        <v>42</v>
      </c>
      <c r="AM35" s="365" t="s">
        <v>41</v>
      </c>
      <c r="AN35" s="365" t="s">
        <v>43</v>
      </c>
      <c r="AO35" s="365" t="s">
        <v>42</v>
      </c>
      <c r="AP35" s="365" t="s">
        <v>43</v>
      </c>
      <c r="AQ35" s="365" t="s">
        <v>44</v>
      </c>
      <c r="AR35" s="365" t="s">
        <v>41</v>
      </c>
      <c r="AS35" s="365" t="s">
        <v>42</v>
      </c>
      <c r="AT35" s="365" t="s">
        <v>44</v>
      </c>
      <c r="AU35" s="368"/>
      <c r="AV35" s="369" t="s">
        <v>44</v>
      </c>
      <c r="AW35" s="370">
        <v>4.0</v>
      </c>
      <c r="AX35" s="370">
        <v>3.0</v>
      </c>
      <c r="AY35" s="370">
        <v>3.0</v>
      </c>
      <c r="AZ35" s="370">
        <v>3.0</v>
      </c>
      <c r="BA35" s="371">
        <f t="shared" si="1"/>
        <v>81.25</v>
      </c>
      <c r="BB35" s="372" t="str">
        <f t="shared" si="2"/>
        <v>Avançado</v>
      </c>
      <c r="BC35" s="373"/>
      <c r="BD35" s="374">
        <f t="shared" si="3"/>
        <v>9</v>
      </c>
      <c r="BE35" s="374">
        <f t="shared" si="4"/>
        <v>180</v>
      </c>
      <c r="BF35" s="375" t="str">
        <f t="shared" si="5"/>
        <v>Básico</v>
      </c>
      <c r="BG35" s="376">
        <f t="shared" si="6"/>
        <v>15</v>
      </c>
      <c r="BH35" s="374">
        <f t="shared" si="7"/>
        <v>340</v>
      </c>
      <c r="BI35" s="377" t="str">
        <f t="shared" si="8"/>
        <v>Adequado</v>
      </c>
      <c r="BJ35" s="25"/>
      <c r="BK35" s="25"/>
    </row>
    <row r="36" ht="15.75" customHeight="1">
      <c r="A36" s="82">
        <v>7.0</v>
      </c>
      <c r="B36" s="378" t="s">
        <v>342</v>
      </c>
      <c r="C36" s="363" t="s">
        <v>170</v>
      </c>
      <c r="D36" s="379" t="s">
        <v>41</v>
      </c>
      <c r="E36" s="365" t="s">
        <v>42</v>
      </c>
      <c r="F36" s="365" t="s">
        <v>41</v>
      </c>
      <c r="G36" s="365" t="s">
        <v>42</v>
      </c>
      <c r="H36" s="365" t="s">
        <v>44</v>
      </c>
      <c r="I36" s="365" t="s">
        <v>43</v>
      </c>
      <c r="J36" s="365" t="s">
        <v>42</v>
      </c>
      <c r="K36" s="365" t="s">
        <v>42</v>
      </c>
      <c r="L36" s="365" t="s">
        <v>42</v>
      </c>
      <c r="M36" s="365" t="s">
        <v>44</v>
      </c>
      <c r="N36" s="365" t="s">
        <v>41</v>
      </c>
      <c r="O36" s="365" t="s">
        <v>41</v>
      </c>
      <c r="P36" s="365" t="s">
        <v>44</v>
      </c>
      <c r="Q36" s="365" t="s">
        <v>42</v>
      </c>
      <c r="R36" s="365" t="s">
        <v>41</v>
      </c>
      <c r="S36" s="365" t="s">
        <v>41</v>
      </c>
      <c r="T36" s="365" t="s">
        <v>44</v>
      </c>
      <c r="U36" s="365" t="s">
        <v>44</v>
      </c>
      <c r="V36" s="365" t="s">
        <v>41</v>
      </c>
      <c r="W36" s="365" t="s">
        <v>41</v>
      </c>
      <c r="X36" s="366" t="s">
        <v>42</v>
      </c>
      <c r="Y36" s="367" t="s">
        <v>44</v>
      </c>
      <c r="Z36" s="365" t="s">
        <v>43</v>
      </c>
      <c r="AA36" s="365" t="s">
        <v>42</v>
      </c>
      <c r="AB36" s="365" t="s">
        <v>43</v>
      </c>
      <c r="AC36" s="365" t="s">
        <v>41</v>
      </c>
      <c r="AD36" s="365" t="s">
        <v>41</v>
      </c>
      <c r="AE36" s="365" t="s">
        <v>42</v>
      </c>
      <c r="AF36" s="365" t="s">
        <v>44</v>
      </c>
      <c r="AG36" s="365" t="s">
        <v>43</v>
      </c>
      <c r="AH36" s="365" t="s">
        <v>44</v>
      </c>
      <c r="AI36" s="365" t="s">
        <v>41</v>
      </c>
      <c r="AJ36" s="365" t="s">
        <v>42</v>
      </c>
      <c r="AK36" s="365" t="s">
        <v>43</v>
      </c>
      <c r="AL36" s="365" t="s">
        <v>42</v>
      </c>
      <c r="AM36" s="365" t="s">
        <v>41</v>
      </c>
      <c r="AN36" s="365" t="s">
        <v>44</v>
      </c>
      <c r="AO36" s="365" t="s">
        <v>42</v>
      </c>
      <c r="AP36" s="365" t="s">
        <v>42</v>
      </c>
      <c r="AQ36" s="365" t="s">
        <v>43</v>
      </c>
      <c r="AR36" s="365" t="s">
        <v>41</v>
      </c>
      <c r="AS36" s="365" t="s">
        <v>41</v>
      </c>
      <c r="AT36" s="365" t="s">
        <v>42</v>
      </c>
      <c r="AU36" s="368"/>
      <c r="AV36" s="369" t="s">
        <v>44</v>
      </c>
      <c r="AW36" s="370">
        <v>4.0</v>
      </c>
      <c r="AX36" s="370">
        <v>3.0</v>
      </c>
      <c r="AY36" s="370">
        <v>3.0</v>
      </c>
      <c r="AZ36" s="370">
        <v>3.0</v>
      </c>
      <c r="BA36" s="371">
        <f t="shared" si="1"/>
        <v>81.25</v>
      </c>
      <c r="BB36" s="372" t="str">
        <f t="shared" si="2"/>
        <v>Avançado</v>
      </c>
      <c r="BC36" s="373"/>
      <c r="BD36" s="374">
        <f t="shared" si="3"/>
        <v>14</v>
      </c>
      <c r="BE36" s="374">
        <f t="shared" si="4"/>
        <v>288</v>
      </c>
      <c r="BF36" s="375" t="str">
        <f t="shared" si="5"/>
        <v>Adequado</v>
      </c>
      <c r="BG36" s="376">
        <f t="shared" si="6"/>
        <v>19</v>
      </c>
      <c r="BH36" s="374">
        <f t="shared" si="7"/>
        <v>431</v>
      </c>
      <c r="BI36" s="377" t="str">
        <f t="shared" si="8"/>
        <v>Avançado</v>
      </c>
      <c r="BJ36" s="25"/>
      <c r="BK36" s="25"/>
    </row>
    <row r="37" ht="15.75" customHeight="1">
      <c r="A37" s="82">
        <v>8.0</v>
      </c>
      <c r="B37" s="378" t="s">
        <v>343</v>
      </c>
      <c r="C37" s="363" t="s">
        <v>170</v>
      </c>
      <c r="D37" s="379" t="s">
        <v>42</v>
      </c>
      <c r="E37" s="365" t="s">
        <v>41</v>
      </c>
      <c r="F37" s="365" t="s">
        <v>41</v>
      </c>
      <c r="G37" s="365" t="s">
        <v>42</v>
      </c>
      <c r="H37" s="365" t="s">
        <v>42</v>
      </c>
      <c r="I37" s="365" t="s">
        <v>43</v>
      </c>
      <c r="J37" s="365" t="s">
        <v>42</v>
      </c>
      <c r="K37" s="365" t="s">
        <v>42</v>
      </c>
      <c r="L37" s="365" t="s">
        <v>44</v>
      </c>
      <c r="M37" s="365" t="s">
        <v>42</v>
      </c>
      <c r="N37" s="365" t="s">
        <v>41</v>
      </c>
      <c r="O37" s="365" t="s">
        <v>41</v>
      </c>
      <c r="P37" s="365" t="s">
        <v>44</v>
      </c>
      <c r="Q37" s="365" t="s">
        <v>42</v>
      </c>
      <c r="R37" s="365" t="s">
        <v>41</v>
      </c>
      <c r="S37" s="365" t="s">
        <v>44</v>
      </c>
      <c r="T37" s="365" t="s">
        <v>44</v>
      </c>
      <c r="U37" s="365" t="s">
        <v>44</v>
      </c>
      <c r="V37" s="365" t="s">
        <v>43</v>
      </c>
      <c r="W37" s="365" t="s">
        <v>43</v>
      </c>
      <c r="X37" s="366" t="s">
        <v>42</v>
      </c>
      <c r="Y37" s="367" t="s">
        <v>44</v>
      </c>
      <c r="Z37" s="365" t="s">
        <v>43</v>
      </c>
      <c r="AA37" s="365" t="s">
        <v>42</v>
      </c>
      <c r="AB37" s="365" t="s">
        <v>43</v>
      </c>
      <c r="AC37" s="365" t="s">
        <v>41</v>
      </c>
      <c r="AD37" s="365" t="s">
        <v>41</v>
      </c>
      <c r="AE37" s="365" t="s">
        <v>42</v>
      </c>
      <c r="AF37" s="365" t="s">
        <v>44</v>
      </c>
      <c r="AG37" s="365" t="s">
        <v>43</v>
      </c>
      <c r="AH37" s="365" t="s">
        <v>41</v>
      </c>
      <c r="AI37" s="365" t="s">
        <v>41</v>
      </c>
      <c r="AJ37" s="365" t="s">
        <v>42</v>
      </c>
      <c r="AK37" s="365" t="s">
        <v>43</v>
      </c>
      <c r="AL37" s="365" t="s">
        <v>42</v>
      </c>
      <c r="AM37" s="365" t="s">
        <v>41</v>
      </c>
      <c r="AN37" s="365" t="s">
        <v>43</v>
      </c>
      <c r="AO37" s="365" t="s">
        <v>42</v>
      </c>
      <c r="AP37" s="365" t="s">
        <v>41</v>
      </c>
      <c r="AQ37" s="365" t="s">
        <v>44</v>
      </c>
      <c r="AR37" s="365" t="s">
        <v>41</v>
      </c>
      <c r="AS37" s="365" t="s">
        <v>41</v>
      </c>
      <c r="AT37" s="365" t="s">
        <v>42</v>
      </c>
      <c r="AU37" s="368"/>
      <c r="AV37" s="369" t="s">
        <v>44</v>
      </c>
      <c r="AW37" s="370">
        <v>4.0</v>
      </c>
      <c r="AX37" s="370">
        <v>4.0</v>
      </c>
      <c r="AY37" s="370">
        <v>4.0</v>
      </c>
      <c r="AZ37" s="370">
        <v>4.0</v>
      </c>
      <c r="BA37" s="371">
        <f t="shared" si="1"/>
        <v>100</v>
      </c>
      <c r="BB37" s="372" t="str">
        <f t="shared" si="2"/>
        <v>Avançado</v>
      </c>
      <c r="BC37" s="373"/>
      <c r="BD37" s="374">
        <f t="shared" si="3"/>
        <v>18</v>
      </c>
      <c r="BE37" s="374">
        <f t="shared" si="4"/>
        <v>459</v>
      </c>
      <c r="BF37" s="375" t="str">
        <f t="shared" si="5"/>
        <v>Avançado</v>
      </c>
      <c r="BG37" s="376">
        <f t="shared" si="6"/>
        <v>18</v>
      </c>
      <c r="BH37" s="374">
        <f t="shared" si="7"/>
        <v>415</v>
      </c>
      <c r="BI37" s="377" t="str">
        <f t="shared" si="8"/>
        <v>Avançado</v>
      </c>
      <c r="BJ37" s="25"/>
      <c r="BK37" s="25"/>
    </row>
    <row r="38" ht="15.75" customHeight="1">
      <c r="A38" s="82">
        <v>9.0</v>
      </c>
      <c r="B38" s="378" t="s">
        <v>344</v>
      </c>
      <c r="C38" s="363" t="s">
        <v>170</v>
      </c>
      <c r="D38" s="379" t="s">
        <v>44</v>
      </c>
      <c r="E38" s="365" t="s">
        <v>41</v>
      </c>
      <c r="F38" s="365" t="s">
        <v>43</v>
      </c>
      <c r="G38" s="365" t="s">
        <v>44</v>
      </c>
      <c r="H38" s="365" t="s">
        <v>43</v>
      </c>
      <c r="I38" s="365" t="s">
        <v>43</v>
      </c>
      <c r="J38" s="365" t="s">
        <v>42</v>
      </c>
      <c r="K38" s="365" t="s">
        <v>42</v>
      </c>
      <c r="L38" s="365" t="s">
        <v>44</v>
      </c>
      <c r="M38" s="365" t="s">
        <v>41</v>
      </c>
      <c r="N38" s="365" t="s">
        <v>43</v>
      </c>
      <c r="O38" s="365" t="s">
        <v>41</v>
      </c>
      <c r="P38" s="365" t="s">
        <v>43</v>
      </c>
      <c r="Q38" s="365" t="s">
        <v>42</v>
      </c>
      <c r="R38" s="365" t="s">
        <v>44</v>
      </c>
      <c r="S38" s="365" t="s">
        <v>42</v>
      </c>
      <c r="T38" s="365" t="s">
        <v>41</v>
      </c>
      <c r="U38" s="365" t="s">
        <v>44</v>
      </c>
      <c r="V38" s="365" t="s">
        <v>41</v>
      </c>
      <c r="W38" s="365" t="s">
        <v>41</v>
      </c>
      <c r="X38" s="366" t="s">
        <v>42</v>
      </c>
      <c r="Y38" s="367" t="s">
        <v>44</v>
      </c>
      <c r="Z38" s="365" t="s">
        <v>42</v>
      </c>
      <c r="AA38" s="365" t="s">
        <v>42</v>
      </c>
      <c r="AB38" s="365" t="s">
        <v>41</v>
      </c>
      <c r="AC38" s="365" t="s">
        <v>41</v>
      </c>
      <c r="AD38" s="365" t="s">
        <v>44</v>
      </c>
      <c r="AE38" s="365" t="s">
        <v>42</v>
      </c>
      <c r="AF38" s="365" t="s">
        <v>42</v>
      </c>
      <c r="AG38" s="365" t="s">
        <v>41</v>
      </c>
      <c r="AH38" s="365" t="s">
        <v>41</v>
      </c>
      <c r="AI38" s="365" t="s">
        <v>42</v>
      </c>
      <c r="AJ38" s="365" t="s">
        <v>42</v>
      </c>
      <c r="AK38" s="365" t="s">
        <v>41</v>
      </c>
      <c r="AL38" s="365" t="s">
        <v>44</v>
      </c>
      <c r="AM38" s="365" t="s">
        <v>44</v>
      </c>
      <c r="AN38" s="365" t="s">
        <v>43</v>
      </c>
      <c r="AO38" s="365" t="s">
        <v>44</v>
      </c>
      <c r="AP38" s="365" t="s">
        <v>41</v>
      </c>
      <c r="AQ38" s="365" t="s">
        <v>44</v>
      </c>
      <c r="AR38" s="365" t="s">
        <v>41</v>
      </c>
      <c r="AS38" s="365" t="s">
        <v>41</v>
      </c>
      <c r="AT38" s="365" t="s">
        <v>44</v>
      </c>
      <c r="AU38" s="380"/>
      <c r="AV38" s="369" t="s">
        <v>44</v>
      </c>
      <c r="AW38" s="370">
        <v>3.0</v>
      </c>
      <c r="AX38" s="370">
        <v>2.0</v>
      </c>
      <c r="AY38" s="370">
        <v>2.0</v>
      </c>
      <c r="AZ38" s="370">
        <v>2.0</v>
      </c>
      <c r="BA38" s="371">
        <f t="shared" si="1"/>
        <v>56.25</v>
      </c>
      <c r="BB38" s="372" t="str">
        <f t="shared" si="2"/>
        <v>Adequado</v>
      </c>
      <c r="BC38" s="373"/>
      <c r="BD38" s="374">
        <f t="shared" si="3"/>
        <v>10</v>
      </c>
      <c r="BE38" s="374">
        <f t="shared" si="4"/>
        <v>171</v>
      </c>
      <c r="BF38" s="375" t="str">
        <f t="shared" si="5"/>
        <v>Básico</v>
      </c>
      <c r="BG38" s="376">
        <f t="shared" si="6"/>
        <v>7</v>
      </c>
      <c r="BH38" s="374">
        <f t="shared" si="7"/>
        <v>149</v>
      </c>
      <c r="BI38" s="377" t="str">
        <f t="shared" si="8"/>
        <v>Básico</v>
      </c>
      <c r="BJ38" s="25"/>
      <c r="BK38" s="25"/>
    </row>
    <row r="39" ht="15.75" customHeight="1">
      <c r="A39" s="82">
        <v>10.0</v>
      </c>
      <c r="B39" s="378" t="s">
        <v>345</v>
      </c>
      <c r="C39" s="363" t="s">
        <v>199</v>
      </c>
      <c r="D39" s="379" t="s">
        <v>42</v>
      </c>
      <c r="E39" s="365" t="s">
        <v>44</v>
      </c>
      <c r="F39" s="365" t="s">
        <v>41</v>
      </c>
      <c r="G39" s="365" t="s">
        <v>42</v>
      </c>
      <c r="H39" s="365" t="s">
        <v>43</v>
      </c>
      <c r="I39" s="365" t="s">
        <v>41</v>
      </c>
      <c r="J39" s="365" t="s">
        <v>42</v>
      </c>
      <c r="K39" s="365" t="s">
        <v>41</v>
      </c>
      <c r="L39" s="365" t="s">
        <v>44</v>
      </c>
      <c r="M39" s="365" t="s">
        <v>41</v>
      </c>
      <c r="N39" s="365" t="s">
        <v>41</v>
      </c>
      <c r="O39" s="365" t="s">
        <v>44</v>
      </c>
      <c r="P39" s="365" t="s">
        <v>44</v>
      </c>
      <c r="Q39" s="365" t="s">
        <v>42</v>
      </c>
      <c r="R39" s="365" t="s">
        <v>42</v>
      </c>
      <c r="S39" s="365" t="s">
        <v>41</v>
      </c>
      <c r="T39" s="365" t="s">
        <v>41</v>
      </c>
      <c r="U39" s="365" t="s">
        <v>42</v>
      </c>
      <c r="V39" s="365" t="s">
        <v>41</v>
      </c>
      <c r="W39" s="365" t="s">
        <v>42</v>
      </c>
      <c r="X39" s="366" t="s">
        <v>41</v>
      </c>
      <c r="Y39" s="367" t="s">
        <v>44</v>
      </c>
      <c r="Z39" s="365" t="s">
        <v>43</v>
      </c>
      <c r="AA39" s="365" t="s">
        <v>42</v>
      </c>
      <c r="AB39" s="365" t="s">
        <v>41</v>
      </c>
      <c r="AC39" s="365" t="s">
        <v>44</v>
      </c>
      <c r="AD39" s="365" t="s">
        <v>42</v>
      </c>
      <c r="AE39" s="365" t="s">
        <v>44</v>
      </c>
      <c r="AF39" s="365" t="s">
        <v>44</v>
      </c>
      <c r="AG39" s="365" t="s">
        <v>43</v>
      </c>
      <c r="AH39" s="365" t="s">
        <v>41</v>
      </c>
      <c r="AI39" s="365" t="s">
        <v>43</v>
      </c>
      <c r="AJ39" s="365" t="s">
        <v>42</v>
      </c>
      <c r="AK39" s="365" t="s">
        <v>43</v>
      </c>
      <c r="AL39" s="365" t="s">
        <v>42</v>
      </c>
      <c r="AM39" s="365" t="s">
        <v>41</v>
      </c>
      <c r="AN39" s="365" t="s">
        <v>44</v>
      </c>
      <c r="AO39" s="365" t="s">
        <v>42</v>
      </c>
      <c r="AP39" s="365" t="s">
        <v>41</v>
      </c>
      <c r="AQ39" s="365" t="s">
        <v>43</v>
      </c>
      <c r="AR39" s="365" t="s">
        <v>42</v>
      </c>
      <c r="AS39" s="365" t="s">
        <v>41</v>
      </c>
      <c r="AT39" s="365" t="s">
        <v>43</v>
      </c>
      <c r="AU39" s="368"/>
      <c r="AV39" s="369" t="s">
        <v>44</v>
      </c>
      <c r="AW39" s="370">
        <v>3.0</v>
      </c>
      <c r="AX39" s="370">
        <v>3.0</v>
      </c>
      <c r="AY39" s="370">
        <v>3.0</v>
      </c>
      <c r="AZ39" s="370">
        <v>3.0</v>
      </c>
      <c r="BA39" s="371">
        <f t="shared" si="1"/>
        <v>75</v>
      </c>
      <c r="BB39" s="372" t="str">
        <f t="shared" si="2"/>
        <v>Adequado</v>
      </c>
      <c r="BC39" s="373"/>
      <c r="BD39" s="374">
        <f t="shared" si="3"/>
        <v>8</v>
      </c>
      <c r="BE39" s="374">
        <f t="shared" si="4"/>
        <v>171</v>
      </c>
      <c r="BF39" s="375" t="str">
        <f t="shared" si="5"/>
        <v>Básico</v>
      </c>
      <c r="BG39" s="376">
        <f t="shared" si="6"/>
        <v>11</v>
      </c>
      <c r="BH39" s="374">
        <f t="shared" si="7"/>
        <v>266</v>
      </c>
      <c r="BI39" s="377" t="str">
        <f t="shared" si="8"/>
        <v>Adequado</v>
      </c>
      <c r="BJ39" s="25"/>
      <c r="BK39" s="25"/>
    </row>
    <row r="40" ht="15.75" customHeight="1">
      <c r="A40" s="82">
        <v>11.0</v>
      </c>
      <c r="B40" s="378" t="s">
        <v>346</v>
      </c>
      <c r="C40" s="363" t="s">
        <v>170</v>
      </c>
      <c r="D40" s="379" t="s">
        <v>42</v>
      </c>
      <c r="E40" s="365" t="s">
        <v>41</v>
      </c>
      <c r="F40" s="365" t="s">
        <v>42</v>
      </c>
      <c r="G40" s="365" t="s">
        <v>42</v>
      </c>
      <c r="H40" s="365" t="s">
        <v>42</v>
      </c>
      <c r="I40" s="365" t="s">
        <v>43</v>
      </c>
      <c r="J40" s="365" t="s">
        <v>42</v>
      </c>
      <c r="K40" s="365" t="s">
        <v>42</v>
      </c>
      <c r="L40" s="365" t="s">
        <v>44</v>
      </c>
      <c r="M40" s="365" t="s">
        <v>43</v>
      </c>
      <c r="N40" s="365" t="s">
        <v>41</v>
      </c>
      <c r="O40" s="365" t="s">
        <v>41</v>
      </c>
      <c r="P40" s="365" t="s">
        <v>44</v>
      </c>
      <c r="Q40" s="365" t="s">
        <v>42</v>
      </c>
      <c r="R40" s="365" t="s">
        <v>41</v>
      </c>
      <c r="S40" s="365" t="s">
        <v>41</v>
      </c>
      <c r="T40" s="365" t="s">
        <v>41</v>
      </c>
      <c r="U40" s="365" t="s">
        <v>44</v>
      </c>
      <c r="V40" s="365" t="s">
        <v>41</v>
      </c>
      <c r="W40" s="365" t="s">
        <v>41</v>
      </c>
      <c r="X40" s="366" t="s">
        <v>42</v>
      </c>
      <c r="Y40" s="367" t="s">
        <v>44</v>
      </c>
      <c r="Z40" s="365" t="s">
        <v>43</v>
      </c>
      <c r="AA40" s="365" t="s">
        <v>42</v>
      </c>
      <c r="AB40" s="365" t="s">
        <v>42</v>
      </c>
      <c r="AC40" s="365" t="s">
        <v>41</v>
      </c>
      <c r="AD40" s="365" t="s">
        <v>41</v>
      </c>
      <c r="AE40" s="365" t="s">
        <v>43</v>
      </c>
      <c r="AF40" s="365" t="s">
        <v>44</v>
      </c>
      <c r="AG40" s="365" t="s">
        <v>43</v>
      </c>
      <c r="AH40" s="365" t="s">
        <v>43</v>
      </c>
      <c r="AI40" s="365" t="s">
        <v>41</v>
      </c>
      <c r="AJ40" s="365" t="s">
        <v>43</v>
      </c>
      <c r="AK40" s="365" t="s">
        <v>43</v>
      </c>
      <c r="AL40" s="365" t="s">
        <v>43</v>
      </c>
      <c r="AM40" s="365" t="s">
        <v>44</v>
      </c>
      <c r="AN40" s="365" t="s">
        <v>44</v>
      </c>
      <c r="AO40" s="365" t="s">
        <v>41</v>
      </c>
      <c r="AP40" s="365" t="s">
        <v>41</v>
      </c>
      <c r="AQ40" s="365" t="s">
        <v>43</v>
      </c>
      <c r="AR40" s="365" t="s">
        <v>42</v>
      </c>
      <c r="AS40" s="365" t="s">
        <v>41</v>
      </c>
      <c r="AT40" s="365" t="s">
        <v>44</v>
      </c>
      <c r="AU40" s="368"/>
      <c r="AV40" s="369" t="s">
        <v>44</v>
      </c>
      <c r="AW40" s="370">
        <v>3.0</v>
      </c>
      <c r="AX40" s="370">
        <v>2.0</v>
      </c>
      <c r="AY40" s="370">
        <v>2.0</v>
      </c>
      <c r="AZ40" s="370">
        <v>2.0</v>
      </c>
      <c r="BA40" s="371">
        <f t="shared" si="1"/>
        <v>56.25</v>
      </c>
      <c r="BB40" s="372" t="str">
        <f t="shared" si="2"/>
        <v>Adequado</v>
      </c>
      <c r="BC40" s="373"/>
      <c r="BD40" s="374">
        <f t="shared" si="3"/>
        <v>14</v>
      </c>
      <c r="BE40" s="374">
        <f t="shared" si="4"/>
        <v>315</v>
      </c>
      <c r="BF40" s="375" t="str">
        <f t="shared" si="5"/>
        <v>Adequado</v>
      </c>
      <c r="BG40" s="376">
        <f t="shared" si="6"/>
        <v>10</v>
      </c>
      <c r="BH40" s="374">
        <f t="shared" si="7"/>
        <v>241</v>
      </c>
      <c r="BI40" s="377" t="str">
        <f t="shared" si="8"/>
        <v>Básico</v>
      </c>
      <c r="BJ40" s="25"/>
      <c r="BK40" s="25"/>
    </row>
    <row r="41" ht="15.75" customHeight="1">
      <c r="A41" s="82">
        <v>12.0</v>
      </c>
      <c r="B41" s="378" t="s">
        <v>347</v>
      </c>
      <c r="C41" s="363" t="s">
        <v>170</v>
      </c>
      <c r="D41" s="379" t="s">
        <v>43</v>
      </c>
      <c r="E41" s="365" t="s">
        <v>42</v>
      </c>
      <c r="F41" s="365" t="s">
        <v>43</v>
      </c>
      <c r="G41" s="365" t="s">
        <v>42</v>
      </c>
      <c r="H41" s="365" t="s">
        <v>44</v>
      </c>
      <c r="I41" s="365" t="s">
        <v>43</v>
      </c>
      <c r="J41" s="365" t="s">
        <v>42</v>
      </c>
      <c r="K41" s="365" t="s">
        <v>42</v>
      </c>
      <c r="L41" s="365" t="s">
        <v>44</v>
      </c>
      <c r="M41" s="365" t="s">
        <v>44</v>
      </c>
      <c r="N41" s="365" t="s">
        <v>41</v>
      </c>
      <c r="O41" s="365" t="s">
        <v>44</v>
      </c>
      <c r="P41" s="365" t="s">
        <v>41</v>
      </c>
      <c r="Q41" s="365" t="s">
        <v>44</v>
      </c>
      <c r="R41" s="365" t="s">
        <v>42</v>
      </c>
      <c r="S41" s="365" t="s">
        <v>41</v>
      </c>
      <c r="T41" s="365" t="s">
        <v>44</v>
      </c>
      <c r="U41" s="365" t="s">
        <v>42</v>
      </c>
      <c r="V41" s="365" t="s">
        <v>42</v>
      </c>
      <c r="W41" s="365" t="s">
        <v>43</v>
      </c>
      <c r="X41" s="366" t="s">
        <v>42</v>
      </c>
      <c r="Y41" s="367" t="s">
        <v>44</v>
      </c>
      <c r="Z41" s="365" t="s">
        <v>43</v>
      </c>
      <c r="AA41" s="365" t="s">
        <v>42</v>
      </c>
      <c r="AB41" s="365" t="s">
        <v>43</v>
      </c>
      <c r="AC41" s="365" t="s">
        <v>41</v>
      </c>
      <c r="AD41" s="365" t="s">
        <v>43</v>
      </c>
      <c r="AE41" s="365" t="s">
        <v>42</v>
      </c>
      <c r="AF41" s="365" t="s">
        <v>44</v>
      </c>
      <c r="AG41" s="365" t="s">
        <v>43</v>
      </c>
      <c r="AH41" s="365" t="s">
        <v>44</v>
      </c>
      <c r="AI41" s="365" t="s">
        <v>41</v>
      </c>
      <c r="AJ41" s="365" t="s">
        <v>42</v>
      </c>
      <c r="AK41" s="365" t="s">
        <v>43</v>
      </c>
      <c r="AL41" s="365" t="s">
        <v>42</v>
      </c>
      <c r="AM41" s="365" t="s">
        <v>42</v>
      </c>
      <c r="AN41" s="365" t="s">
        <v>44</v>
      </c>
      <c r="AO41" s="365" t="s">
        <v>42</v>
      </c>
      <c r="AP41" s="365" t="s">
        <v>41</v>
      </c>
      <c r="AQ41" s="365" t="s">
        <v>43</v>
      </c>
      <c r="AR41" s="365" t="s">
        <v>41</v>
      </c>
      <c r="AS41" s="365" t="s">
        <v>42</v>
      </c>
      <c r="AT41" s="365" t="s">
        <v>42</v>
      </c>
      <c r="AU41" s="368"/>
      <c r="AV41" s="369" t="s">
        <v>44</v>
      </c>
      <c r="AW41" s="370">
        <v>3.0</v>
      </c>
      <c r="AX41" s="370">
        <v>3.0</v>
      </c>
      <c r="AY41" s="370">
        <v>3.0</v>
      </c>
      <c r="AZ41" s="370">
        <v>3.0</v>
      </c>
      <c r="BA41" s="371">
        <f t="shared" si="1"/>
        <v>75</v>
      </c>
      <c r="BB41" s="372" t="str">
        <f t="shared" si="2"/>
        <v>Adequado</v>
      </c>
      <c r="BC41" s="373"/>
      <c r="BD41" s="374">
        <f t="shared" si="3"/>
        <v>9</v>
      </c>
      <c r="BE41" s="374">
        <f t="shared" si="4"/>
        <v>252</v>
      </c>
      <c r="BF41" s="375" t="str">
        <f t="shared" si="5"/>
        <v>Adequado</v>
      </c>
      <c r="BG41" s="376">
        <f t="shared" si="6"/>
        <v>16</v>
      </c>
      <c r="BH41" s="374">
        <f t="shared" si="7"/>
        <v>356</v>
      </c>
      <c r="BI41" s="377" t="str">
        <f t="shared" si="8"/>
        <v>Adequado</v>
      </c>
      <c r="BJ41" s="25"/>
      <c r="BK41" s="25"/>
    </row>
    <row r="42" ht="15.75" customHeight="1">
      <c r="A42" s="82">
        <v>13.0</v>
      </c>
      <c r="B42" s="378" t="s">
        <v>348</v>
      </c>
      <c r="C42" s="363" t="s">
        <v>170</v>
      </c>
      <c r="D42" s="379" t="s">
        <v>44</v>
      </c>
      <c r="E42" s="365" t="s">
        <v>44</v>
      </c>
      <c r="F42" s="365" t="s">
        <v>42</v>
      </c>
      <c r="G42" s="365" t="s">
        <v>43</v>
      </c>
      <c r="H42" s="365" t="s">
        <v>41</v>
      </c>
      <c r="I42" s="365" t="s">
        <v>41</v>
      </c>
      <c r="J42" s="365" t="s">
        <v>42</v>
      </c>
      <c r="K42" s="365" t="s">
        <v>43</v>
      </c>
      <c r="L42" s="365" t="s">
        <v>42</v>
      </c>
      <c r="M42" s="365" t="s">
        <v>41</v>
      </c>
      <c r="N42" s="365" t="s">
        <v>43</v>
      </c>
      <c r="O42" s="365" t="s">
        <v>42</v>
      </c>
      <c r="P42" s="365" t="s">
        <v>43</v>
      </c>
      <c r="Q42" s="365" t="s">
        <v>41</v>
      </c>
      <c r="R42" s="365" t="s">
        <v>41</v>
      </c>
      <c r="S42" s="365" t="s">
        <v>44</v>
      </c>
      <c r="T42" s="365" t="s">
        <v>41</v>
      </c>
      <c r="U42" s="365" t="s">
        <v>41</v>
      </c>
      <c r="V42" s="365" t="s">
        <v>42</v>
      </c>
      <c r="W42" s="365" t="s">
        <v>44</v>
      </c>
      <c r="X42" s="366" t="s">
        <v>41</v>
      </c>
      <c r="Y42" s="367" t="s">
        <v>42</v>
      </c>
      <c r="Z42" s="365" t="s">
        <v>44</v>
      </c>
      <c r="AA42" s="365" t="s">
        <v>42</v>
      </c>
      <c r="AB42" s="365" t="s">
        <v>43</v>
      </c>
      <c r="AC42" s="365" t="s">
        <v>41</v>
      </c>
      <c r="AD42" s="365" t="s">
        <v>41</v>
      </c>
      <c r="AE42" s="365" t="s">
        <v>42</v>
      </c>
      <c r="AF42" s="365" t="s">
        <v>43</v>
      </c>
      <c r="AG42" s="365" t="s">
        <v>42</v>
      </c>
      <c r="AH42" s="365" t="s">
        <v>41</v>
      </c>
      <c r="AI42" s="365" t="s">
        <v>43</v>
      </c>
      <c r="AJ42" s="365" t="s">
        <v>42</v>
      </c>
      <c r="AK42" s="365" t="s">
        <v>43</v>
      </c>
      <c r="AL42" s="365" t="s">
        <v>41</v>
      </c>
      <c r="AM42" s="365" t="s">
        <v>41</v>
      </c>
      <c r="AN42" s="365" t="s">
        <v>44</v>
      </c>
      <c r="AO42" s="365" t="s">
        <v>41</v>
      </c>
      <c r="AP42" s="365" t="s">
        <v>41</v>
      </c>
      <c r="AQ42" s="365" t="s">
        <v>42</v>
      </c>
      <c r="AR42" s="365" t="s">
        <v>44</v>
      </c>
      <c r="AS42" s="365" t="s">
        <v>41</v>
      </c>
      <c r="AT42" s="365" t="s">
        <v>42</v>
      </c>
      <c r="AU42" s="368"/>
      <c r="AV42" s="369" t="s">
        <v>42</v>
      </c>
      <c r="AW42" s="370" t="s">
        <v>173</v>
      </c>
      <c r="AX42" s="370" t="s">
        <v>173</v>
      </c>
      <c r="AY42" s="370" t="s">
        <v>173</v>
      </c>
      <c r="AZ42" s="370" t="s">
        <v>173</v>
      </c>
      <c r="BA42" s="371">
        <f t="shared" si="1"/>
        <v>0</v>
      </c>
      <c r="BB42" s="372" t="str">
        <f t="shared" si="2"/>
        <v>Abaixo do Básico</v>
      </c>
      <c r="BC42" s="373"/>
      <c r="BD42" s="374">
        <f t="shared" si="3"/>
        <v>2</v>
      </c>
      <c r="BE42" s="374">
        <f t="shared" si="4"/>
        <v>54</v>
      </c>
      <c r="BF42" s="375" t="str">
        <f t="shared" si="5"/>
        <v>Abaixo do Básico</v>
      </c>
      <c r="BG42" s="376">
        <f t="shared" si="6"/>
        <v>10</v>
      </c>
      <c r="BH42" s="374">
        <f t="shared" si="7"/>
        <v>224</v>
      </c>
      <c r="BI42" s="377" t="str">
        <f t="shared" si="8"/>
        <v>Básico</v>
      </c>
      <c r="BJ42" s="25"/>
      <c r="BK42" s="25"/>
    </row>
    <row r="43" ht="15.75" customHeight="1">
      <c r="A43" s="82">
        <v>14.0</v>
      </c>
      <c r="B43" s="378" t="s">
        <v>349</v>
      </c>
      <c r="C43" s="363" t="s">
        <v>170</v>
      </c>
      <c r="D43" s="379" t="s">
        <v>42</v>
      </c>
      <c r="E43" s="365" t="s">
        <v>43</v>
      </c>
      <c r="F43" s="365" t="s">
        <v>41</v>
      </c>
      <c r="G43" s="365" t="s">
        <v>44</v>
      </c>
      <c r="H43" s="365" t="s">
        <v>42</v>
      </c>
      <c r="I43" s="365" t="s">
        <v>43</v>
      </c>
      <c r="J43" s="365" t="s">
        <v>42</v>
      </c>
      <c r="K43" s="365" t="s">
        <v>43</v>
      </c>
      <c r="L43" s="365" t="s">
        <v>42</v>
      </c>
      <c r="M43" s="365" t="s">
        <v>42</v>
      </c>
      <c r="N43" s="365" t="s">
        <v>41</v>
      </c>
      <c r="O43" s="365" t="s">
        <v>43</v>
      </c>
      <c r="P43" s="365" t="s">
        <v>44</v>
      </c>
      <c r="Q43" s="365" t="s">
        <v>41</v>
      </c>
      <c r="R43" s="365" t="s">
        <v>44</v>
      </c>
      <c r="S43" s="365" t="s">
        <v>41</v>
      </c>
      <c r="T43" s="365" t="s">
        <v>44</v>
      </c>
      <c r="U43" s="365" t="s">
        <v>43</v>
      </c>
      <c r="V43" s="365" t="s">
        <v>41</v>
      </c>
      <c r="W43" s="365" t="s">
        <v>42</v>
      </c>
      <c r="X43" s="366" t="s">
        <v>43</v>
      </c>
      <c r="Y43" s="367" t="s">
        <v>44</v>
      </c>
      <c r="Z43" s="365" t="s">
        <v>43</v>
      </c>
      <c r="AA43" s="365" t="s">
        <v>42</v>
      </c>
      <c r="AB43" s="365" t="s">
        <v>42</v>
      </c>
      <c r="AC43" s="365" t="s">
        <v>44</v>
      </c>
      <c r="AD43" s="365" t="s">
        <v>41</v>
      </c>
      <c r="AE43" s="365" t="s">
        <v>42</v>
      </c>
      <c r="AF43" s="365" t="s">
        <v>173</v>
      </c>
      <c r="AG43" s="365" t="s">
        <v>44</v>
      </c>
      <c r="AH43" s="365" t="s">
        <v>44</v>
      </c>
      <c r="AI43" s="365" t="s">
        <v>43</v>
      </c>
      <c r="AJ43" s="365" t="s">
        <v>42</v>
      </c>
      <c r="AK43" s="365" t="s">
        <v>43</v>
      </c>
      <c r="AL43" s="365" t="s">
        <v>42</v>
      </c>
      <c r="AM43" s="365" t="s">
        <v>41</v>
      </c>
      <c r="AN43" s="365" t="s">
        <v>44</v>
      </c>
      <c r="AO43" s="365" t="s">
        <v>42</v>
      </c>
      <c r="AP43" s="365" t="s">
        <v>41</v>
      </c>
      <c r="AQ43" s="365" t="s">
        <v>43</v>
      </c>
      <c r="AR43" s="365" t="s">
        <v>41</v>
      </c>
      <c r="AS43" s="365" t="s">
        <v>42</v>
      </c>
      <c r="AT43" s="365" t="s">
        <v>42</v>
      </c>
      <c r="AU43" s="368"/>
      <c r="AV43" s="369" t="s">
        <v>44</v>
      </c>
      <c r="AW43" s="370">
        <v>4.0</v>
      </c>
      <c r="AX43" s="370">
        <v>3.0</v>
      </c>
      <c r="AY43" s="370">
        <v>3.0</v>
      </c>
      <c r="AZ43" s="370">
        <v>3.0</v>
      </c>
      <c r="BA43" s="371">
        <f t="shared" si="1"/>
        <v>81.25</v>
      </c>
      <c r="BB43" s="372" t="str">
        <f t="shared" si="2"/>
        <v>Avançado</v>
      </c>
      <c r="BC43" s="373"/>
      <c r="BD43" s="374">
        <f t="shared" si="3"/>
        <v>9</v>
      </c>
      <c r="BE43" s="374">
        <f t="shared" si="4"/>
        <v>234</v>
      </c>
      <c r="BF43" s="375" t="str">
        <f t="shared" si="5"/>
        <v>Básico</v>
      </c>
      <c r="BG43" s="376">
        <f t="shared" si="6"/>
        <v>13</v>
      </c>
      <c r="BH43" s="374">
        <f t="shared" si="7"/>
        <v>290</v>
      </c>
      <c r="BI43" s="377" t="str">
        <f t="shared" si="8"/>
        <v>Adequado</v>
      </c>
      <c r="BJ43" s="25"/>
      <c r="BK43" s="25"/>
    </row>
    <row r="44" ht="15.75" customHeight="1">
      <c r="A44" s="82">
        <v>15.0</v>
      </c>
      <c r="B44" s="378" t="s">
        <v>350</v>
      </c>
      <c r="C44" s="363" t="s">
        <v>199</v>
      </c>
      <c r="D44" s="379" t="s">
        <v>44</v>
      </c>
      <c r="E44" s="365" t="s">
        <v>41</v>
      </c>
      <c r="F44" s="365" t="s">
        <v>43</v>
      </c>
      <c r="G44" s="365" t="s">
        <v>42</v>
      </c>
      <c r="H44" s="365" t="s">
        <v>41</v>
      </c>
      <c r="I44" s="365" t="s">
        <v>43</v>
      </c>
      <c r="J44" s="365" t="s">
        <v>42</v>
      </c>
      <c r="K44" s="365" t="s">
        <v>42</v>
      </c>
      <c r="L44" s="365" t="s">
        <v>44</v>
      </c>
      <c r="M44" s="365" t="s">
        <v>44</v>
      </c>
      <c r="N44" s="365" t="s">
        <v>41</v>
      </c>
      <c r="O44" s="365" t="s">
        <v>41</v>
      </c>
      <c r="P44" s="365" t="s">
        <v>44</v>
      </c>
      <c r="Q44" s="365" t="s">
        <v>42</v>
      </c>
      <c r="R44" s="365" t="s">
        <v>41</v>
      </c>
      <c r="S44" s="365" t="s">
        <v>41</v>
      </c>
      <c r="T44" s="365" t="s">
        <v>44</v>
      </c>
      <c r="U44" s="365" t="s">
        <v>44</v>
      </c>
      <c r="V44" s="365" t="s">
        <v>43</v>
      </c>
      <c r="W44" s="365" t="s">
        <v>43</v>
      </c>
      <c r="X44" s="366" t="s">
        <v>42</v>
      </c>
      <c r="Y44" s="367" t="s">
        <v>44</v>
      </c>
      <c r="Z44" s="365" t="s">
        <v>43</v>
      </c>
      <c r="AA44" s="365" t="s">
        <v>42</v>
      </c>
      <c r="AB44" s="365" t="s">
        <v>43</v>
      </c>
      <c r="AC44" s="365" t="s">
        <v>41</v>
      </c>
      <c r="AD44" s="365" t="s">
        <v>42</v>
      </c>
      <c r="AE44" s="365" t="s">
        <v>41</v>
      </c>
      <c r="AF44" s="365" t="s">
        <v>42</v>
      </c>
      <c r="AG44" s="365" t="s">
        <v>43</v>
      </c>
      <c r="AH44" s="365" t="s">
        <v>44</v>
      </c>
      <c r="AI44" s="365" t="s">
        <v>42</v>
      </c>
      <c r="AJ44" s="365" t="s">
        <v>42</v>
      </c>
      <c r="AK44" s="365" t="s">
        <v>43</v>
      </c>
      <c r="AL44" s="365" t="s">
        <v>42</v>
      </c>
      <c r="AM44" s="365" t="s">
        <v>41</v>
      </c>
      <c r="AN44" s="365" t="s">
        <v>43</v>
      </c>
      <c r="AO44" s="365" t="s">
        <v>42</v>
      </c>
      <c r="AP44" s="365" t="s">
        <v>41</v>
      </c>
      <c r="AQ44" s="365" t="s">
        <v>44</v>
      </c>
      <c r="AR44" s="365" t="s">
        <v>41</v>
      </c>
      <c r="AS44" s="365" t="s">
        <v>41</v>
      </c>
      <c r="AT44" s="365" t="s">
        <v>42</v>
      </c>
      <c r="AU44" s="368"/>
      <c r="AV44" s="369" t="s">
        <v>44</v>
      </c>
      <c r="AW44" s="370">
        <v>4.0</v>
      </c>
      <c r="AX44" s="370">
        <v>3.0</v>
      </c>
      <c r="AY44" s="370">
        <v>3.0</v>
      </c>
      <c r="AZ44" s="370">
        <v>3.0</v>
      </c>
      <c r="BA44" s="371">
        <f t="shared" si="1"/>
        <v>81.25</v>
      </c>
      <c r="BB44" s="372" t="str">
        <f t="shared" si="2"/>
        <v>Avançado</v>
      </c>
      <c r="BC44" s="373"/>
      <c r="BD44" s="374">
        <f t="shared" si="3"/>
        <v>14</v>
      </c>
      <c r="BE44" s="374">
        <f t="shared" si="4"/>
        <v>351</v>
      </c>
      <c r="BF44" s="375" t="str">
        <f t="shared" si="5"/>
        <v>Adequado</v>
      </c>
      <c r="BG44" s="376">
        <f t="shared" si="6"/>
        <v>15</v>
      </c>
      <c r="BH44" s="374">
        <f t="shared" si="7"/>
        <v>348</v>
      </c>
      <c r="BI44" s="377" t="str">
        <f t="shared" si="8"/>
        <v>Adequado</v>
      </c>
      <c r="BJ44" s="25"/>
      <c r="BK44" s="25"/>
    </row>
    <row r="45" ht="15.75" customHeight="1">
      <c r="A45" s="82">
        <v>16.0</v>
      </c>
      <c r="B45" s="378" t="s">
        <v>351</v>
      </c>
      <c r="C45" s="363" t="s">
        <v>170</v>
      </c>
      <c r="D45" s="379" t="s">
        <v>44</v>
      </c>
      <c r="E45" s="365" t="s">
        <v>42</v>
      </c>
      <c r="F45" s="365" t="s">
        <v>44</v>
      </c>
      <c r="G45" s="365" t="s">
        <v>41</v>
      </c>
      <c r="H45" s="365" t="s">
        <v>43</v>
      </c>
      <c r="I45" s="365" t="s">
        <v>44</v>
      </c>
      <c r="J45" s="365" t="s">
        <v>41</v>
      </c>
      <c r="K45" s="365" t="s">
        <v>42</v>
      </c>
      <c r="L45" s="365" t="s">
        <v>42</v>
      </c>
      <c r="M45" s="365" t="s">
        <v>41</v>
      </c>
      <c r="N45" s="365" t="s">
        <v>44</v>
      </c>
      <c r="O45" s="365" t="s">
        <v>43</v>
      </c>
      <c r="P45" s="365" t="s">
        <v>41</v>
      </c>
      <c r="Q45" s="365" t="s">
        <v>44</v>
      </c>
      <c r="R45" s="365" t="s">
        <v>42</v>
      </c>
      <c r="S45" s="365" t="s">
        <v>43</v>
      </c>
      <c r="T45" s="365" t="s">
        <v>43</v>
      </c>
      <c r="U45" s="365" t="s">
        <v>41</v>
      </c>
      <c r="V45" s="365" t="s">
        <v>42</v>
      </c>
      <c r="W45" s="365" t="s">
        <v>43</v>
      </c>
      <c r="X45" s="366" t="s">
        <v>41</v>
      </c>
      <c r="Y45" s="367" t="s">
        <v>44</v>
      </c>
      <c r="Z45" s="365" t="s">
        <v>43</v>
      </c>
      <c r="AA45" s="365" t="s">
        <v>41</v>
      </c>
      <c r="AB45" s="365" t="s">
        <v>43</v>
      </c>
      <c r="AC45" s="365" t="s">
        <v>43</v>
      </c>
      <c r="AD45" s="365" t="s">
        <v>42</v>
      </c>
      <c r="AE45" s="365" t="s">
        <v>42</v>
      </c>
      <c r="AF45" s="365" t="s">
        <v>42</v>
      </c>
      <c r="AG45" s="365" t="s">
        <v>44</v>
      </c>
      <c r="AH45" s="365" t="s">
        <v>43</v>
      </c>
      <c r="AI45" s="365" t="s">
        <v>42</v>
      </c>
      <c r="AJ45" s="365" t="s">
        <v>41</v>
      </c>
      <c r="AK45" s="365" t="s">
        <v>41</v>
      </c>
      <c r="AL45" s="365" t="s">
        <v>41</v>
      </c>
      <c r="AM45" s="365" t="s">
        <v>44</v>
      </c>
      <c r="AN45" s="365" t="s">
        <v>43</v>
      </c>
      <c r="AO45" s="365" t="s">
        <v>41</v>
      </c>
      <c r="AP45" s="365" t="s">
        <v>43</v>
      </c>
      <c r="AQ45" s="365" t="s">
        <v>42</v>
      </c>
      <c r="AR45" s="365" t="s">
        <v>41</v>
      </c>
      <c r="AS45" s="365" t="s">
        <v>43</v>
      </c>
      <c r="AT45" s="365" t="s">
        <v>42</v>
      </c>
      <c r="AU45" s="368"/>
      <c r="AV45" s="369" t="s">
        <v>44</v>
      </c>
      <c r="AW45" s="370">
        <v>2.0</v>
      </c>
      <c r="AX45" s="370">
        <v>2.0</v>
      </c>
      <c r="AY45" s="370">
        <v>2.0</v>
      </c>
      <c r="AZ45" s="370">
        <v>2.0</v>
      </c>
      <c r="BA45" s="371">
        <f t="shared" si="1"/>
        <v>50</v>
      </c>
      <c r="BB45" s="372" t="str">
        <f t="shared" si="2"/>
        <v>Básico</v>
      </c>
      <c r="BC45" s="373"/>
      <c r="BD45" s="374">
        <f t="shared" si="3"/>
        <v>2</v>
      </c>
      <c r="BE45" s="374">
        <f t="shared" si="4"/>
        <v>54</v>
      </c>
      <c r="BF45" s="375" t="str">
        <f t="shared" si="5"/>
        <v>Abaixo do Básico</v>
      </c>
      <c r="BG45" s="376">
        <f t="shared" si="6"/>
        <v>8</v>
      </c>
      <c r="BH45" s="374">
        <f t="shared" si="7"/>
        <v>183</v>
      </c>
      <c r="BI45" s="377" t="str">
        <f t="shared" si="8"/>
        <v>Básico</v>
      </c>
      <c r="BJ45" s="25"/>
      <c r="BK45" s="25"/>
    </row>
    <row r="46" ht="15.75" customHeight="1">
      <c r="A46" s="82">
        <v>17.0</v>
      </c>
      <c r="B46" s="378" t="s">
        <v>352</v>
      </c>
      <c r="C46" s="363" t="s">
        <v>170</v>
      </c>
      <c r="D46" s="379" t="s">
        <v>43</v>
      </c>
      <c r="E46" s="365" t="s">
        <v>42</v>
      </c>
      <c r="F46" s="365" t="s">
        <v>42</v>
      </c>
      <c r="G46" s="365" t="s">
        <v>42</v>
      </c>
      <c r="H46" s="365" t="s">
        <v>44</v>
      </c>
      <c r="I46" s="365" t="s">
        <v>41</v>
      </c>
      <c r="J46" s="365" t="s">
        <v>41</v>
      </c>
      <c r="K46" s="365" t="s">
        <v>42</v>
      </c>
      <c r="L46" s="365" t="s">
        <v>42</v>
      </c>
      <c r="M46" s="365" t="s">
        <v>44</v>
      </c>
      <c r="N46" s="365" t="s">
        <v>41</v>
      </c>
      <c r="O46" s="365" t="s">
        <v>41</v>
      </c>
      <c r="P46" s="365" t="s">
        <v>43</v>
      </c>
      <c r="Q46" s="365" t="s">
        <v>43</v>
      </c>
      <c r="R46" s="365" t="s">
        <v>42</v>
      </c>
      <c r="S46" s="365" t="s">
        <v>41</v>
      </c>
      <c r="T46" s="365" t="s">
        <v>44</v>
      </c>
      <c r="U46" s="365" t="s">
        <v>43</v>
      </c>
      <c r="V46" s="365" t="s">
        <v>41</v>
      </c>
      <c r="W46" s="365" t="s">
        <v>44</v>
      </c>
      <c r="X46" s="366" t="s">
        <v>41</v>
      </c>
      <c r="Y46" s="367" t="s">
        <v>44</v>
      </c>
      <c r="Z46" s="365" t="s">
        <v>41</v>
      </c>
      <c r="AA46" s="365" t="s">
        <v>42</v>
      </c>
      <c r="AB46" s="365" t="s">
        <v>43</v>
      </c>
      <c r="AC46" s="365" t="s">
        <v>41</v>
      </c>
      <c r="AD46" s="365" t="s">
        <v>41</v>
      </c>
      <c r="AE46" s="365" t="s">
        <v>42</v>
      </c>
      <c r="AF46" s="365" t="s">
        <v>44</v>
      </c>
      <c r="AG46" s="365" t="s">
        <v>41</v>
      </c>
      <c r="AH46" s="365" t="s">
        <v>42</v>
      </c>
      <c r="AI46" s="365" t="s">
        <v>41</v>
      </c>
      <c r="AJ46" s="365" t="s">
        <v>42</v>
      </c>
      <c r="AK46" s="365" t="s">
        <v>43</v>
      </c>
      <c r="AL46" s="365" t="s">
        <v>42</v>
      </c>
      <c r="AM46" s="365" t="s">
        <v>41</v>
      </c>
      <c r="AN46" s="365" t="s">
        <v>44</v>
      </c>
      <c r="AO46" s="365" t="s">
        <v>42</v>
      </c>
      <c r="AP46" s="365" t="s">
        <v>41</v>
      </c>
      <c r="AQ46" s="365" t="s">
        <v>44</v>
      </c>
      <c r="AR46" s="365" t="s">
        <v>41</v>
      </c>
      <c r="AS46" s="365" t="s">
        <v>41</v>
      </c>
      <c r="AT46" s="365" t="s">
        <v>42</v>
      </c>
      <c r="AU46" s="368"/>
      <c r="AV46" s="369" t="s">
        <v>44</v>
      </c>
      <c r="AW46" s="370">
        <v>3.0</v>
      </c>
      <c r="AX46" s="370">
        <v>3.0</v>
      </c>
      <c r="AY46" s="370">
        <v>3.0</v>
      </c>
      <c r="AZ46" s="370">
        <v>3.0</v>
      </c>
      <c r="BA46" s="371">
        <f t="shared" si="1"/>
        <v>75</v>
      </c>
      <c r="BB46" s="372" t="str">
        <f t="shared" si="2"/>
        <v>Adequado</v>
      </c>
      <c r="BC46" s="373"/>
      <c r="BD46" s="374">
        <f t="shared" si="3"/>
        <v>6</v>
      </c>
      <c r="BE46" s="374">
        <f t="shared" si="4"/>
        <v>162</v>
      </c>
      <c r="BF46" s="375" t="str">
        <f t="shared" si="5"/>
        <v>Básico</v>
      </c>
      <c r="BG46" s="376">
        <f t="shared" si="6"/>
        <v>17</v>
      </c>
      <c r="BH46" s="374">
        <f t="shared" si="7"/>
        <v>390</v>
      </c>
      <c r="BI46" s="377" t="str">
        <f t="shared" si="8"/>
        <v>Avançado</v>
      </c>
      <c r="BJ46" s="25"/>
      <c r="BK46" s="25"/>
    </row>
    <row r="47" ht="15.75" customHeight="1">
      <c r="A47" s="82">
        <v>18.0</v>
      </c>
      <c r="B47" s="378" t="s">
        <v>353</v>
      </c>
      <c r="C47" s="363" t="s">
        <v>170</v>
      </c>
      <c r="D47" s="379" t="s">
        <v>42</v>
      </c>
      <c r="E47" s="365" t="s">
        <v>41</v>
      </c>
      <c r="F47" s="365" t="s">
        <v>43</v>
      </c>
      <c r="G47" s="365" t="s">
        <v>41</v>
      </c>
      <c r="H47" s="365" t="s">
        <v>43</v>
      </c>
      <c r="I47" s="365" t="s">
        <v>41</v>
      </c>
      <c r="J47" s="365" t="s">
        <v>42</v>
      </c>
      <c r="K47" s="365" t="s">
        <v>42</v>
      </c>
      <c r="L47" s="365" t="s">
        <v>43</v>
      </c>
      <c r="M47" s="365" t="s">
        <v>43</v>
      </c>
      <c r="N47" s="365" t="s">
        <v>41</v>
      </c>
      <c r="O47" s="365" t="s">
        <v>41</v>
      </c>
      <c r="P47" s="365" t="s">
        <v>44</v>
      </c>
      <c r="Q47" s="365" t="s">
        <v>42</v>
      </c>
      <c r="R47" s="365" t="s">
        <v>173</v>
      </c>
      <c r="S47" s="365" t="s">
        <v>41</v>
      </c>
      <c r="T47" s="365" t="s">
        <v>44</v>
      </c>
      <c r="U47" s="365" t="s">
        <v>42</v>
      </c>
      <c r="V47" s="365" t="s">
        <v>41</v>
      </c>
      <c r="W47" s="365" t="s">
        <v>41</v>
      </c>
      <c r="X47" s="366" t="s">
        <v>42</v>
      </c>
      <c r="Y47" s="367" t="s">
        <v>42</v>
      </c>
      <c r="Z47" s="365" t="s">
        <v>43</v>
      </c>
      <c r="AA47" s="365" t="s">
        <v>41</v>
      </c>
      <c r="AB47" s="365" t="s">
        <v>43</v>
      </c>
      <c r="AC47" s="365" t="s">
        <v>41</v>
      </c>
      <c r="AD47" s="365" t="s">
        <v>44</v>
      </c>
      <c r="AE47" s="365" t="s">
        <v>42</v>
      </c>
      <c r="AF47" s="365" t="s">
        <v>44</v>
      </c>
      <c r="AG47" s="365" t="s">
        <v>43</v>
      </c>
      <c r="AH47" s="365" t="s">
        <v>44</v>
      </c>
      <c r="AI47" s="365" t="s">
        <v>41</v>
      </c>
      <c r="AJ47" s="365" t="s">
        <v>42</v>
      </c>
      <c r="AK47" s="365" t="s">
        <v>43</v>
      </c>
      <c r="AL47" s="365" t="s">
        <v>43</v>
      </c>
      <c r="AM47" s="365" t="s">
        <v>44</v>
      </c>
      <c r="AN47" s="365" t="s">
        <v>41</v>
      </c>
      <c r="AO47" s="365" t="s">
        <v>42</v>
      </c>
      <c r="AP47" s="365" t="s">
        <v>41</v>
      </c>
      <c r="AQ47" s="365" t="s">
        <v>44</v>
      </c>
      <c r="AR47" s="365" t="s">
        <v>41</v>
      </c>
      <c r="AS47" s="365" t="s">
        <v>41</v>
      </c>
      <c r="AT47" s="365" t="s">
        <v>42</v>
      </c>
      <c r="AU47" s="368"/>
      <c r="AV47" s="369" t="s">
        <v>44</v>
      </c>
      <c r="AW47" s="370">
        <v>4.0</v>
      </c>
      <c r="AX47" s="370">
        <v>3.0</v>
      </c>
      <c r="AY47" s="370">
        <v>3.0</v>
      </c>
      <c r="AZ47" s="370">
        <v>3.0</v>
      </c>
      <c r="BA47" s="371">
        <f t="shared" si="1"/>
        <v>81.25</v>
      </c>
      <c r="BB47" s="372" t="str">
        <f t="shared" si="2"/>
        <v>Avançado</v>
      </c>
      <c r="BC47" s="373"/>
      <c r="BD47" s="374">
        <f t="shared" si="3"/>
        <v>10</v>
      </c>
      <c r="BE47" s="374">
        <f t="shared" si="4"/>
        <v>198</v>
      </c>
      <c r="BF47" s="375" t="str">
        <f t="shared" si="5"/>
        <v>Básico</v>
      </c>
      <c r="BG47" s="376">
        <f t="shared" si="6"/>
        <v>16</v>
      </c>
      <c r="BH47" s="374">
        <f t="shared" si="7"/>
        <v>356</v>
      </c>
      <c r="BI47" s="377" t="str">
        <f t="shared" si="8"/>
        <v>Adequado</v>
      </c>
      <c r="BJ47" s="25"/>
      <c r="BK47" s="25"/>
    </row>
    <row r="48" ht="15.75" customHeight="1">
      <c r="A48" s="82">
        <v>19.0</v>
      </c>
      <c r="B48" s="378" t="s">
        <v>354</v>
      </c>
      <c r="C48" s="363" t="s">
        <v>170</v>
      </c>
      <c r="D48" s="379" t="s">
        <v>43</v>
      </c>
      <c r="E48" s="365" t="s">
        <v>41</v>
      </c>
      <c r="F48" s="365" t="s">
        <v>42</v>
      </c>
      <c r="G48" s="365" t="s">
        <v>42</v>
      </c>
      <c r="H48" s="365" t="s">
        <v>43</v>
      </c>
      <c r="I48" s="365" t="s">
        <v>42</v>
      </c>
      <c r="J48" s="365" t="s">
        <v>41</v>
      </c>
      <c r="K48" s="365" t="s">
        <v>41</v>
      </c>
      <c r="L48" s="365" t="s">
        <v>42</v>
      </c>
      <c r="M48" s="365" t="s">
        <v>42</v>
      </c>
      <c r="N48" s="365" t="s">
        <v>41</v>
      </c>
      <c r="O48" s="365" t="s">
        <v>42</v>
      </c>
      <c r="P48" s="365" t="s">
        <v>41</v>
      </c>
      <c r="Q48" s="365" t="s">
        <v>43</v>
      </c>
      <c r="R48" s="365" t="s">
        <v>41</v>
      </c>
      <c r="S48" s="365" t="s">
        <v>41</v>
      </c>
      <c r="T48" s="365" t="s">
        <v>43</v>
      </c>
      <c r="U48" s="365" t="s">
        <v>42</v>
      </c>
      <c r="V48" s="365" t="s">
        <v>42</v>
      </c>
      <c r="W48" s="365" t="s">
        <v>41</v>
      </c>
      <c r="X48" s="366" t="s">
        <v>41</v>
      </c>
      <c r="Y48" s="367" t="s">
        <v>44</v>
      </c>
      <c r="Z48" s="365" t="s">
        <v>43</v>
      </c>
      <c r="AA48" s="365" t="s">
        <v>42</v>
      </c>
      <c r="AB48" s="365" t="s">
        <v>42</v>
      </c>
      <c r="AC48" s="365" t="s">
        <v>43</v>
      </c>
      <c r="AD48" s="365" t="s">
        <v>42</v>
      </c>
      <c r="AE48" s="365" t="s">
        <v>42</v>
      </c>
      <c r="AF48" s="365" t="s">
        <v>42</v>
      </c>
      <c r="AG48" s="365" t="s">
        <v>41</v>
      </c>
      <c r="AH48" s="365" t="s">
        <v>42</v>
      </c>
      <c r="AI48" s="365" t="s">
        <v>43</v>
      </c>
      <c r="AJ48" s="365" t="s">
        <v>42</v>
      </c>
      <c r="AK48" s="365" t="s">
        <v>43</v>
      </c>
      <c r="AL48" s="365" t="s">
        <v>43</v>
      </c>
      <c r="AM48" s="365" t="s">
        <v>42</v>
      </c>
      <c r="AN48" s="365" t="s">
        <v>43</v>
      </c>
      <c r="AO48" s="365" t="s">
        <v>43</v>
      </c>
      <c r="AP48" s="365" t="s">
        <v>41</v>
      </c>
      <c r="AQ48" s="365" t="s">
        <v>42</v>
      </c>
      <c r="AR48" s="365" t="s">
        <v>41</v>
      </c>
      <c r="AS48" s="365" t="s">
        <v>41</v>
      </c>
      <c r="AT48" s="365" t="s">
        <v>41</v>
      </c>
      <c r="AU48" s="368"/>
      <c r="AV48" s="369" t="s">
        <v>44</v>
      </c>
      <c r="AW48" s="370">
        <v>2.0</v>
      </c>
      <c r="AX48" s="370">
        <v>2.0</v>
      </c>
      <c r="AY48" s="370">
        <v>2.0</v>
      </c>
      <c r="AZ48" s="370">
        <v>2.0</v>
      </c>
      <c r="BA48" s="371">
        <f t="shared" si="1"/>
        <v>50</v>
      </c>
      <c r="BB48" s="372" t="str">
        <f t="shared" si="2"/>
        <v>Básico</v>
      </c>
      <c r="BC48" s="373"/>
      <c r="BD48" s="374">
        <f t="shared" si="3"/>
        <v>4</v>
      </c>
      <c r="BE48" s="374">
        <f t="shared" si="4"/>
        <v>117</v>
      </c>
      <c r="BF48" s="375" t="str">
        <f t="shared" si="5"/>
        <v>Abaixo do Básico</v>
      </c>
      <c r="BG48" s="376">
        <f t="shared" si="6"/>
        <v>7</v>
      </c>
      <c r="BH48" s="374">
        <f t="shared" si="7"/>
        <v>158</v>
      </c>
      <c r="BI48" s="377" t="str">
        <f t="shared" si="8"/>
        <v>Básico</v>
      </c>
      <c r="BJ48" s="25"/>
      <c r="BK48" s="25"/>
    </row>
    <row r="49" ht="15.75" customHeight="1">
      <c r="A49" s="82">
        <v>20.0</v>
      </c>
      <c r="B49" s="378" t="s">
        <v>355</v>
      </c>
      <c r="C49" s="363" t="s">
        <v>170</v>
      </c>
      <c r="D49" s="379" t="s">
        <v>41</v>
      </c>
      <c r="E49" s="365" t="s">
        <v>41</v>
      </c>
      <c r="F49" s="365" t="s">
        <v>41</v>
      </c>
      <c r="G49" s="365" t="s">
        <v>42</v>
      </c>
      <c r="H49" s="365" t="s">
        <v>42</v>
      </c>
      <c r="I49" s="365" t="s">
        <v>41</v>
      </c>
      <c r="J49" s="365" t="s">
        <v>42</v>
      </c>
      <c r="K49" s="365" t="s">
        <v>41</v>
      </c>
      <c r="L49" s="365" t="s">
        <v>42</v>
      </c>
      <c r="M49" s="365" t="s">
        <v>41</v>
      </c>
      <c r="N49" s="365" t="s">
        <v>41</v>
      </c>
      <c r="O49" s="365" t="s">
        <v>41</v>
      </c>
      <c r="P49" s="365" t="s">
        <v>44</v>
      </c>
      <c r="Q49" s="365" t="s">
        <v>42</v>
      </c>
      <c r="R49" s="365" t="s">
        <v>44</v>
      </c>
      <c r="S49" s="365" t="s">
        <v>41</v>
      </c>
      <c r="T49" s="365" t="s">
        <v>44</v>
      </c>
      <c r="U49" s="365" t="s">
        <v>44</v>
      </c>
      <c r="V49" s="365" t="s">
        <v>41</v>
      </c>
      <c r="W49" s="365" t="s">
        <v>43</v>
      </c>
      <c r="X49" s="366" t="s">
        <v>42</v>
      </c>
      <c r="Y49" s="367" t="s">
        <v>44</v>
      </c>
      <c r="Z49" s="365" t="s">
        <v>43</v>
      </c>
      <c r="AA49" s="365" t="s">
        <v>42</v>
      </c>
      <c r="AB49" s="365" t="s">
        <v>43</v>
      </c>
      <c r="AC49" s="365" t="s">
        <v>41</v>
      </c>
      <c r="AD49" s="365" t="s">
        <v>41</v>
      </c>
      <c r="AE49" s="365" t="s">
        <v>42</v>
      </c>
      <c r="AF49" s="365" t="s">
        <v>44</v>
      </c>
      <c r="AG49" s="365" t="s">
        <v>43</v>
      </c>
      <c r="AH49" s="365" t="s">
        <v>44</v>
      </c>
      <c r="AI49" s="365" t="s">
        <v>41</v>
      </c>
      <c r="AJ49" s="365" t="s">
        <v>42</v>
      </c>
      <c r="AK49" s="365" t="s">
        <v>43</v>
      </c>
      <c r="AL49" s="365" t="s">
        <v>42</v>
      </c>
      <c r="AM49" s="365" t="s">
        <v>41</v>
      </c>
      <c r="AN49" s="365" t="s">
        <v>44</v>
      </c>
      <c r="AO49" s="365" t="s">
        <v>42</v>
      </c>
      <c r="AP49" s="365" t="s">
        <v>41</v>
      </c>
      <c r="AQ49" s="365" t="s">
        <v>43</v>
      </c>
      <c r="AR49" s="365" t="s">
        <v>41</v>
      </c>
      <c r="AS49" s="365" t="s">
        <v>41</v>
      </c>
      <c r="AT49" s="365" t="s">
        <v>42</v>
      </c>
      <c r="AU49" s="368"/>
      <c r="AV49" s="369" t="s">
        <v>44</v>
      </c>
      <c r="AW49" s="370">
        <v>3.0</v>
      </c>
      <c r="AX49" s="370">
        <v>3.0</v>
      </c>
      <c r="AY49" s="370">
        <v>3.0</v>
      </c>
      <c r="AZ49" s="370">
        <v>3.0</v>
      </c>
      <c r="BA49" s="371">
        <f t="shared" si="1"/>
        <v>75</v>
      </c>
      <c r="BB49" s="372" t="str">
        <f t="shared" si="2"/>
        <v>Adequado</v>
      </c>
      <c r="BC49" s="373"/>
      <c r="BD49" s="374">
        <f t="shared" si="3"/>
        <v>15</v>
      </c>
      <c r="BE49" s="374">
        <f t="shared" si="4"/>
        <v>315</v>
      </c>
      <c r="BF49" s="375" t="str">
        <f t="shared" si="5"/>
        <v>Adequado</v>
      </c>
      <c r="BG49" s="376">
        <f t="shared" si="6"/>
        <v>19</v>
      </c>
      <c r="BH49" s="374">
        <f t="shared" si="7"/>
        <v>431</v>
      </c>
      <c r="BI49" s="377" t="str">
        <f t="shared" si="8"/>
        <v>Avançado</v>
      </c>
      <c r="BJ49" s="25"/>
      <c r="BK49" s="25"/>
    </row>
    <row r="50" ht="15.75" customHeight="1">
      <c r="A50" s="82">
        <v>21.0</v>
      </c>
      <c r="B50" s="378" t="s">
        <v>356</v>
      </c>
      <c r="C50" s="363" t="s">
        <v>170</v>
      </c>
      <c r="D50" s="379" t="s">
        <v>42</v>
      </c>
      <c r="E50" s="365" t="s">
        <v>42</v>
      </c>
      <c r="F50" s="365" t="s">
        <v>41</v>
      </c>
      <c r="G50" s="365" t="s">
        <v>44</v>
      </c>
      <c r="H50" s="365" t="s">
        <v>42</v>
      </c>
      <c r="I50" s="365" t="s">
        <v>41</v>
      </c>
      <c r="J50" s="365" t="s">
        <v>41</v>
      </c>
      <c r="K50" s="365" t="s">
        <v>41</v>
      </c>
      <c r="L50" s="365" t="s">
        <v>42</v>
      </c>
      <c r="M50" s="365" t="s">
        <v>41</v>
      </c>
      <c r="N50" s="365" t="s">
        <v>41</v>
      </c>
      <c r="O50" s="365" t="s">
        <v>41</v>
      </c>
      <c r="P50" s="365" t="s">
        <v>44</v>
      </c>
      <c r="Q50" s="365" t="s">
        <v>42</v>
      </c>
      <c r="R50" s="365" t="s">
        <v>41</v>
      </c>
      <c r="S50" s="365" t="s">
        <v>41</v>
      </c>
      <c r="T50" s="365" t="s">
        <v>44</v>
      </c>
      <c r="U50" s="365" t="s">
        <v>44</v>
      </c>
      <c r="V50" s="365" t="s">
        <v>41</v>
      </c>
      <c r="W50" s="365" t="s">
        <v>43</v>
      </c>
      <c r="X50" s="366" t="s">
        <v>42</v>
      </c>
      <c r="Y50" s="367" t="s">
        <v>44</v>
      </c>
      <c r="Z50" s="365" t="s">
        <v>43</v>
      </c>
      <c r="AA50" s="365" t="s">
        <v>42</v>
      </c>
      <c r="AB50" s="365" t="s">
        <v>43</v>
      </c>
      <c r="AC50" s="365" t="s">
        <v>41</v>
      </c>
      <c r="AD50" s="365" t="s">
        <v>41</v>
      </c>
      <c r="AE50" s="365" t="s">
        <v>43</v>
      </c>
      <c r="AF50" s="365" t="s">
        <v>42</v>
      </c>
      <c r="AG50" s="365" t="s">
        <v>42</v>
      </c>
      <c r="AH50" s="365" t="s">
        <v>44</v>
      </c>
      <c r="AI50" s="365" t="s">
        <v>41</v>
      </c>
      <c r="AJ50" s="365" t="s">
        <v>42</v>
      </c>
      <c r="AK50" s="365" t="s">
        <v>43</v>
      </c>
      <c r="AL50" s="365" t="s">
        <v>42</v>
      </c>
      <c r="AM50" s="365" t="s">
        <v>41</v>
      </c>
      <c r="AN50" s="365" t="s">
        <v>44</v>
      </c>
      <c r="AO50" s="365" t="s">
        <v>42</v>
      </c>
      <c r="AP50" s="365" t="s">
        <v>41</v>
      </c>
      <c r="AQ50" s="365" t="s">
        <v>44</v>
      </c>
      <c r="AR50" s="365" t="s">
        <v>41</v>
      </c>
      <c r="AS50" s="365" t="s">
        <v>41</v>
      </c>
      <c r="AT50" s="365" t="s">
        <v>42</v>
      </c>
      <c r="AU50" s="380"/>
      <c r="AV50" s="369" t="s">
        <v>44</v>
      </c>
      <c r="AW50" s="370">
        <v>4.0</v>
      </c>
      <c r="AX50" s="370">
        <v>3.0</v>
      </c>
      <c r="AY50" s="370">
        <v>3.0</v>
      </c>
      <c r="AZ50" s="370">
        <v>3.0</v>
      </c>
      <c r="BA50" s="371">
        <f t="shared" si="1"/>
        <v>81.25</v>
      </c>
      <c r="BB50" s="372" t="str">
        <f t="shared" si="2"/>
        <v>Avançado</v>
      </c>
      <c r="BC50" s="373"/>
      <c r="BD50" s="374">
        <f t="shared" si="3"/>
        <v>11</v>
      </c>
      <c r="BE50" s="374">
        <f t="shared" si="4"/>
        <v>234</v>
      </c>
      <c r="BF50" s="375" t="str">
        <f t="shared" si="5"/>
        <v>Básico</v>
      </c>
      <c r="BG50" s="376">
        <f t="shared" si="6"/>
        <v>17</v>
      </c>
      <c r="BH50" s="374">
        <f t="shared" si="7"/>
        <v>398</v>
      </c>
      <c r="BI50" s="377" t="str">
        <f t="shared" si="8"/>
        <v>Avançado</v>
      </c>
      <c r="BJ50" s="25"/>
      <c r="BK50" s="25"/>
    </row>
    <row r="51" ht="15.75" customHeight="1">
      <c r="A51" s="82">
        <v>22.0</v>
      </c>
      <c r="B51" s="378" t="s">
        <v>357</v>
      </c>
      <c r="C51" s="363" t="s">
        <v>170</v>
      </c>
      <c r="D51" s="379" t="s">
        <v>42</v>
      </c>
      <c r="E51" s="365" t="s">
        <v>41</v>
      </c>
      <c r="F51" s="365" t="s">
        <v>42</v>
      </c>
      <c r="G51" s="365" t="s">
        <v>42</v>
      </c>
      <c r="H51" s="365" t="s">
        <v>44</v>
      </c>
      <c r="I51" s="365" t="s">
        <v>44</v>
      </c>
      <c r="J51" s="365" t="s">
        <v>43</v>
      </c>
      <c r="K51" s="365" t="s">
        <v>44</v>
      </c>
      <c r="L51" s="365" t="s">
        <v>42</v>
      </c>
      <c r="M51" s="365" t="s">
        <v>44</v>
      </c>
      <c r="N51" s="365" t="s">
        <v>42</v>
      </c>
      <c r="O51" s="365" t="s">
        <v>44</v>
      </c>
      <c r="P51" s="365" t="s">
        <v>44</v>
      </c>
      <c r="Q51" s="365" t="s">
        <v>44</v>
      </c>
      <c r="R51" s="365" t="s">
        <v>44</v>
      </c>
      <c r="S51" s="365" t="s">
        <v>44</v>
      </c>
      <c r="T51" s="365" t="s">
        <v>42</v>
      </c>
      <c r="U51" s="365" t="s">
        <v>43</v>
      </c>
      <c r="V51" s="365" t="s">
        <v>42</v>
      </c>
      <c r="W51" s="365" t="s">
        <v>43</v>
      </c>
      <c r="X51" s="366" t="s">
        <v>44</v>
      </c>
      <c r="Y51" s="367" t="s">
        <v>43</v>
      </c>
      <c r="Z51" s="365" t="s">
        <v>43</v>
      </c>
      <c r="AA51" s="365" t="s">
        <v>44</v>
      </c>
      <c r="AB51" s="365" t="s">
        <v>43</v>
      </c>
      <c r="AC51" s="365" t="s">
        <v>41</v>
      </c>
      <c r="AD51" s="365" t="s">
        <v>41</v>
      </c>
      <c r="AE51" s="365" t="s">
        <v>42</v>
      </c>
      <c r="AF51" s="365" t="s">
        <v>42</v>
      </c>
      <c r="AG51" s="365" t="s">
        <v>43</v>
      </c>
      <c r="AH51" s="365" t="s">
        <v>41</v>
      </c>
      <c r="AI51" s="365" t="s">
        <v>43</v>
      </c>
      <c r="AJ51" s="365" t="s">
        <v>44</v>
      </c>
      <c r="AK51" s="365" t="s">
        <v>41</v>
      </c>
      <c r="AL51" s="365" t="s">
        <v>41</v>
      </c>
      <c r="AM51" s="365" t="s">
        <v>41</v>
      </c>
      <c r="AN51" s="365" t="s">
        <v>44</v>
      </c>
      <c r="AO51" s="365" t="s">
        <v>41</v>
      </c>
      <c r="AP51" s="365" t="s">
        <v>44</v>
      </c>
      <c r="AQ51" s="365" t="s">
        <v>43</v>
      </c>
      <c r="AR51" s="365" t="s">
        <v>43</v>
      </c>
      <c r="AS51" s="365" t="s">
        <v>44</v>
      </c>
      <c r="AT51" s="365" t="s">
        <v>42</v>
      </c>
      <c r="AU51" s="368"/>
      <c r="AV51" s="369" t="s">
        <v>44</v>
      </c>
      <c r="AW51" s="370">
        <v>1.0</v>
      </c>
      <c r="AX51" s="370">
        <v>1.0</v>
      </c>
      <c r="AY51" s="370">
        <v>1.0</v>
      </c>
      <c r="AZ51" s="370">
        <v>1.0</v>
      </c>
      <c r="BA51" s="371">
        <f t="shared" si="1"/>
        <v>25</v>
      </c>
      <c r="BB51" s="372" t="str">
        <f t="shared" si="2"/>
        <v>Abaixo do Básico</v>
      </c>
      <c r="BC51" s="373"/>
      <c r="BD51" s="374">
        <f t="shared" si="3"/>
        <v>5</v>
      </c>
      <c r="BE51" s="374">
        <f t="shared" si="4"/>
        <v>153</v>
      </c>
      <c r="BF51" s="375" t="str">
        <f t="shared" si="5"/>
        <v>Básico</v>
      </c>
      <c r="BG51" s="376">
        <f t="shared" si="6"/>
        <v>9</v>
      </c>
      <c r="BH51" s="374">
        <f t="shared" si="7"/>
        <v>199</v>
      </c>
      <c r="BI51" s="377" t="str">
        <f t="shared" si="8"/>
        <v>Básico</v>
      </c>
      <c r="BJ51" s="25"/>
      <c r="BK51" s="25"/>
    </row>
    <row r="52" ht="15.75" customHeight="1">
      <c r="A52" s="82">
        <v>23.0</v>
      </c>
      <c r="B52" s="378" t="s">
        <v>358</v>
      </c>
      <c r="C52" s="363" t="s">
        <v>170</v>
      </c>
      <c r="D52" s="379" t="s">
        <v>42</v>
      </c>
      <c r="E52" s="365" t="s">
        <v>43</v>
      </c>
      <c r="F52" s="365" t="s">
        <v>42</v>
      </c>
      <c r="G52" s="365" t="s">
        <v>42</v>
      </c>
      <c r="H52" s="365" t="s">
        <v>41</v>
      </c>
      <c r="I52" s="365" t="s">
        <v>43</v>
      </c>
      <c r="J52" s="365" t="s">
        <v>42</v>
      </c>
      <c r="K52" s="365" t="s">
        <v>42</v>
      </c>
      <c r="L52" s="365" t="s">
        <v>44</v>
      </c>
      <c r="M52" s="365" t="s">
        <v>43</v>
      </c>
      <c r="N52" s="365" t="s">
        <v>41</v>
      </c>
      <c r="O52" s="365" t="s">
        <v>41</v>
      </c>
      <c r="P52" s="365" t="s">
        <v>44</v>
      </c>
      <c r="Q52" s="365" t="s">
        <v>42</v>
      </c>
      <c r="R52" s="365" t="s">
        <v>42</v>
      </c>
      <c r="S52" s="365" t="s">
        <v>41</v>
      </c>
      <c r="T52" s="365" t="s">
        <v>44</v>
      </c>
      <c r="U52" s="365" t="s">
        <v>44</v>
      </c>
      <c r="V52" s="365" t="s">
        <v>41</v>
      </c>
      <c r="W52" s="365" t="s">
        <v>43</v>
      </c>
      <c r="X52" s="366" t="s">
        <v>42</v>
      </c>
      <c r="Y52" s="367" t="s">
        <v>44</v>
      </c>
      <c r="Z52" s="365" t="s">
        <v>43</v>
      </c>
      <c r="AA52" s="365" t="s">
        <v>42</v>
      </c>
      <c r="AB52" s="365" t="s">
        <v>43</v>
      </c>
      <c r="AC52" s="365" t="s">
        <v>41</v>
      </c>
      <c r="AD52" s="365" t="s">
        <v>41</v>
      </c>
      <c r="AE52" s="365" t="s">
        <v>42</v>
      </c>
      <c r="AF52" s="365" t="s">
        <v>44</v>
      </c>
      <c r="AG52" s="365" t="s">
        <v>43</v>
      </c>
      <c r="AH52" s="365" t="s">
        <v>44</v>
      </c>
      <c r="AI52" s="365" t="s">
        <v>41</v>
      </c>
      <c r="AJ52" s="365" t="s">
        <v>42</v>
      </c>
      <c r="AK52" s="365" t="s">
        <v>43</v>
      </c>
      <c r="AL52" s="365" t="s">
        <v>42</v>
      </c>
      <c r="AM52" s="365" t="s">
        <v>41</v>
      </c>
      <c r="AN52" s="365" t="s">
        <v>44</v>
      </c>
      <c r="AO52" s="365" t="s">
        <v>42</v>
      </c>
      <c r="AP52" s="365" t="s">
        <v>41</v>
      </c>
      <c r="AQ52" s="365" t="s">
        <v>43</v>
      </c>
      <c r="AR52" s="365" t="s">
        <v>41</v>
      </c>
      <c r="AS52" s="365" t="s">
        <v>41</v>
      </c>
      <c r="AT52" s="365" t="s">
        <v>42</v>
      </c>
      <c r="AU52" s="380"/>
      <c r="AV52" s="369" t="s">
        <v>44</v>
      </c>
      <c r="AW52" s="370">
        <v>4.0</v>
      </c>
      <c r="AX52" s="370">
        <v>3.0</v>
      </c>
      <c r="AY52" s="370">
        <v>3.0</v>
      </c>
      <c r="AZ52" s="370">
        <v>3.0</v>
      </c>
      <c r="BA52" s="371">
        <f t="shared" si="1"/>
        <v>81.25</v>
      </c>
      <c r="BB52" s="372" t="str">
        <f t="shared" si="2"/>
        <v>Avançado</v>
      </c>
      <c r="BC52" s="373"/>
      <c r="BD52" s="374">
        <f t="shared" si="3"/>
        <v>14</v>
      </c>
      <c r="BE52" s="374">
        <f t="shared" si="4"/>
        <v>342</v>
      </c>
      <c r="BF52" s="375" t="str">
        <f t="shared" si="5"/>
        <v>Adequado</v>
      </c>
      <c r="BG52" s="376">
        <f t="shared" si="6"/>
        <v>19</v>
      </c>
      <c r="BH52" s="374">
        <f t="shared" si="7"/>
        <v>431</v>
      </c>
      <c r="BI52" s="377" t="str">
        <f t="shared" si="8"/>
        <v>Avançado</v>
      </c>
      <c r="BJ52" s="25"/>
      <c r="BK52" s="25"/>
    </row>
    <row r="53" ht="15.75" customHeight="1">
      <c r="A53" s="82">
        <v>24.0</v>
      </c>
      <c r="B53" s="378" t="s">
        <v>359</v>
      </c>
      <c r="C53" s="363" t="s">
        <v>170</v>
      </c>
      <c r="D53" s="379" t="s">
        <v>42</v>
      </c>
      <c r="E53" s="365" t="s">
        <v>44</v>
      </c>
      <c r="F53" s="365" t="s">
        <v>43</v>
      </c>
      <c r="G53" s="365" t="s">
        <v>42</v>
      </c>
      <c r="H53" s="365" t="s">
        <v>44</v>
      </c>
      <c r="I53" s="365" t="s">
        <v>43</v>
      </c>
      <c r="J53" s="365" t="s">
        <v>42</v>
      </c>
      <c r="K53" s="365" t="s">
        <v>42</v>
      </c>
      <c r="L53" s="365" t="s">
        <v>44</v>
      </c>
      <c r="M53" s="365" t="s">
        <v>41</v>
      </c>
      <c r="N53" s="365" t="s">
        <v>41</v>
      </c>
      <c r="O53" s="365" t="s">
        <v>41</v>
      </c>
      <c r="P53" s="365" t="s">
        <v>44</v>
      </c>
      <c r="Q53" s="365" t="s">
        <v>42</v>
      </c>
      <c r="R53" s="365" t="s">
        <v>41</v>
      </c>
      <c r="S53" s="365" t="s">
        <v>44</v>
      </c>
      <c r="T53" s="365" t="s">
        <v>44</v>
      </c>
      <c r="U53" s="365" t="s">
        <v>44</v>
      </c>
      <c r="V53" s="365" t="s">
        <v>41</v>
      </c>
      <c r="W53" s="365" t="s">
        <v>41</v>
      </c>
      <c r="X53" s="366" t="s">
        <v>42</v>
      </c>
      <c r="Y53" s="367" t="s">
        <v>44</v>
      </c>
      <c r="Z53" s="365" t="s">
        <v>41</v>
      </c>
      <c r="AA53" s="365" t="s">
        <v>42</v>
      </c>
      <c r="AB53" s="365" t="s">
        <v>43</v>
      </c>
      <c r="AC53" s="365" t="s">
        <v>41</v>
      </c>
      <c r="AD53" s="365" t="s">
        <v>42</v>
      </c>
      <c r="AE53" s="365" t="s">
        <v>42</v>
      </c>
      <c r="AF53" s="365" t="s">
        <v>44</v>
      </c>
      <c r="AG53" s="365" t="s">
        <v>43</v>
      </c>
      <c r="AH53" s="365" t="s">
        <v>44</v>
      </c>
      <c r="AI53" s="365" t="s">
        <v>41</v>
      </c>
      <c r="AJ53" s="365" t="s">
        <v>42</v>
      </c>
      <c r="AK53" s="365" t="s">
        <v>41</v>
      </c>
      <c r="AL53" s="365" t="s">
        <v>41</v>
      </c>
      <c r="AM53" s="365" t="s">
        <v>42</v>
      </c>
      <c r="AN53" s="365" t="s">
        <v>43</v>
      </c>
      <c r="AO53" s="365" t="s">
        <v>42</v>
      </c>
      <c r="AP53" s="365" t="s">
        <v>41</v>
      </c>
      <c r="AQ53" s="365" t="s">
        <v>44</v>
      </c>
      <c r="AR53" s="365" t="s">
        <v>41</v>
      </c>
      <c r="AS53" s="365" t="s">
        <v>41</v>
      </c>
      <c r="AT53" s="365" t="s">
        <v>42</v>
      </c>
      <c r="AU53" s="368"/>
      <c r="AV53" s="369" t="s">
        <v>44</v>
      </c>
      <c r="AW53" s="370">
        <v>4.0</v>
      </c>
      <c r="AX53" s="370">
        <v>3.0</v>
      </c>
      <c r="AY53" s="370">
        <v>3.0</v>
      </c>
      <c r="AZ53" s="370">
        <v>3.0</v>
      </c>
      <c r="BA53" s="371">
        <f t="shared" si="1"/>
        <v>81.25</v>
      </c>
      <c r="BB53" s="372" t="str">
        <f t="shared" si="2"/>
        <v>Avançado</v>
      </c>
      <c r="BC53" s="373"/>
      <c r="BD53" s="374">
        <f t="shared" si="3"/>
        <v>14</v>
      </c>
      <c r="BE53" s="374">
        <f t="shared" si="4"/>
        <v>342</v>
      </c>
      <c r="BF53" s="375" t="str">
        <f t="shared" si="5"/>
        <v>Adequado</v>
      </c>
      <c r="BG53" s="376">
        <f t="shared" si="6"/>
        <v>14</v>
      </c>
      <c r="BH53" s="374">
        <f t="shared" si="7"/>
        <v>306</v>
      </c>
      <c r="BI53" s="377" t="str">
        <f t="shared" si="8"/>
        <v>Adequado</v>
      </c>
      <c r="BJ53" s="25"/>
      <c r="BK53" s="25"/>
    </row>
    <row r="54" ht="15.75" customHeight="1">
      <c r="A54" s="82">
        <v>25.0</v>
      </c>
      <c r="B54" s="378" t="s">
        <v>360</v>
      </c>
      <c r="C54" s="363" t="s">
        <v>170</v>
      </c>
      <c r="D54" s="379" t="s">
        <v>42</v>
      </c>
      <c r="E54" s="365" t="s">
        <v>42</v>
      </c>
      <c r="F54" s="365" t="s">
        <v>41</v>
      </c>
      <c r="G54" s="365" t="s">
        <v>42</v>
      </c>
      <c r="H54" s="365" t="s">
        <v>42</v>
      </c>
      <c r="I54" s="365" t="s">
        <v>43</v>
      </c>
      <c r="J54" s="365" t="s">
        <v>42</v>
      </c>
      <c r="K54" s="365" t="s">
        <v>42</v>
      </c>
      <c r="L54" s="365" t="s">
        <v>44</v>
      </c>
      <c r="M54" s="365" t="s">
        <v>41</v>
      </c>
      <c r="N54" s="365" t="s">
        <v>41</v>
      </c>
      <c r="O54" s="365" t="s">
        <v>41</v>
      </c>
      <c r="P54" s="365" t="s">
        <v>44</v>
      </c>
      <c r="Q54" s="365" t="s">
        <v>42</v>
      </c>
      <c r="R54" s="365" t="s">
        <v>42</v>
      </c>
      <c r="S54" s="365" t="s">
        <v>41</v>
      </c>
      <c r="T54" s="365" t="s">
        <v>44</v>
      </c>
      <c r="U54" s="365" t="s">
        <v>44</v>
      </c>
      <c r="V54" s="365" t="s">
        <v>41</v>
      </c>
      <c r="W54" s="365" t="s">
        <v>43</v>
      </c>
      <c r="X54" s="366" t="s">
        <v>42</v>
      </c>
      <c r="Y54" s="367" t="s">
        <v>44</v>
      </c>
      <c r="Z54" s="365" t="s">
        <v>43</v>
      </c>
      <c r="AA54" s="365" t="s">
        <v>42</v>
      </c>
      <c r="AB54" s="365" t="s">
        <v>43</v>
      </c>
      <c r="AC54" s="365" t="s">
        <v>41</v>
      </c>
      <c r="AD54" s="365" t="s">
        <v>42</v>
      </c>
      <c r="AE54" s="365" t="s">
        <v>42</v>
      </c>
      <c r="AF54" s="365" t="s">
        <v>44</v>
      </c>
      <c r="AG54" s="365" t="s">
        <v>43</v>
      </c>
      <c r="AH54" s="365" t="s">
        <v>44</v>
      </c>
      <c r="AI54" s="365" t="s">
        <v>41</v>
      </c>
      <c r="AJ54" s="365" t="s">
        <v>42</v>
      </c>
      <c r="AK54" s="365" t="s">
        <v>43</v>
      </c>
      <c r="AL54" s="365" t="s">
        <v>42</v>
      </c>
      <c r="AM54" s="365" t="s">
        <v>41</v>
      </c>
      <c r="AN54" s="365" t="s">
        <v>44</v>
      </c>
      <c r="AO54" s="365" t="s">
        <v>42</v>
      </c>
      <c r="AP54" s="365" t="s">
        <v>41</v>
      </c>
      <c r="AQ54" s="365" t="s">
        <v>43</v>
      </c>
      <c r="AR54" s="365" t="s">
        <v>41</v>
      </c>
      <c r="AS54" s="365" t="s">
        <v>41</v>
      </c>
      <c r="AT54" s="365" t="s">
        <v>42</v>
      </c>
      <c r="AU54" s="368"/>
      <c r="AV54" s="369" t="s">
        <v>44</v>
      </c>
      <c r="AW54" s="370">
        <v>3.0</v>
      </c>
      <c r="AX54" s="370">
        <v>3.0</v>
      </c>
      <c r="AY54" s="370">
        <v>3.0</v>
      </c>
      <c r="AZ54" s="370">
        <v>3.0</v>
      </c>
      <c r="BA54" s="371">
        <f t="shared" si="1"/>
        <v>75</v>
      </c>
      <c r="BB54" s="372" t="str">
        <f t="shared" si="2"/>
        <v>Adequado</v>
      </c>
      <c r="BC54" s="373"/>
      <c r="BD54" s="374">
        <f t="shared" si="3"/>
        <v>16</v>
      </c>
      <c r="BE54" s="374">
        <f t="shared" si="4"/>
        <v>378</v>
      </c>
      <c r="BF54" s="375" t="str">
        <f t="shared" si="5"/>
        <v>Avançado</v>
      </c>
      <c r="BG54" s="376">
        <f t="shared" si="6"/>
        <v>18</v>
      </c>
      <c r="BH54" s="374">
        <f t="shared" si="7"/>
        <v>406</v>
      </c>
      <c r="BI54" s="377" t="str">
        <f t="shared" si="8"/>
        <v>Avançado</v>
      </c>
      <c r="BJ54" s="25"/>
      <c r="BK54" s="25"/>
    </row>
    <row r="55" ht="15.75" customHeight="1">
      <c r="A55" s="82">
        <v>26.0</v>
      </c>
      <c r="B55" s="378" t="s">
        <v>361</v>
      </c>
      <c r="C55" s="363" t="s">
        <v>170</v>
      </c>
      <c r="D55" s="379" t="s">
        <v>42</v>
      </c>
      <c r="E55" s="365" t="s">
        <v>41</v>
      </c>
      <c r="F55" s="365" t="s">
        <v>43</v>
      </c>
      <c r="G55" s="365" t="s">
        <v>42</v>
      </c>
      <c r="H55" s="365" t="s">
        <v>44</v>
      </c>
      <c r="I55" s="365" t="s">
        <v>43</v>
      </c>
      <c r="J55" s="365" t="s">
        <v>41</v>
      </c>
      <c r="K55" s="365" t="s">
        <v>42</v>
      </c>
      <c r="L55" s="365" t="s">
        <v>44</v>
      </c>
      <c r="M55" s="365" t="s">
        <v>41</v>
      </c>
      <c r="N55" s="365" t="s">
        <v>41</v>
      </c>
      <c r="O55" s="365" t="s">
        <v>41</v>
      </c>
      <c r="P55" s="365" t="s">
        <v>41</v>
      </c>
      <c r="Q55" s="365" t="s">
        <v>42</v>
      </c>
      <c r="R55" s="365" t="s">
        <v>41</v>
      </c>
      <c r="S55" s="365" t="s">
        <v>41</v>
      </c>
      <c r="T55" s="365" t="s">
        <v>44</v>
      </c>
      <c r="U55" s="365" t="s">
        <v>42</v>
      </c>
      <c r="V55" s="365" t="s">
        <v>41</v>
      </c>
      <c r="W55" s="365" t="s">
        <v>43</v>
      </c>
      <c r="X55" s="366" t="s">
        <v>42</v>
      </c>
      <c r="Y55" s="367" t="s">
        <v>44</v>
      </c>
      <c r="Z55" s="365" t="s">
        <v>41</v>
      </c>
      <c r="AA55" s="365" t="s">
        <v>42</v>
      </c>
      <c r="AB55" s="365" t="s">
        <v>41</v>
      </c>
      <c r="AC55" s="365" t="s">
        <v>41</v>
      </c>
      <c r="AD55" s="365" t="s">
        <v>43</v>
      </c>
      <c r="AE55" s="365" t="s">
        <v>42</v>
      </c>
      <c r="AF55" s="365" t="s">
        <v>44</v>
      </c>
      <c r="AG55" s="365" t="s">
        <v>41</v>
      </c>
      <c r="AH55" s="365" t="s">
        <v>43</v>
      </c>
      <c r="AI55" s="365" t="s">
        <v>41</v>
      </c>
      <c r="AJ55" s="365" t="s">
        <v>42</v>
      </c>
      <c r="AK55" s="365" t="s">
        <v>43</v>
      </c>
      <c r="AL55" s="365" t="s">
        <v>42</v>
      </c>
      <c r="AM55" s="365" t="s">
        <v>42</v>
      </c>
      <c r="AN55" s="365" t="s">
        <v>44</v>
      </c>
      <c r="AO55" s="365" t="s">
        <v>43</v>
      </c>
      <c r="AP55" s="365" t="s">
        <v>41</v>
      </c>
      <c r="AQ55" s="365" t="s">
        <v>42</v>
      </c>
      <c r="AR55" s="365" t="s">
        <v>42</v>
      </c>
      <c r="AS55" s="365" t="s">
        <v>41</v>
      </c>
      <c r="AT55" s="365" t="s">
        <v>44</v>
      </c>
      <c r="AU55" s="368"/>
      <c r="AV55" s="369" t="s">
        <v>44</v>
      </c>
      <c r="AW55" s="370">
        <v>3.0</v>
      </c>
      <c r="AX55" s="370">
        <v>2.0</v>
      </c>
      <c r="AY55" s="370">
        <v>2.0</v>
      </c>
      <c r="AZ55" s="370">
        <v>2.0</v>
      </c>
      <c r="BA55" s="371">
        <f t="shared" si="1"/>
        <v>56.25</v>
      </c>
      <c r="BB55" s="372" t="str">
        <f t="shared" si="2"/>
        <v>Adequado</v>
      </c>
      <c r="BC55" s="373"/>
      <c r="BD55" s="374">
        <f t="shared" si="3"/>
        <v>12</v>
      </c>
      <c r="BE55" s="374">
        <f t="shared" si="4"/>
        <v>288</v>
      </c>
      <c r="BF55" s="375" t="str">
        <f t="shared" si="5"/>
        <v>Adequado</v>
      </c>
      <c r="BG55" s="376">
        <f t="shared" si="6"/>
        <v>10</v>
      </c>
      <c r="BH55" s="374">
        <f t="shared" si="7"/>
        <v>224</v>
      </c>
      <c r="BI55" s="377" t="str">
        <f t="shared" si="8"/>
        <v>Básico</v>
      </c>
      <c r="BJ55" s="25"/>
      <c r="BK55" s="25"/>
    </row>
    <row r="56" ht="15.75" customHeight="1">
      <c r="A56" s="82">
        <v>27.0</v>
      </c>
      <c r="B56" s="378" t="s">
        <v>362</v>
      </c>
      <c r="C56" s="363" t="s">
        <v>170</v>
      </c>
      <c r="D56" s="379" t="s">
        <v>42</v>
      </c>
      <c r="E56" s="365" t="s">
        <v>41</v>
      </c>
      <c r="F56" s="365" t="s">
        <v>43</v>
      </c>
      <c r="G56" s="365" t="s">
        <v>42</v>
      </c>
      <c r="H56" s="365" t="s">
        <v>42</v>
      </c>
      <c r="I56" s="365" t="s">
        <v>43</v>
      </c>
      <c r="J56" s="365" t="s">
        <v>41</v>
      </c>
      <c r="K56" s="365" t="s">
        <v>41</v>
      </c>
      <c r="L56" s="365" t="s">
        <v>42</v>
      </c>
      <c r="M56" s="365" t="s">
        <v>44</v>
      </c>
      <c r="N56" s="365" t="s">
        <v>41</v>
      </c>
      <c r="O56" s="365" t="s">
        <v>41</v>
      </c>
      <c r="P56" s="365" t="s">
        <v>44</v>
      </c>
      <c r="Q56" s="365" t="s">
        <v>42</v>
      </c>
      <c r="R56" s="365" t="s">
        <v>41</v>
      </c>
      <c r="S56" s="365" t="s">
        <v>42</v>
      </c>
      <c r="T56" s="365" t="s">
        <v>41</v>
      </c>
      <c r="U56" s="365" t="s">
        <v>42</v>
      </c>
      <c r="V56" s="365" t="s">
        <v>41</v>
      </c>
      <c r="W56" s="365" t="s">
        <v>43</v>
      </c>
      <c r="X56" s="366" t="s">
        <v>42</v>
      </c>
      <c r="Y56" s="367" t="s">
        <v>44</v>
      </c>
      <c r="Z56" s="365" t="s">
        <v>43</v>
      </c>
      <c r="AA56" s="365" t="s">
        <v>42</v>
      </c>
      <c r="AB56" s="365" t="s">
        <v>43</v>
      </c>
      <c r="AC56" s="365" t="s">
        <v>41</v>
      </c>
      <c r="AD56" s="365" t="s">
        <v>41</v>
      </c>
      <c r="AE56" s="365" t="s">
        <v>42</v>
      </c>
      <c r="AF56" s="365" t="s">
        <v>44</v>
      </c>
      <c r="AG56" s="365" t="s">
        <v>41</v>
      </c>
      <c r="AH56" s="365" t="s">
        <v>42</v>
      </c>
      <c r="AI56" s="365" t="s">
        <v>43</v>
      </c>
      <c r="AJ56" s="365" t="s">
        <v>42</v>
      </c>
      <c r="AK56" s="365" t="s">
        <v>43</v>
      </c>
      <c r="AL56" s="365" t="s">
        <v>42</v>
      </c>
      <c r="AM56" s="365" t="s">
        <v>41</v>
      </c>
      <c r="AN56" s="365" t="s">
        <v>44</v>
      </c>
      <c r="AO56" s="365" t="s">
        <v>42</v>
      </c>
      <c r="AP56" s="365" t="s">
        <v>41</v>
      </c>
      <c r="AQ56" s="365" t="s">
        <v>43</v>
      </c>
      <c r="AR56" s="365" t="s">
        <v>42</v>
      </c>
      <c r="AS56" s="365" t="s">
        <v>41</v>
      </c>
      <c r="AT56" s="365" t="s">
        <v>41</v>
      </c>
      <c r="AU56" s="368"/>
      <c r="AV56" s="369" t="s">
        <v>44</v>
      </c>
      <c r="AW56" s="370">
        <v>2.0</v>
      </c>
      <c r="AX56" s="370">
        <v>2.0</v>
      </c>
      <c r="AY56" s="370">
        <v>2.0</v>
      </c>
      <c r="AZ56" s="370">
        <v>2.0</v>
      </c>
      <c r="BA56" s="371">
        <f t="shared" si="1"/>
        <v>50</v>
      </c>
      <c r="BB56" s="372" t="str">
        <f t="shared" si="2"/>
        <v>Básico</v>
      </c>
      <c r="BC56" s="373"/>
      <c r="BD56" s="374">
        <f t="shared" si="3"/>
        <v>11</v>
      </c>
      <c r="BE56" s="374">
        <f t="shared" si="4"/>
        <v>270</v>
      </c>
      <c r="BF56" s="375" t="str">
        <f t="shared" si="5"/>
        <v>Adequado</v>
      </c>
      <c r="BG56" s="376">
        <f t="shared" si="6"/>
        <v>14</v>
      </c>
      <c r="BH56" s="374">
        <f t="shared" si="7"/>
        <v>315</v>
      </c>
      <c r="BI56" s="377" t="str">
        <f t="shared" si="8"/>
        <v>Adequado</v>
      </c>
      <c r="BJ56" s="25"/>
      <c r="BK56" s="25"/>
    </row>
    <row r="57" ht="15.75" customHeight="1">
      <c r="A57" s="82">
        <v>28.0</v>
      </c>
      <c r="B57" s="378" t="s">
        <v>363</v>
      </c>
      <c r="C57" s="363" t="s">
        <v>170</v>
      </c>
      <c r="D57" s="379" t="s">
        <v>44</v>
      </c>
      <c r="E57" s="365" t="s">
        <v>41</v>
      </c>
      <c r="F57" s="365" t="s">
        <v>43</v>
      </c>
      <c r="G57" s="365" t="s">
        <v>44</v>
      </c>
      <c r="H57" s="365" t="s">
        <v>42</v>
      </c>
      <c r="I57" s="365" t="s">
        <v>43</v>
      </c>
      <c r="J57" s="365" t="s">
        <v>41</v>
      </c>
      <c r="K57" s="365" t="s">
        <v>41</v>
      </c>
      <c r="L57" s="365" t="s">
        <v>44</v>
      </c>
      <c r="M57" s="365" t="s">
        <v>43</v>
      </c>
      <c r="N57" s="365" t="s">
        <v>44</v>
      </c>
      <c r="O57" s="365" t="s">
        <v>41</v>
      </c>
      <c r="P57" s="365" t="s">
        <v>44</v>
      </c>
      <c r="Q57" s="365" t="s">
        <v>42</v>
      </c>
      <c r="R57" s="365" t="s">
        <v>41</v>
      </c>
      <c r="S57" s="365" t="s">
        <v>44</v>
      </c>
      <c r="T57" s="365" t="s">
        <v>41</v>
      </c>
      <c r="U57" s="365" t="s">
        <v>44</v>
      </c>
      <c r="V57" s="365" t="s">
        <v>41</v>
      </c>
      <c r="W57" s="365" t="s">
        <v>43</v>
      </c>
      <c r="X57" s="366" t="s">
        <v>42</v>
      </c>
      <c r="Y57" s="367" t="s">
        <v>44</v>
      </c>
      <c r="Z57" s="365" t="s">
        <v>43</v>
      </c>
      <c r="AA57" s="365" t="s">
        <v>42</v>
      </c>
      <c r="AB57" s="365" t="s">
        <v>42</v>
      </c>
      <c r="AC57" s="365" t="s">
        <v>41</v>
      </c>
      <c r="AD57" s="365" t="s">
        <v>42</v>
      </c>
      <c r="AE57" s="365" t="s">
        <v>42</v>
      </c>
      <c r="AF57" s="365" t="s">
        <v>43</v>
      </c>
      <c r="AG57" s="365" t="s">
        <v>44</v>
      </c>
      <c r="AH57" s="365" t="s">
        <v>43</v>
      </c>
      <c r="AI57" s="365" t="s">
        <v>44</v>
      </c>
      <c r="AJ57" s="365" t="s">
        <v>42</v>
      </c>
      <c r="AK57" s="365" t="s">
        <v>43</v>
      </c>
      <c r="AL57" s="365" t="s">
        <v>41</v>
      </c>
      <c r="AM57" s="365" t="s">
        <v>41</v>
      </c>
      <c r="AN57" s="365" t="s">
        <v>44</v>
      </c>
      <c r="AO57" s="365" t="s">
        <v>42</v>
      </c>
      <c r="AP57" s="365" t="s">
        <v>44</v>
      </c>
      <c r="AQ57" s="365" t="s">
        <v>41</v>
      </c>
      <c r="AR57" s="365" t="s">
        <v>43</v>
      </c>
      <c r="AS57" s="365" t="s">
        <v>41</v>
      </c>
      <c r="AT57" s="365" t="s">
        <v>44</v>
      </c>
      <c r="AU57" s="368"/>
      <c r="AV57" s="369" t="s">
        <v>44</v>
      </c>
      <c r="AW57" s="370">
        <v>3.0</v>
      </c>
      <c r="AX57" s="370">
        <v>2.0</v>
      </c>
      <c r="AY57" s="370">
        <v>2.0</v>
      </c>
      <c r="AZ57" s="370">
        <v>2.0</v>
      </c>
      <c r="BA57" s="371">
        <f t="shared" si="1"/>
        <v>56.25</v>
      </c>
      <c r="BB57" s="372" t="str">
        <f t="shared" si="2"/>
        <v>Adequado</v>
      </c>
      <c r="BC57" s="373"/>
      <c r="BD57" s="374">
        <f t="shared" si="3"/>
        <v>12</v>
      </c>
      <c r="BE57" s="374">
        <f t="shared" si="4"/>
        <v>279</v>
      </c>
      <c r="BF57" s="375" t="str">
        <f t="shared" si="5"/>
        <v>Adequado</v>
      </c>
      <c r="BG57" s="376">
        <f t="shared" si="6"/>
        <v>10</v>
      </c>
      <c r="BH57" s="374">
        <f t="shared" si="7"/>
        <v>215</v>
      </c>
      <c r="BI57" s="377" t="str">
        <f t="shared" si="8"/>
        <v>Básico</v>
      </c>
      <c r="BJ57" s="25"/>
      <c r="BK57" s="25"/>
    </row>
    <row r="58" ht="15.75" customHeight="1">
      <c r="A58" s="82">
        <v>29.0</v>
      </c>
      <c r="B58" s="378" t="s">
        <v>364</v>
      </c>
      <c r="C58" s="363" t="s">
        <v>170</v>
      </c>
      <c r="D58" s="379" t="s">
        <v>42</v>
      </c>
      <c r="E58" s="365" t="s">
        <v>42</v>
      </c>
      <c r="F58" s="365" t="s">
        <v>41</v>
      </c>
      <c r="G58" s="365" t="s">
        <v>42</v>
      </c>
      <c r="H58" s="365" t="s">
        <v>42</v>
      </c>
      <c r="I58" s="365" t="s">
        <v>41</v>
      </c>
      <c r="J58" s="365" t="s">
        <v>44</v>
      </c>
      <c r="K58" s="365" t="s">
        <v>41</v>
      </c>
      <c r="L58" s="365" t="s">
        <v>42</v>
      </c>
      <c r="M58" s="365" t="s">
        <v>42</v>
      </c>
      <c r="N58" s="365" t="s">
        <v>41</v>
      </c>
      <c r="O58" s="365" t="s">
        <v>41</v>
      </c>
      <c r="P58" s="365" t="s">
        <v>44</v>
      </c>
      <c r="Q58" s="365" t="s">
        <v>42</v>
      </c>
      <c r="R58" s="365" t="s">
        <v>44</v>
      </c>
      <c r="S58" s="365" t="s">
        <v>41</v>
      </c>
      <c r="T58" s="365" t="s">
        <v>44</v>
      </c>
      <c r="U58" s="365" t="s">
        <v>44</v>
      </c>
      <c r="V58" s="365" t="s">
        <v>41</v>
      </c>
      <c r="W58" s="365" t="s">
        <v>43</v>
      </c>
      <c r="X58" s="366" t="s">
        <v>42</v>
      </c>
      <c r="Y58" s="367" t="s">
        <v>44</v>
      </c>
      <c r="Z58" s="365" t="s">
        <v>43</v>
      </c>
      <c r="AA58" s="365" t="s">
        <v>42</v>
      </c>
      <c r="AB58" s="365" t="s">
        <v>43</v>
      </c>
      <c r="AC58" s="365" t="s">
        <v>41</v>
      </c>
      <c r="AD58" s="365" t="s">
        <v>41</v>
      </c>
      <c r="AE58" s="365" t="s">
        <v>42</v>
      </c>
      <c r="AF58" s="365" t="s">
        <v>44</v>
      </c>
      <c r="AG58" s="365" t="s">
        <v>43</v>
      </c>
      <c r="AH58" s="365" t="s">
        <v>44</v>
      </c>
      <c r="AI58" s="365" t="s">
        <v>41</v>
      </c>
      <c r="AJ58" s="365" t="s">
        <v>42</v>
      </c>
      <c r="AK58" s="365" t="s">
        <v>43</v>
      </c>
      <c r="AL58" s="365" t="s">
        <v>42</v>
      </c>
      <c r="AM58" s="365" t="s">
        <v>41</v>
      </c>
      <c r="AN58" s="365" t="s">
        <v>44</v>
      </c>
      <c r="AO58" s="365" t="s">
        <v>42</v>
      </c>
      <c r="AP58" s="365" t="s">
        <v>41</v>
      </c>
      <c r="AQ58" s="365" t="s">
        <v>44</v>
      </c>
      <c r="AR58" s="365" t="s">
        <v>41</v>
      </c>
      <c r="AS58" s="365" t="s">
        <v>41</v>
      </c>
      <c r="AT58" s="365" t="s">
        <v>42</v>
      </c>
      <c r="AU58" s="368"/>
      <c r="AV58" s="369" t="s">
        <v>44</v>
      </c>
      <c r="AW58" s="370">
        <v>3.0</v>
      </c>
      <c r="AX58" s="370">
        <v>2.0</v>
      </c>
      <c r="AY58" s="370">
        <v>2.0</v>
      </c>
      <c r="AZ58" s="370">
        <v>2.0</v>
      </c>
      <c r="BA58" s="371">
        <f t="shared" si="1"/>
        <v>56.25</v>
      </c>
      <c r="BB58" s="372" t="str">
        <f t="shared" si="2"/>
        <v>Adequado</v>
      </c>
      <c r="BC58" s="373"/>
      <c r="BD58" s="374">
        <f t="shared" si="3"/>
        <v>13</v>
      </c>
      <c r="BE58" s="374">
        <f t="shared" si="4"/>
        <v>306</v>
      </c>
      <c r="BF58" s="375" t="str">
        <f t="shared" si="5"/>
        <v>Adequado</v>
      </c>
      <c r="BG58" s="376">
        <f t="shared" si="6"/>
        <v>20</v>
      </c>
      <c r="BH58" s="374">
        <f t="shared" si="7"/>
        <v>456</v>
      </c>
      <c r="BI58" s="377" t="str">
        <f t="shared" si="8"/>
        <v>Avançado</v>
      </c>
      <c r="BJ58" s="25"/>
      <c r="BK58" s="25"/>
    </row>
    <row r="59" ht="15.75" customHeight="1">
      <c r="A59" s="441">
        <v>30.0</v>
      </c>
      <c r="B59" s="378"/>
      <c r="C59" s="363"/>
      <c r="D59" s="379"/>
      <c r="E59" s="365"/>
      <c r="F59" s="365"/>
      <c r="G59" s="365"/>
      <c r="H59" s="365"/>
      <c r="I59" s="365"/>
      <c r="J59" s="365"/>
      <c r="K59" s="365"/>
      <c r="L59" s="365"/>
      <c r="M59" s="365"/>
      <c r="N59" s="365"/>
      <c r="O59" s="365"/>
      <c r="P59" s="365"/>
      <c r="Q59" s="365"/>
      <c r="R59" s="365"/>
      <c r="S59" s="365"/>
      <c r="T59" s="365"/>
      <c r="U59" s="365"/>
      <c r="V59" s="365"/>
      <c r="W59" s="365"/>
      <c r="X59" s="366"/>
      <c r="Y59" s="367"/>
      <c r="Z59" s="365"/>
      <c r="AA59" s="365"/>
      <c r="AB59" s="365"/>
      <c r="AC59" s="365"/>
      <c r="AD59" s="365"/>
      <c r="AE59" s="365"/>
      <c r="AF59" s="365"/>
      <c r="AG59" s="365"/>
      <c r="AH59" s="365"/>
      <c r="AI59" s="365"/>
      <c r="AJ59" s="365"/>
      <c r="AK59" s="365"/>
      <c r="AL59" s="365"/>
      <c r="AM59" s="365"/>
      <c r="AN59" s="365"/>
      <c r="AO59" s="365"/>
      <c r="AP59" s="365"/>
      <c r="AQ59" s="365"/>
      <c r="AR59" s="365"/>
      <c r="AS59" s="365"/>
      <c r="AT59" s="365"/>
      <c r="AU59" s="368"/>
      <c r="AV59" s="369"/>
      <c r="AW59" s="370"/>
      <c r="AX59" s="370"/>
      <c r="AY59" s="370"/>
      <c r="AZ59" s="370"/>
      <c r="BA59" s="371"/>
      <c r="BB59" s="372"/>
      <c r="BC59" s="373"/>
      <c r="BD59" s="374"/>
      <c r="BE59" s="374"/>
      <c r="BF59" s="375"/>
      <c r="BG59" s="376"/>
      <c r="BH59" s="374"/>
      <c r="BI59" s="377"/>
      <c r="BJ59" s="25"/>
      <c r="BK59" s="25"/>
    </row>
    <row r="60" ht="15.75" customHeight="1">
      <c r="A60" s="441">
        <v>31.0</v>
      </c>
      <c r="B60" s="378"/>
      <c r="C60" s="363"/>
      <c r="D60" s="379"/>
      <c r="E60" s="365"/>
      <c r="F60" s="365"/>
      <c r="G60" s="365"/>
      <c r="H60" s="365"/>
      <c r="I60" s="365"/>
      <c r="J60" s="365"/>
      <c r="K60" s="365"/>
      <c r="L60" s="365"/>
      <c r="M60" s="365"/>
      <c r="N60" s="365"/>
      <c r="O60" s="365"/>
      <c r="P60" s="365"/>
      <c r="Q60" s="365"/>
      <c r="R60" s="365"/>
      <c r="S60" s="365"/>
      <c r="T60" s="365"/>
      <c r="U60" s="365"/>
      <c r="V60" s="365"/>
      <c r="W60" s="365"/>
      <c r="X60" s="366"/>
      <c r="Y60" s="367"/>
      <c r="Z60" s="365"/>
      <c r="AA60" s="365"/>
      <c r="AB60" s="365"/>
      <c r="AC60" s="365"/>
      <c r="AD60" s="365"/>
      <c r="AE60" s="365"/>
      <c r="AF60" s="365"/>
      <c r="AG60" s="365"/>
      <c r="AH60" s="365"/>
      <c r="AI60" s="365"/>
      <c r="AJ60" s="365"/>
      <c r="AK60" s="365"/>
      <c r="AL60" s="365"/>
      <c r="AM60" s="365"/>
      <c r="AN60" s="365"/>
      <c r="AO60" s="365"/>
      <c r="AP60" s="365"/>
      <c r="AQ60" s="365"/>
      <c r="AR60" s="365"/>
      <c r="AS60" s="365"/>
      <c r="AT60" s="365"/>
      <c r="AU60" s="368"/>
      <c r="AV60" s="369"/>
      <c r="AW60" s="370"/>
      <c r="AX60" s="370"/>
      <c r="AY60" s="370"/>
      <c r="AZ60" s="370"/>
      <c r="BA60" s="371"/>
      <c r="BB60" s="372"/>
      <c r="BC60" s="373"/>
      <c r="BD60" s="374"/>
      <c r="BE60" s="374"/>
      <c r="BF60" s="375"/>
      <c r="BG60" s="376"/>
      <c r="BH60" s="374"/>
      <c r="BI60" s="377"/>
      <c r="BJ60" s="25"/>
      <c r="BK60" s="25"/>
    </row>
    <row r="61" ht="15.75" customHeight="1">
      <c r="A61" s="441">
        <v>32.0</v>
      </c>
      <c r="B61" s="378"/>
      <c r="C61" s="363"/>
      <c r="D61" s="379"/>
      <c r="E61" s="365"/>
      <c r="F61" s="365"/>
      <c r="G61" s="365"/>
      <c r="H61" s="365"/>
      <c r="I61" s="365"/>
      <c r="J61" s="365"/>
      <c r="K61" s="365"/>
      <c r="L61" s="365"/>
      <c r="M61" s="365"/>
      <c r="N61" s="365"/>
      <c r="O61" s="365"/>
      <c r="P61" s="365"/>
      <c r="Q61" s="365"/>
      <c r="R61" s="365"/>
      <c r="S61" s="365"/>
      <c r="T61" s="365"/>
      <c r="U61" s="365"/>
      <c r="V61" s="365"/>
      <c r="W61" s="365"/>
      <c r="X61" s="366"/>
      <c r="Y61" s="367"/>
      <c r="Z61" s="365"/>
      <c r="AA61" s="365"/>
      <c r="AB61" s="365"/>
      <c r="AC61" s="365"/>
      <c r="AD61" s="365"/>
      <c r="AE61" s="365"/>
      <c r="AF61" s="365"/>
      <c r="AG61" s="365"/>
      <c r="AH61" s="365"/>
      <c r="AI61" s="365"/>
      <c r="AJ61" s="365"/>
      <c r="AK61" s="365"/>
      <c r="AL61" s="365"/>
      <c r="AM61" s="365"/>
      <c r="AN61" s="365"/>
      <c r="AO61" s="365"/>
      <c r="AP61" s="365"/>
      <c r="AQ61" s="365"/>
      <c r="AR61" s="365"/>
      <c r="AS61" s="365"/>
      <c r="AT61" s="365"/>
      <c r="AU61" s="368"/>
      <c r="AV61" s="369"/>
      <c r="AW61" s="370"/>
      <c r="AX61" s="370"/>
      <c r="AY61" s="370"/>
      <c r="AZ61" s="370"/>
      <c r="BA61" s="371"/>
      <c r="BB61" s="372"/>
      <c r="BC61" s="373"/>
      <c r="BD61" s="374"/>
      <c r="BE61" s="374"/>
      <c r="BF61" s="375"/>
      <c r="BG61" s="376"/>
      <c r="BH61" s="374"/>
      <c r="BI61" s="377"/>
      <c r="BJ61" s="25"/>
      <c r="BK61" s="25"/>
    </row>
    <row r="62" ht="15.75" customHeight="1">
      <c r="A62" s="441">
        <v>33.0</v>
      </c>
      <c r="B62" s="448"/>
      <c r="C62" s="383"/>
      <c r="D62" s="384"/>
      <c r="E62" s="365"/>
      <c r="F62" s="365"/>
      <c r="G62" s="365"/>
      <c r="H62" s="365"/>
      <c r="I62" s="365"/>
      <c r="J62" s="365"/>
      <c r="K62" s="365"/>
      <c r="L62" s="365"/>
      <c r="M62" s="365"/>
      <c r="N62" s="365"/>
      <c r="O62" s="365"/>
      <c r="P62" s="365"/>
      <c r="Q62" s="365"/>
      <c r="R62" s="365"/>
      <c r="S62" s="365"/>
      <c r="T62" s="365"/>
      <c r="U62" s="365"/>
      <c r="V62" s="365"/>
      <c r="W62" s="365"/>
      <c r="X62" s="366"/>
      <c r="Y62" s="367"/>
      <c r="Z62" s="365"/>
      <c r="AA62" s="365"/>
      <c r="AB62" s="365"/>
      <c r="AC62" s="365"/>
      <c r="AD62" s="365"/>
      <c r="AE62" s="365"/>
      <c r="AF62" s="365"/>
      <c r="AG62" s="365"/>
      <c r="AH62" s="365"/>
      <c r="AI62" s="365"/>
      <c r="AJ62" s="365"/>
      <c r="AK62" s="365"/>
      <c r="AL62" s="365"/>
      <c r="AM62" s="365"/>
      <c r="AN62" s="365"/>
      <c r="AO62" s="365"/>
      <c r="AP62" s="365"/>
      <c r="AQ62" s="365"/>
      <c r="AR62" s="365"/>
      <c r="AS62" s="365"/>
      <c r="AT62" s="365"/>
      <c r="AU62" s="368"/>
      <c r="AV62" s="369"/>
      <c r="AW62" s="385"/>
      <c r="AX62" s="385"/>
      <c r="AY62" s="385"/>
      <c r="AZ62" s="385"/>
      <c r="BA62" s="371"/>
      <c r="BB62" s="372"/>
      <c r="BC62" s="373"/>
      <c r="BD62" s="374"/>
      <c r="BE62" s="374"/>
      <c r="BF62" s="375"/>
      <c r="BG62" s="376"/>
      <c r="BH62" s="374"/>
      <c r="BI62" s="377"/>
      <c r="BJ62" s="25"/>
      <c r="BK62" s="25"/>
    </row>
    <row r="63" ht="15.75" customHeight="1">
      <c r="A63" s="441">
        <v>34.0</v>
      </c>
      <c r="B63" s="448"/>
      <c r="C63" s="383"/>
      <c r="D63" s="384"/>
      <c r="E63" s="365"/>
      <c r="F63" s="365"/>
      <c r="G63" s="365"/>
      <c r="H63" s="365"/>
      <c r="I63" s="365"/>
      <c r="J63" s="365"/>
      <c r="K63" s="365"/>
      <c r="L63" s="365"/>
      <c r="M63" s="365"/>
      <c r="N63" s="365"/>
      <c r="O63" s="365"/>
      <c r="P63" s="365"/>
      <c r="Q63" s="365"/>
      <c r="R63" s="365"/>
      <c r="S63" s="365"/>
      <c r="T63" s="365"/>
      <c r="U63" s="365"/>
      <c r="V63" s="365"/>
      <c r="W63" s="365"/>
      <c r="X63" s="366"/>
      <c r="Y63" s="367"/>
      <c r="Z63" s="365"/>
      <c r="AA63" s="365"/>
      <c r="AB63" s="365"/>
      <c r="AC63" s="365"/>
      <c r="AD63" s="365"/>
      <c r="AE63" s="365"/>
      <c r="AF63" s="365"/>
      <c r="AG63" s="365"/>
      <c r="AH63" s="365"/>
      <c r="AI63" s="365"/>
      <c r="AJ63" s="365"/>
      <c r="AK63" s="365"/>
      <c r="AL63" s="365"/>
      <c r="AM63" s="365"/>
      <c r="AN63" s="365"/>
      <c r="AO63" s="365"/>
      <c r="AP63" s="365"/>
      <c r="AQ63" s="365"/>
      <c r="AR63" s="365"/>
      <c r="AS63" s="365"/>
      <c r="AT63" s="365"/>
      <c r="AU63" s="368"/>
      <c r="AV63" s="369"/>
      <c r="AW63" s="385"/>
      <c r="AX63" s="385"/>
      <c r="AY63" s="385"/>
      <c r="AZ63" s="385"/>
      <c r="BA63" s="371"/>
      <c r="BB63" s="372"/>
      <c r="BC63" s="373"/>
      <c r="BD63" s="374"/>
      <c r="BE63" s="374"/>
      <c r="BF63" s="375"/>
      <c r="BG63" s="376"/>
      <c r="BH63" s="374"/>
      <c r="BI63" s="377"/>
      <c r="BJ63" s="25"/>
      <c r="BK63" s="25"/>
    </row>
    <row r="64" ht="15.75" customHeight="1">
      <c r="A64" s="441">
        <v>35.0</v>
      </c>
      <c r="B64" s="448"/>
      <c r="C64" s="383"/>
      <c r="D64" s="384"/>
      <c r="E64" s="365"/>
      <c r="F64" s="365"/>
      <c r="G64" s="365"/>
      <c r="H64" s="365"/>
      <c r="I64" s="365"/>
      <c r="J64" s="365"/>
      <c r="K64" s="365"/>
      <c r="L64" s="365"/>
      <c r="M64" s="365"/>
      <c r="N64" s="365"/>
      <c r="O64" s="365"/>
      <c r="P64" s="365"/>
      <c r="Q64" s="365"/>
      <c r="R64" s="365"/>
      <c r="S64" s="365"/>
      <c r="T64" s="365"/>
      <c r="U64" s="365"/>
      <c r="V64" s="365"/>
      <c r="W64" s="365"/>
      <c r="X64" s="366"/>
      <c r="Y64" s="367"/>
      <c r="Z64" s="365"/>
      <c r="AA64" s="365"/>
      <c r="AB64" s="365"/>
      <c r="AC64" s="365"/>
      <c r="AD64" s="365"/>
      <c r="AE64" s="365"/>
      <c r="AF64" s="365"/>
      <c r="AG64" s="365"/>
      <c r="AH64" s="365"/>
      <c r="AI64" s="365"/>
      <c r="AJ64" s="365"/>
      <c r="AK64" s="365"/>
      <c r="AL64" s="365"/>
      <c r="AM64" s="365"/>
      <c r="AN64" s="365"/>
      <c r="AO64" s="365"/>
      <c r="AP64" s="365"/>
      <c r="AQ64" s="365"/>
      <c r="AR64" s="365"/>
      <c r="AS64" s="365"/>
      <c r="AT64" s="365"/>
      <c r="AU64" s="368"/>
      <c r="AV64" s="369"/>
      <c r="AW64" s="385"/>
      <c r="AX64" s="385"/>
      <c r="AY64" s="385"/>
      <c r="AZ64" s="385"/>
      <c r="BA64" s="371"/>
      <c r="BB64" s="372"/>
      <c r="BC64" s="373"/>
      <c r="BD64" s="374"/>
      <c r="BE64" s="374"/>
      <c r="BF64" s="375"/>
      <c r="BG64" s="376"/>
      <c r="BH64" s="374"/>
      <c r="BI64" s="377"/>
      <c r="BJ64" s="25"/>
      <c r="BK64" s="25"/>
    </row>
    <row r="65" ht="15.75" customHeight="1">
      <c r="A65" s="441">
        <v>36.0</v>
      </c>
      <c r="B65" s="448"/>
      <c r="C65" s="383"/>
      <c r="D65" s="384"/>
      <c r="E65" s="365"/>
      <c r="F65" s="365"/>
      <c r="G65" s="365"/>
      <c r="H65" s="365"/>
      <c r="I65" s="365"/>
      <c r="J65" s="365"/>
      <c r="K65" s="365"/>
      <c r="L65" s="365"/>
      <c r="M65" s="365"/>
      <c r="N65" s="365"/>
      <c r="O65" s="365"/>
      <c r="P65" s="365"/>
      <c r="Q65" s="365"/>
      <c r="R65" s="365"/>
      <c r="S65" s="365"/>
      <c r="T65" s="365"/>
      <c r="U65" s="365"/>
      <c r="V65" s="365"/>
      <c r="W65" s="365"/>
      <c r="X65" s="366"/>
      <c r="Y65" s="367"/>
      <c r="Z65" s="365"/>
      <c r="AA65" s="365"/>
      <c r="AB65" s="365"/>
      <c r="AC65" s="365"/>
      <c r="AD65" s="365"/>
      <c r="AE65" s="365"/>
      <c r="AF65" s="365"/>
      <c r="AG65" s="365"/>
      <c r="AH65" s="365"/>
      <c r="AI65" s="365"/>
      <c r="AJ65" s="365"/>
      <c r="AK65" s="365"/>
      <c r="AL65" s="365"/>
      <c r="AM65" s="365"/>
      <c r="AN65" s="365"/>
      <c r="AO65" s="365"/>
      <c r="AP65" s="365"/>
      <c r="AQ65" s="365"/>
      <c r="AR65" s="365"/>
      <c r="AS65" s="365"/>
      <c r="AT65" s="365"/>
      <c r="AU65" s="368"/>
      <c r="AV65" s="369"/>
      <c r="AW65" s="385"/>
      <c r="AX65" s="385"/>
      <c r="AY65" s="385"/>
      <c r="AZ65" s="385"/>
      <c r="BA65" s="371"/>
      <c r="BB65" s="372"/>
      <c r="BC65" s="373"/>
      <c r="BD65" s="374"/>
      <c r="BE65" s="374"/>
      <c r="BF65" s="375"/>
      <c r="BG65" s="376"/>
      <c r="BH65" s="374"/>
      <c r="BI65" s="377"/>
      <c r="BJ65" s="25"/>
      <c r="BK65" s="25"/>
    </row>
    <row r="66" ht="15.75" customHeight="1">
      <c r="A66" s="441">
        <v>37.0</v>
      </c>
      <c r="B66" s="448"/>
      <c r="C66" s="383"/>
      <c r="D66" s="384"/>
      <c r="E66" s="365"/>
      <c r="F66" s="365"/>
      <c r="G66" s="365"/>
      <c r="H66" s="365"/>
      <c r="I66" s="365"/>
      <c r="J66" s="365"/>
      <c r="K66" s="365"/>
      <c r="L66" s="365"/>
      <c r="M66" s="365"/>
      <c r="N66" s="365"/>
      <c r="O66" s="365"/>
      <c r="P66" s="365"/>
      <c r="Q66" s="365"/>
      <c r="R66" s="365"/>
      <c r="S66" s="365"/>
      <c r="T66" s="365"/>
      <c r="U66" s="365"/>
      <c r="V66" s="365"/>
      <c r="W66" s="365"/>
      <c r="X66" s="366"/>
      <c r="Y66" s="367"/>
      <c r="Z66" s="365"/>
      <c r="AA66" s="365"/>
      <c r="AB66" s="365"/>
      <c r="AC66" s="365"/>
      <c r="AD66" s="365"/>
      <c r="AE66" s="365"/>
      <c r="AF66" s="365"/>
      <c r="AG66" s="365"/>
      <c r="AH66" s="365"/>
      <c r="AI66" s="365"/>
      <c r="AJ66" s="365"/>
      <c r="AK66" s="365"/>
      <c r="AL66" s="365"/>
      <c r="AM66" s="365"/>
      <c r="AN66" s="365"/>
      <c r="AO66" s="365"/>
      <c r="AP66" s="365"/>
      <c r="AQ66" s="365"/>
      <c r="AR66" s="365"/>
      <c r="AS66" s="365"/>
      <c r="AT66" s="365"/>
      <c r="AU66" s="368"/>
      <c r="AV66" s="369"/>
      <c r="AW66" s="385"/>
      <c r="AX66" s="385"/>
      <c r="AY66" s="385"/>
      <c r="AZ66" s="385"/>
      <c r="BA66" s="371"/>
      <c r="BB66" s="372"/>
      <c r="BC66" s="373"/>
      <c r="BD66" s="374"/>
      <c r="BE66" s="374"/>
      <c r="BF66" s="375"/>
      <c r="BG66" s="376"/>
      <c r="BH66" s="374"/>
      <c r="BI66" s="377"/>
      <c r="BJ66" s="25"/>
      <c r="BK66" s="25"/>
    </row>
    <row r="67" ht="15.75" customHeight="1">
      <c r="A67" s="441">
        <v>38.0</v>
      </c>
      <c r="B67" s="448"/>
      <c r="C67" s="383"/>
      <c r="D67" s="384"/>
      <c r="E67" s="365"/>
      <c r="F67" s="365"/>
      <c r="G67" s="365"/>
      <c r="H67" s="365"/>
      <c r="I67" s="365"/>
      <c r="J67" s="365"/>
      <c r="K67" s="365"/>
      <c r="L67" s="365"/>
      <c r="M67" s="365"/>
      <c r="N67" s="365"/>
      <c r="O67" s="365"/>
      <c r="P67" s="365"/>
      <c r="Q67" s="365"/>
      <c r="R67" s="365"/>
      <c r="S67" s="365"/>
      <c r="T67" s="365"/>
      <c r="U67" s="365"/>
      <c r="V67" s="365"/>
      <c r="W67" s="365"/>
      <c r="X67" s="366"/>
      <c r="Y67" s="367"/>
      <c r="Z67" s="365"/>
      <c r="AA67" s="365"/>
      <c r="AB67" s="365"/>
      <c r="AC67" s="365"/>
      <c r="AD67" s="365"/>
      <c r="AE67" s="365"/>
      <c r="AF67" s="365"/>
      <c r="AG67" s="365"/>
      <c r="AH67" s="365"/>
      <c r="AI67" s="365"/>
      <c r="AJ67" s="365"/>
      <c r="AK67" s="365"/>
      <c r="AL67" s="365"/>
      <c r="AM67" s="365"/>
      <c r="AN67" s="365"/>
      <c r="AO67" s="365"/>
      <c r="AP67" s="365"/>
      <c r="AQ67" s="365"/>
      <c r="AR67" s="365"/>
      <c r="AS67" s="365"/>
      <c r="AT67" s="365"/>
      <c r="AU67" s="368"/>
      <c r="AV67" s="369"/>
      <c r="AW67" s="385"/>
      <c r="AX67" s="385"/>
      <c r="AY67" s="385"/>
      <c r="AZ67" s="385"/>
      <c r="BA67" s="371"/>
      <c r="BB67" s="372"/>
      <c r="BC67" s="373"/>
      <c r="BD67" s="374"/>
      <c r="BE67" s="374"/>
      <c r="BF67" s="375"/>
      <c r="BG67" s="376"/>
      <c r="BH67" s="374"/>
      <c r="BI67" s="377"/>
      <c r="BJ67" s="25"/>
      <c r="BK67" s="25"/>
    </row>
    <row r="68" ht="15.75" customHeight="1">
      <c r="A68" s="441">
        <v>39.0</v>
      </c>
      <c r="B68" s="448"/>
      <c r="C68" s="383"/>
      <c r="D68" s="384"/>
      <c r="E68" s="365"/>
      <c r="F68" s="365"/>
      <c r="G68" s="365"/>
      <c r="H68" s="365"/>
      <c r="I68" s="365"/>
      <c r="J68" s="365"/>
      <c r="K68" s="365"/>
      <c r="L68" s="365"/>
      <c r="M68" s="365"/>
      <c r="N68" s="365"/>
      <c r="O68" s="365"/>
      <c r="P68" s="365"/>
      <c r="Q68" s="365"/>
      <c r="R68" s="365"/>
      <c r="S68" s="365"/>
      <c r="T68" s="365"/>
      <c r="U68" s="365"/>
      <c r="V68" s="365"/>
      <c r="W68" s="365"/>
      <c r="X68" s="366"/>
      <c r="Y68" s="367"/>
      <c r="Z68" s="365"/>
      <c r="AA68" s="365"/>
      <c r="AB68" s="365"/>
      <c r="AC68" s="365"/>
      <c r="AD68" s="365"/>
      <c r="AE68" s="365"/>
      <c r="AF68" s="365"/>
      <c r="AG68" s="365"/>
      <c r="AH68" s="365"/>
      <c r="AI68" s="365"/>
      <c r="AJ68" s="365"/>
      <c r="AK68" s="365"/>
      <c r="AL68" s="365"/>
      <c r="AM68" s="365"/>
      <c r="AN68" s="365"/>
      <c r="AO68" s="365"/>
      <c r="AP68" s="365"/>
      <c r="AQ68" s="365"/>
      <c r="AR68" s="365"/>
      <c r="AS68" s="365"/>
      <c r="AT68" s="365"/>
      <c r="AU68" s="368"/>
      <c r="AV68" s="369"/>
      <c r="AW68" s="385"/>
      <c r="AX68" s="385"/>
      <c r="AY68" s="385"/>
      <c r="AZ68" s="385"/>
      <c r="BA68" s="371"/>
      <c r="BB68" s="372"/>
      <c r="BC68" s="373"/>
      <c r="BD68" s="374"/>
      <c r="BE68" s="374"/>
      <c r="BF68" s="375"/>
      <c r="BG68" s="376"/>
      <c r="BH68" s="374"/>
      <c r="BI68" s="377"/>
      <c r="BJ68" s="25"/>
      <c r="BK68" s="25"/>
    </row>
    <row r="69" ht="15.75" customHeight="1">
      <c r="A69" s="441">
        <v>40.0</v>
      </c>
      <c r="B69" s="448"/>
      <c r="C69" s="383"/>
      <c r="D69" s="384"/>
      <c r="E69" s="365"/>
      <c r="F69" s="365"/>
      <c r="G69" s="365"/>
      <c r="H69" s="365"/>
      <c r="I69" s="365"/>
      <c r="J69" s="365"/>
      <c r="K69" s="365"/>
      <c r="L69" s="365"/>
      <c r="M69" s="365"/>
      <c r="N69" s="365"/>
      <c r="O69" s="365"/>
      <c r="P69" s="365"/>
      <c r="Q69" s="365"/>
      <c r="R69" s="365"/>
      <c r="S69" s="365"/>
      <c r="T69" s="365"/>
      <c r="U69" s="365"/>
      <c r="V69" s="365"/>
      <c r="W69" s="365"/>
      <c r="X69" s="366"/>
      <c r="Y69" s="367"/>
      <c r="Z69" s="365"/>
      <c r="AA69" s="365"/>
      <c r="AB69" s="365"/>
      <c r="AC69" s="365"/>
      <c r="AD69" s="365"/>
      <c r="AE69" s="365"/>
      <c r="AF69" s="365"/>
      <c r="AG69" s="365"/>
      <c r="AH69" s="365"/>
      <c r="AI69" s="365"/>
      <c r="AJ69" s="365"/>
      <c r="AK69" s="365"/>
      <c r="AL69" s="365"/>
      <c r="AM69" s="365"/>
      <c r="AN69" s="365"/>
      <c r="AO69" s="365"/>
      <c r="AP69" s="365"/>
      <c r="AQ69" s="365"/>
      <c r="AR69" s="365"/>
      <c r="AS69" s="365"/>
      <c r="AT69" s="365"/>
      <c r="AU69" s="368"/>
      <c r="AV69" s="369"/>
      <c r="AW69" s="385"/>
      <c r="AX69" s="385"/>
      <c r="AY69" s="385"/>
      <c r="AZ69" s="385"/>
      <c r="BA69" s="371"/>
      <c r="BB69" s="372"/>
      <c r="BC69" s="373"/>
      <c r="BD69" s="374"/>
      <c r="BE69" s="374"/>
      <c r="BF69" s="375"/>
      <c r="BG69" s="376"/>
      <c r="BH69" s="374"/>
      <c r="BI69" s="377"/>
      <c r="BJ69" s="25"/>
      <c r="BK69" s="25"/>
    </row>
    <row r="70" ht="15.75" customHeight="1">
      <c r="A70" s="442" t="s">
        <v>202</v>
      </c>
      <c r="B70" s="29"/>
      <c r="C70" s="41"/>
      <c r="D70" s="387">
        <f>COUNTIF(D30:D69,"D")</f>
        <v>4</v>
      </c>
      <c r="E70" s="387">
        <f>COUNTIF(E30:E69,"C")</f>
        <v>12</v>
      </c>
      <c r="F70" s="387">
        <f>COUNTIF(F30:F69,"D")</f>
        <v>12</v>
      </c>
      <c r="G70" s="387">
        <f>COUNTIF(G30:G69,"A")</f>
        <v>7</v>
      </c>
      <c r="H70" s="387">
        <f>COUNTIF(H30:H69,"B")</f>
        <v>9</v>
      </c>
      <c r="I70" s="387">
        <f>COUNTIF(I30:I69,"A")</f>
        <v>2</v>
      </c>
      <c r="J70" s="387">
        <f>COUNTIF(J30:J69,"C")</f>
        <v>9</v>
      </c>
      <c r="K70" s="387">
        <f t="shared" ref="K70:L70" si="9">COUNTIF(K30:K69,"D")</f>
        <v>4</v>
      </c>
      <c r="L70" s="387">
        <f t="shared" si="9"/>
        <v>1</v>
      </c>
      <c r="M70" s="387">
        <f>COUNTIF(M30:M69,"C")</f>
        <v>10</v>
      </c>
      <c r="N70" s="387">
        <f>COUNTIF(N30:N69,"B")</f>
        <v>2</v>
      </c>
      <c r="O70" s="387">
        <f>COUNTIF(O30:O69,"C")</f>
        <v>20</v>
      </c>
      <c r="P70" s="387">
        <f>COUNTIF(P30:P69,"B")</f>
        <v>0</v>
      </c>
      <c r="Q70" s="387">
        <f>COUNTIF(Q30:Q69,"C")</f>
        <v>2</v>
      </c>
      <c r="R70" s="387">
        <f>COUNTIF(R30:R69,"B")</f>
        <v>8</v>
      </c>
      <c r="S70" s="387">
        <f>COUNTIF(S30:S69,"D")</f>
        <v>1</v>
      </c>
      <c r="T70" s="387">
        <f t="shared" ref="T70:U70" si="10">COUNTIF(T30:T69,"C")</f>
        <v>10</v>
      </c>
      <c r="U70" s="387">
        <f t="shared" si="10"/>
        <v>2</v>
      </c>
      <c r="V70" s="387">
        <f t="shared" ref="V70:W70" si="11">COUNTIF(V30:V69,"A")</f>
        <v>0</v>
      </c>
      <c r="W70" s="387">
        <f t="shared" si="11"/>
        <v>3</v>
      </c>
      <c r="X70" s="388">
        <f>COUNTIF(X30:X69,"B")</f>
        <v>22</v>
      </c>
      <c r="Y70" s="389">
        <f>COUNTIF(Y30:Y69,"C")</f>
        <v>0</v>
      </c>
      <c r="Z70" s="390">
        <f>COUNTIF(Z30:Z69,"A")</f>
        <v>1</v>
      </c>
      <c r="AA70" s="390">
        <f>COUNTIF(AA30:AA69,"B")</f>
        <v>25</v>
      </c>
      <c r="AB70" s="390">
        <f>COUNTIF(AB30:AB69,"D")</f>
        <v>22</v>
      </c>
      <c r="AC70" s="390">
        <f>COUNTIF(AC30:AC69,"A")</f>
        <v>3</v>
      </c>
      <c r="AD70" s="390">
        <f>COUNTIF(AD30:AD69,"D")</f>
        <v>4</v>
      </c>
      <c r="AE70" s="390">
        <f>COUNTIF(AE30:AE69,"B")</f>
        <v>23</v>
      </c>
      <c r="AF70" s="390">
        <f>COUNTIF(AF30:AF69,"C")</f>
        <v>0</v>
      </c>
      <c r="AG70" s="390">
        <f>COUNTIF(AG30:AG69,"A")</f>
        <v>4</v>
      </c>
      <c r="AH70" s="390">
        <f>COUNTIF(AH30:AH69,"C")</f>
        <v>7</v>
      </c>
      <c r="AI70" s="390">
        <f>COUNTIF(AI30:AI69,"B")</f>
        <v>4</v>
      </c>
      <c r="AJ70" s="390">
        <f>COUNTIF(AJ30:AJ69,"C")</f>
        <v>1</v>
      </c>
      <c r="AK70" s="390">
        <f>COUNTIF(AK30:AK69,"A")</f>
        <v>0</v>
      </c>
      <c r="AL70" s="390">
        <f t="shared" ref="AL70:AM70" si="12">COUNTIF(AL30:AL69,"D")</f>
        <v>3</v>
      </c>
      <c r="AM70" s="390">
        <f t="shared" si="12"/>
        <v>0</v>
      </c>
      <c r="AN70" s="390">
        <f t="shared" ref="AN70:AO70" si="13">COUNTIF(AN30:AN69,"C")</f>
        <v>2</v>
      </c>
      <c r="AO70" s="390">
        <f t="shared" si="13"/>
        <v>7</v>
      </c>
      <c r="AP70" s="390">
        <f>COUNTIF(AP30:AP69,"A")</f>
        <v>3</v>
      </c>
      <c r="AQ70" s="390">
        <f>COUNTIF(AQ30:AQ69,"D")</f>
        <v>13</v>
      </c>
      <c r="AR70" s="390">
        <f>COUNTIF(AR30:AR69,"B")</f>
        <v>7</v>
      </c>
      <c r="AS70" s="390">
        <f>COUNTIF(AS30:AS69,"D")</f>
        <v>1</v>
      </c>
      <c r="AT70" s="390">
        <f>COUNTIF(AT30:AT69,"A")</f>
        <v>6</v>
      </c>
      <c r="AU70" s="368"/>
      <c r="AV70" s="368"/>
      <c r="AW70" s="368"/>
      <c r="AX70" s="368"/>
      <c r="AY70" s="368"/>
      <c r="AZ70" s="368"/>
      <c r="BA70" s="368"/>
      <c r="BB70" s="368"/>
      <c r="BC70" s="368"/>
      <c r="BD70" s="368"/>
      <c r="BE70" s="368"/>
      <c r="BF70" s="368"/>
      <c r="BG70" s="368"/>
      <c r="BH70" s="368"/>
      <c r="BI70" s="368"/>
    </row>
    <row r="71" ht="64.5" customHeight="1">
      <c r="AU71" s="88"/>
    </row>
    <row r="72" ht="12.0" customHeight="1">
      <c r="A72" s="89"/>
      <c r="B72" s="90"/>
      <c r="C72" s="90"/>
      <c r="D72" s="391" t="s">
        <v>51</v>
      </c>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c r="AE72" s="392"/>
      <c r="AF72" s="392"/>
      <c r="AG72" s="392"/>
      <c r="AH72" s="392"/>
      <c r="AI72" s="393"/>
      <c r="AJ72" s="93"/>
      <c r="AK72" s="394" t="s">
        <v>87</v>
      </c>
      <c r="AL72" s="395"/>
      <c r="AM72" s="395"/>
      <c r="AN72" s="395"/>
      <c r="AO72" s="395"/>
      <c r="AP72" s="395"/>
      <c r="AQ72" s="395"/>
      <c r="AR72" s="395"/>
      <c r="AS72" s="395"/>
      <c r="AT72" s="396"/>
    </row>
    <row r="73" ht="12.0" customHeight="1">
      <c r="A73" s="94"/>
      <c r="B73" s="95"/>
      <c r="C73" s="95"/>
      <c r="D73" s="397" t="s">
        <v>52</v>
      </c>
      <c r="E73" s="14"/>
      <c r="F73" s="398" t="s">
        <v>53</v>
      </c>
      <c r="G73" s="399" t="s">
        <v>54</v>
      </c>
      <c r="H73" s="400" t="s">
        <v>55</v>
      </c>
      <c r="AI73" s="14"/>
      <c r="AJ73" s="101"/>
      <c r="AK73" s="401"/>
      <c r="AL73" s="402"/>
      <c r="AM73" s="402"/>
      <c r="AN73" s="402"/>
      <c r="AO73" s="402"/>
      <c r="AP73" s="402"/>
      <c r="AQ73" s="402"/>
      <c r="AR73" s="402"/>
      <c r="AS73" s="402"/>
      <c r="AT73" s="403"/>
    </row>
    <row r="74">
      <c r="A74" s="94"/>
      <c r="B74" s="95"/>
      <c r="C74" s="95"/>
      <c r="D74" s="102"/>
      <c r="E74" s="24"/>
      <c r="F74" s="65"/>
      <c r="G74" s="65"/>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4"/>
      <c r="AJ74" s="101"/>
      <c r="AK74" s="404"/>
      <c r="AL74" s="405"/>
      <c r="AM74" s="406" t="s">
        <v>10</v>
      </c>
      <c r="AN74" s="407" t="s">
        <v>44</v>
      </c>
      <c r="AO74" s="408" t="s">
        <v>10</v>
      </c>
      <c r="AP74" s="409" t="s">
        <v>42</v>
      </c>
      <c r="AQ74" s="408" t="s">
        <v>10</v>
      </c>
      <c r="AR74" s="409" t="s">
        <v>41</v>
      </c>
      <c r="AS74" s="408" t="s">
        <v>10</v>
      </c>
      <c r="AT74" s="409" t="s">
        <v>43</v>
      </c>
    </row>
    <row r="75">
      <c r="A75" s="94"/>
      <c r="B75" s="95"/>
      <c r="C75" s="103"/>
      <c r="D75" s="104" t="s">
        <v>16</v>
      </c>
      <c r="E75" s="105">
        <v>1.0</v>
      </c>
      <c r="F75" s="106">
        <f>D70</f>
        <v>4</v>
      </c>
      <c r="G75" s="107">
        <f t="shared" ref="G75:G117" si="14">SUM(F75/C$18*100)</f>
        <v>13.79310345</v>
      </c>
      <c r="H75" s="108" t="s">
        <v>56</v>
      </c>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10"/>
      <c r="AJ75" s="111"/>
      <c r="AK75" s="156" t="s">
        <v>16</v>
      </c>
      <c r="AL75" s="112">
        <v>1.0</v>
      </c>
      <c r="AM75" s="113">
        <f>COUNTIF(D30:D69,"A")</f>
        <v>5</v>
      </c>
      <c r="AN75" s="410">
        <f>SUM(AM75/C18*100)</f>
        <v>17.24137931</v>
      </c>
      <c r="AO75" s="208">
        <f>COUNTIF(D30:D69,"B")</f>
        <v>15</v>
      </c>
      <c r="AP75" s="410">
        <f>SUM(AO75/C18*100)</f>
        <v>51.72413793</v>
      </c>
      <c r="AQ75" s="208">
        <f>COUNTIF(D30:D69,"C")</f>
        <v>5</v>
      </c>
      <c r="AR75" s="410">
        <f>SUM(AQ75/C18*100)</f>
        <v>17.24137931</v>
      </c>
      <c r="AS75" s="208">
        <f>COUNTIF(D30:D69,"D")</f>
        <v>4</v>
      </c>
      <c r="AT75" s="411">
        <f>SUM(AS75/C18*100)</f>
        <v>13.79310345</v>
      </c>
    </row>
    <row r="76">
      <c r="A76" s="94"/>
      <c r="B76" s="95"/>
      <c r="C76" s="103"/>
      <c r="D76" s="47"/>
      <c r="E76" s="112">
        <v>2.0</v>
      </c>
      <c r="F76" s="113">
        <f>E70</f>
        <v>12</v>
      </c>
      <c r="G76" s="107">
        <f t="shared" si="14"/>
        <v>41.37931034</v>
      </c>
      <c r="H76" s="108" t="s">
        <v>57</v>
      </c>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10"/>
      <c r="AJ76" s="111"/>
      <c r="AL76" s="112">
        <v>2.0</v>
      </c>
      <c r="AM76" s="113">
        <f>COUNTIF(E30:E69,"A")</f>
        <v>4</v>
      </c>
      <c r="AN76" s="410">
        <f>SUM(AM76/C18*100)</f>
        <v>13.79310345</v>
      </c>
      <c r="AO76" s="208">
        <f>COUNTIF(E30:E69,"B")</f>
        <v>10</v>
      </c>
      <c r="AP76" s="410">
        <f>SUM(AO76/C18*100)</f>
        <v>34.48275862</v>
      </c>
      <c r="AQ76" s="208">
        <f>COUNTIF(E30:E69,"C")</f>
        <v>12</v>
      </c>
      <c r="AR76" s="410">
        <f>SUM(AQ76/C18*100)</f>
        <v>41.37931034</v>
      </c>
      <c r="AS76" s="208">
        <f>COUNTIF(E30:E69,"D")</f>
        <v>3</v>
      </c>
      <c r="AT76" s="411">
        <f>SUM(AS76/C18*100)</f>
        <v>10.34482759</v>
      </c>
    </row>
    <row r="77">
      <c r="A77" s="94"/>
      <c r="B77" s="95"/>
      <c r="C77" s="103"/>
      <c r="D77" s="47"/>
      <c r="E77" s="112">
        <v>3.0</v>
      </c>
      <c r="F77" s="114">
        <f>F70</f>
        <v>12</v>
      </c>
      <c r="G77" s="107">
        <f t="shared" si="14"/>
        <v>41.37931034</v>
      </c>
      <c r="H77" s="108" t="s">
        <v>58</v>
      </c>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10"/>
      <c r="AJ77" s="111"/>
      <c r="AL77" s="112">
        <v>3.0</v>
      </c>
      <c r="AM77" s="113">
        <f>COUNTIF(F30:F69,"A")</f>
        <v>1</v>
      </c>
      <c r="AN77" s="410">
        <f>SUM(AM77/C18*100)</f>
        <v>3.448275862</v>
      </c>
      <c r="AO77" s="208">
        <f>COUNTIF(F30:F69,"B")</f>
        <v>6</v>
      </c>
      <c r="AP77" s="410">
        <f>SUM(AO77/C18*100)</f>
        <v>20.68965517</v>
      </c>
      <c r="AQ77" s="208">
        <f>COUNTIF(F30:F69,"C")</f>
        <v>10</v>
      </c>
      <c r="AR77" s="410">
        <f>SUM(AQ77/C18*100)</f>
        <v>34.48275862</v>
      </c>
      <c r="AS77" s="208">
        <f>COUNTIF(F30:F69,"D")</f>
        <v>12</v>
      </c>
      <c r="AT77" s="411">
        <f>SUM(AS77/C18*100)</f>
        <v>41.37931034</v>
      </c>
    </row>
    <row r="78">
      <c r="A78" s="94"/>
      <c r="B78" s="95"/>
      <c r="C78" s="103"/>
      <c r="D78" s="47"/>
      <c r="E78" s="112">
        <v>4.0</v>
      </c>
      <c r="F78" s="113">
        <f>G70</f>
        <v>7</v>
      </c>
      <c r="G78" s="107">
        <f t="shared" si="14"/>
        <v>24.13793103</v>
      </c>
      <c r="H78" s="412" t="s">
        <v>57</v>
      </c>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10"/>
      <c r="AJ78" s="111"/>
      <c r="AL78" s="112">
        <v>4.0</v>
      </c>
      <c r="AM78" s="113">
        <f>COUNTIF(G30:G69,"A")</f>
        <v>7</v>
      </c>
      <c r="AN78" s="410">
        <f>SUM(AM78/C18*100)</f>
        <v>24.13793103</v>
      </c>
      <c r="AO78" s="208">
        <f>COUNTIF(G30:G69,"B")</f>
        <v>17</v>
      </c>
      <c r="AP78" s="410">
        <f>SUM(AO78/C18*100)</f>
        <v>58.62068966</v>
      </c>
      <c r="AQ78" s="208">
        <f>COUNTIF(G30:G69,"C")</f>
        <v>3</v>
      </c>
      <c r="AR78" s="410">
        <f>SUM(AQ78/C18*100)</f>
        <v>10.34482759</v>
      </c>
      <c r="AS78" s="208">
        <f>COUNTIF(G30:G69,"D")</f>
        <v>2</v>
      </c>
      <c r="AT78" s="411">
        <f>SUM(AS78/C18*100)</f>
        <v>6.896551724</v>
      </c>
    </row>
    <row r="79">
      <c r="A79" s="94"/>
      <c r="B79" s="95"/>
      <c r="C79" s="103"/>
      <c r="D79" s="47"/>
      <c r="E79" s="112">
        <v>5.0</v>
      </c>
      <c r="F79" s="113">
        <f>H70</f>
        <v>9</v>
      </c>
      <c r="G79" s="107">
        <f t="shared" si="14"/>
        <v>31.03448276</v>
      </c>
      <c r="H79" s="412" t="s">
        <v>59</v>
      </c>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10"/>
      <c r="AJ79" s="111"/>
      <c r="AL79" s="112">
        <v>5.0</v>
      </c>
      <c r="AM79" s="113">
        <f>COUNTIF(H30:H69,"A")</f>
        <v>8</v>
      </c>
      <c r="AN79" s="410">
        <f>SUM(AM79/C18*100)</f>
        <v>27.5862069</v>
      </c>
      <c r="AO79" s="208">
        <f>COUNTIF(H30:H69,"B")</f>
        <v>9</v>
      </c>
      <c r="AP79" s="410">
        <f>SUM(AO79/C18*100)</f>
        <v>31.03448276</v>
      </c>
      <c r="AQ79" s="208">
        <f>COUNTIF(H30:H69,"C")</f>
        <v>4</v>
      </c>
      <c r="AR79" s="410">
        <f>SUM(AQ79/C18*100)</f>
        <v>13.79310345</v>
      </c>
      <c r="AS79" s="208">
        <f>COUNTIF(H30:H69,"D")</f>
        <v>8</v>
      </c>
      <c r="AT79" s="411">
        <f>SUM(AS79/C18*100)</f>
        <v>27.5862069</v>
      </c>
    </row>
    <row r="80">
      <c r="A80" s="94"/>
      <c r="B80" s="95"/>
      <c r="C80" s="103"/>
      <c r="D80" s="47"/>
      <c r="E80" s="112">
        <v>6.0</v>
      </c>
      <c r="F80" s="113">
        <f>I70</f>
        <v>2</v>
      </c>
      <c r="G80" s="107">
        <f t="shared" si="14"/>
        <v>6.896551724</v>
      </c>
      <c r="H80" s="412" t="s">
        <v>57</v>
      </c>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10"/>
      <c r="AJ80" s="111"/>
      <c r="AL80" s="112">
        <v>6.0</v>
      </c>
      <c r="AM80" s="113">
        <f>COUNTIF(I30:I69,"A")</f>
        <v>2</v>
      </c>
      <c r="AN80" s="410">
        <f>SUM(AM80/C18*100)</f>
        <v>6.896551724</v>
      </c>
      <c r="AO80" s="208">
        <f>COUNTIF(I30:I69,"B")</f>
        <v>1</v>
      </c>
      <c r="AP80" s="410">
        <f>SUM(AO80/C18*100)</f>
        <v>3.448275862</v>
      </c>
      <c r="AQ80" s="208">
        <f>COUNTIF(I30:I69,"C")</f>
        <v>9</v>
      </c>
      <c r="AR80" s="410">
        <f>SUM(AQ80/C18*100)</f>
        <v>31.03448276</v>
      </c>
      <c r="AS80" s="208">
        <f>COUNTIF(I30:I69,"D")</f>
        <v>17</v>
      </c>
      <c r="AT80" s="411">
        <f>SUM(AS80/C18*100)</f>
        <v>58.62068966</v>
      </c>
    </row>
    <row r="81">
      <c r="A81" s="94"/>
      <c r="B81" s="95"/>
      <c r="C81" s="103"/>
      <c r="D81" s="47"/>
      <c r="E81" s="112">
        <v>7.0</v>
      </c>
      <c r="F81" s="113">
        <f>J70</f>
        <v>9</v>
      </c>
      <c r="G81" s="107">
        <f t="shared" si="14"/>
        <v>31.03448276</v>
      </c>
      <c r="H81" s="412" t="s">
        <v>60</v>
      </c>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10"/>
      <c r="AJ81" s="111"/>
      <c r="AL81" s="112">
        <v>7.0</v>
      </c>
      <c r="AM81" s="113">
        <f>COUNTIF(J30:J69,"A")</f>
        <v>3</v>
      </c>
      <c r="AN81" s="410">
        <f>SUM(AM81/C18*100)</f>
        <v>10.34482759</v>
      </c>
      <c r="AO81" s="208">
        <f>COUNTIF(J30:J69,"B")</f>
        <v>16</v>
      </c>
      <c r="AP81" s="410">
        <f>SUM(AO81/C18*100)</f>
        <v>55.17241379</v>
      </c>
      <c r="AQ81" s="208">
        <f>COUNTIF(J30:J69,"C")</f>
        <v>9</v>
      </c>
      <c r="AR81" s="410">
        <f>SUM(AQ81/C18*100)</f>
        <v>31.03448276</v>
      </c>
      <c r="AS81" s="208">
        <f>COUNTIF(J30:J69,"D")</f>
        <v>1</v>
      </c>
      <c r="AT81" s="411">
        <f>SUM(AS81/C18*100)</f>
        <v>3.448275862</v>
      </c>
    </row>
    <row r="82">
      <c r="A82" s="94"/>
      <c r="B82" s="95"/>
      <c r="C82" s="103"/>
      <c r="D82" s="47"/>
      <c r="E82" s="112">
        <v>8.0</v>
      </c>
      <c r="F82" s="113">
        <f>K70</f>
        <v>4</v>
      </c>
      <c r="G82" s="107">
        <f t="shared" si="14"/>
        <v>13.79310345</v>
      </c>
      <c r="H82" s="412" t="s">
        <v>61</v>
      </c>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10"/>
      <c r="AJ82" s="115"/>
      <c r="AL82" s="112">
        <v>8.0</v>
      </c>
      <c r="AM82" s="113">
        <f>COUNTIF(K30:K69,"A")</f>
        <v>1</v>
      </c>
      <c r="AN82" s="410">
        <f>SUM(AM82/C18*100)</f>
        <v>3.448275862</v>
      </c>
      <c r="AO82" s="208">
        <f>COUNTIF(K30:K69,"B")</f>
        <v>15</v>
      </c>
      <c r="AP82" s="410">
        <f>SUM(AO82/C18*100)</f>
        <v>51.72413793</v>
      </c>
      <c r="AQ82" s="208">
        <f>COUNTIF(K30:K69,"C")</f>
        <v>9</v>
      </c>
      <c r="AR82" s="410">
        <f>SUM(AQ82/C18*100)</f>
        <v>31.03448276</v>
      </c>
      <c r="AS82" s="208">
        <f>COUNTIF(K30:K69,"D")</f>
        <v>4</v>
      </c>
      <c r="AT82" s="411">
        <f>SUM(AS82/C18*100)</f>
        <v>13.79310345</v>
      </c>
    </row>
    <row r="83">
      <c r="A83" s="94"/>
      <c r="B83" s="95"/>
      <c r="C83" s="103"/>
      <c r="D83" s="47"/>
      <c r="E83" s="112">
        <v>9.0</v>
      </c>
      <c r="F83" s="113">
        <f>L70</f>
        <v>1</v>
      </c>
      <c r="G83" s="107">
        <f t="shared" si="14"/>
        <v>3.448275862</v>
      </c>
      <c r="H83" s="412" t="s">
        <v>62</v>
      </c>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10"/>
      <c r="AJ83" s="111"/>
      <c r="AL83" s="112">
        <v>9.0</v>
      </c>
      <c r="AM83" s="413">
        <f>COUNTIF(L30:L69,"A")</f>
        <v>14</v>
      </c>
      <c r="AN83" s="410">
        <f>SUM(AM83/C18*100)</f>
        <v>48.27586207</v>
      </c>
      <c r="AO83" s="414">
        <f>COUNTIF(L30:L69,"B")</f>
        <v>14</v>
      </c>
      <c r="AP83" s="410">
        <f>SUM(AO83/C18*100)</f>
        <v>48.27586207</v>
      </c>
      <c r="AQ83" s="414">
        <f>COUNTIF(L30:L69,"C")</f>
        <v>0</v>
      </c>
      <c r="AR83" s="410">
        <f>SUM(AQ83/C18*100)</f>
        <v>0</v>
      </c>
      <c r="AS83" s="414">
        <f>COUNTIF(L30:L69,"D")</f>
        <v>1</v>
      </c>
      <c r="AT83" s="411">
        <f>SUM(AS83/C18*100)</f>
        <v>3.448275862</v>
      </c>
    </row>
    <row r="84">
      <c r="A84" s="94"/>
      <c r="B84" s="95"/>
      <c r="C84" s="103"/>
      <c r="D84" s="47"/>
      <c r="E84" s="112">
        <v>10.0</v>
      </c>
      <c r="F84" s="113">
        <f>M70</f>
        <v>10</v>
      </c>
      <c r="G84" s="107">
        <f t="shared" si="14"/>
        <v>34.48275862</v>
      </c>
      <c r="H84" s="412" t="s">
        <v>58</v>
      </c>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10"/>
      <c r="AJ84" s="111"/>
      <c r="AL84" s="112">
        <v>10.0</v>
      </c>
      <c r="AM84" s="113">
        <f>COUNTIF(M30:M69,"A")</f>
        <v>8</v>
      </c>
      <c r="AN84" s="410">
        <f>SUM(AM84/C18*100)</f>
        <v>27.5862069</v>
      </c>
      <c r="AO84" s="208">
        <f>COUNTIF(M30:M69,"B")</f>
        <v>5</v>
      </c>
      <c r="AP84" s="410">
        <f>SUM(AO84/C18*100)</f>
        <v>17.24137931</v>
      </c>
      <c r="AQ84" s="208">
        <f>COUNTIF(M30:M69,"C")</f>
        <v>10</v>
      </c>
      <c r="AR84" s="410">
        <f>SUM(AQ84/C18*100)</f>
        <v>34.48275862</v>
      </c>
      <c r="AS84" s="208">
        <f>COUNTIF(M30:M69,"D")</f>
        <v>6</v>
      </c>
      <c r="AT84" s="411">
        <f>SUM(AS84/C18*100)</f>
        <v>20.68965517</v>
      </c>
    </row>
    <row r="85">
      <c r="A85" s="94"/>
      <c r="B85" s="95"/>
      <c r="C85" s="103"/>
      <c r="D85" s="47"/>
      <c r="E85" s="112">
        <v>11.0</v>
      </c>
      <c r="F85" s="113">
        <f>N70</f>
        <v>2</v>
      </c>
      <c r="G85" s="107">
        <f t="shared" si="14"/>
        <v>6.896551724</v>
      </c>
      <c r="H85" s="412" t="s">
        <v>63</v>
      </c>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10"/>
      <c r="AJ85" s="111"/>
      <c r="AL85" s="112">
        <v>11.0</v>
      </c>
      <c r="AM85" s="113">
        <f>COUNTIF(N30:N69,"A")</f>
        <v>3</v>
      </c>
      <c r="AN85" s="410">
        <f>SUM(AM85/C18*100)</f>
        <v>10.34482759</v>
      </c>
      <c r="AO85" s="208">
        <f>COUNTIF(N30:N69,"B")</f>
        <v>2</v>
      </c>
      <c r="AP85" s="410">
        <f>SUM(AO85/C18*100)</f>
        <v>6.896551724</v>
      </c>
      <c r="AQ85" s="208">
        <f>COUNTIF(N30:N69,"C")</f>
        <v>21</v>
      </c>
      <c r="AR85" s="410">
        <f>SUM(AQ85/C18*100)</f>
        <v>72.4137931</v>
      </c>
      <c r="AS85" s="208">
        <f>COUNTIF(N30:N69,"D")</f>
        <v>3</v>
      </c>
      <c r="AT85" s="411">
        <f>SUM(AS85/C18*100)</f>
        <v>10.34482759</v>
      </c>
    </row>
    <row r="86">
      <c r="A86" s="94"/>
      <c r="B86" s="95"/>
      <c r="C86" s="103"/>
      <c r="D86" s="47"/>
      <c r="E86" s="112">
        <v>12.0</v>
      </c>
      <c r="F86" s="113">
        <f>O70</f>
        <v>20</v>
      </c>
      <c r="G86" s="107">
        <f t="shared" si="14"/>
        <v>68.96551724</v>
      </c>
      <c r="H86" s="108" t="s">
        <v>64</v>
      </c>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10"/>
      <c r="AJ86" s="116"/>
      <c r="AL86" s="112">
        <v>12.0</v>
      </c>
      <c r="AM86" s="113">
        <f>COUNTIF(O30:O69,"A")</f>
        <v>3</v>
      </c>
      <c r="AN86" s="410">
        <f>SUM(AM86/C18*100)</f>
        <v>10.34482759</v>
      </c>
      <c r="AO86" s="208">
        <f>COUNTIF(O30:O69,"B")</f>
        <v>2</v>
      </c>
      <c r="AP86" s="410">
        <f>SUM(AO86/C18*100)</f>
        <v>6.896551724</v>
      </c>
      <c r="AQ86" s="208">
        <f>COUNTIF(O30:O69,"C")</f>
        <v>20</v>
      </c>
      <c r="AR86" s="410">
        <f>SUM(AQ86/C18*100)</f>
        <v>68.96551724</v>
      </c>
      <c r="AS86" s="208">
        <f>COUNTIF(O30:O69,"D")</f>
        <v>4</v>
      </c>
      <c r="AT86" s="411">
        <f>SUM(AS86/C18*100)</f>
        <v>13.79310345</v>
      </c>
    </row>
    <row r="87">
      <c r="A87" s="94"/>
      <c r="B87" s="95"/>
      <c r="C87" s="103"/>
      <c r="D87" s="47"/>
      <c r="E87" s="112">
        <v>13.0</v>
      </c>
      <c r="F87" s="113">
        <f>P70</f>
        <v>0</v>
      </c>
      <c r="G87" s="107">
        <f t="shared" si="14"/>
        <v>0</v>
      </c>
      <c r="H87" s="412" t="s">
        <v>63</v>
      </c>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10"/>
      <c r="AJ87" s="111"/>
      <c r="AL87" s="112">
        <v>13.0</v>
      </c>
      <c r="AM87" s="113">
        <f>COUNTIF(P30:P69,"A")</f>
        <v>22</v>
      </c>
      <c r="AN87" s="410">
        <f>SUM(AM87/C18*100)</f>
        <v>75.86206897</v>
      </c>
      <c r="AO87" s="208">
        <f>COUNTIF(P30:P69,"B")</f>
        <v>0</v>
      </c>
      <c r="AP87" s="410">
        <f>SUM(AO87/C18*100)</f>
        <v>0</v>
      </c>
      <c r="AQ87" s="208">
        <f>COUNTIF(P30:P69,"C")</f>
        <v>4</v>
      </c>
      <c r="AR87" s="410">
        <f>SUM(AQ87/C18*100)</f>
        <v>13.79310345</v>
      </c>
      <c r="AS87" s="208">
        <f>COUNTIF(P30:P69,"D")</f>
        <v>3</v>
      </c>
      <c r="AT87" s="411">
        <f>SUM(AS87/C18*100)</f>
        <v>10.34482759</v>
      </c>
    </row>
    <row r="88">
      <c r="A88" s="94"/>
      <c r="B88" s="95"/>
      <c r="C88" s="103"/>
      <c r="D88" s="47"/>
      <c r="E88" s="112">
        <v>14.0</v>
      </c>
      <c r="F88" s="113">
        <f>Q70</f>
        <v>2</v>
      </c>
      <c r="G88" s="107">
        <f t="shared" si="14"/>
        <v>6.896551724</v>
      </c>
      <c r="H88" s="108" t="s">
        <v>65</v>
      </c>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10"/>
      <c r="AJ88" s="111"/>
      <c r="AL88" s="112">
        <v>14.0</v>
      </c>
      <c r="AM88" s="113">
        <f>COUNTIF(Q30:Q69,"A")</f>
        <v>5</v>
      </c>
      <c r="AN88" s="410">
        <f>SUM(AM88/C18*100)</f>
        <v>17.24137931</v>
      </c>
      <c r="AO88" s="208">
        <f>COUNTIF(Q30:Q69,"B")</f>
        <v>20</v>
      </c>
      <c r="AP88" s="410">
        <f>SUM(AO88/C18*100)</f>
        <v>68.96551724</v>
      </c>
      <c r="AQ88" s="208">
        <f>COUNTIF(Q30:Q69,"C")</f>
        <v>2</v>
      </c>
      <c r="AR88" s="410">
        <f>SUM(AQ88/C18*100)</f>
        <v>6.896551724</v>
      </c>
      <c r="AS88" s="208">
        <f>COUNTIF(Q30:Q69,"D")</f>
        <v>2</v>
      </c>
      <c r="AT88" s="411">
        <f>SUM(AS88/C18*100)</f>
        <v>6.896551724</v>
      </c>
    </row>
    <row r="89">
      <c r="A89" s="94"/>
      <c r="B89" s="95"/>
      <c r="C89" s="103"/>
      <c r="D89" s="47"/>
      <c r="E89" s="112">
        <v>15.0</v>
      </c>
      <c r="F89" s="113">
        <f>R70</f>
        <v>8</v>
      </c>
      <c r="G89" s="107">
        <f t="shared" si="14"/>
        <v>27.5862069</v>
      </c>
      <c r="H89" s="412" t="s">
        <v>66</v>
      </c>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10"/>
      <c r="AJ89" s="111"/>
      <c r="AL89" s="112">
        <v>15.0</v>
      </c>
      <c r="AM89" s="113">
        <f>COUNTIF(R30:R69,"A")</f>
        <v>5</v>
      </c>
      <c r="AN89" s="410">
        <f>SUM(AM89/C18*100)</f>
        <v>17.24137931</v>
      </c>
      <c r="AO89" s="208">
        <f>COUNTIF(R30:R69,"B")</f>
        <v>8</v>
      </c>
      <c r="AP89" s="410">
        <f>SUM(AO89/C18*100)</f>
        <v>27.5862069</v>
      </c>
      <c r="AQ89" s="208">
        <f>COUNTIF(R30:R69,"C")</f>
        <v>15</v>
      </c>
      <c r="AR89" s="410">
        <f>SUM(AQ89/C18*100)</f>
        <v>51.72413793</v>
      </c>
      <c r="AS89" s="208">
        <f>COUNTIF(R30:R69,"D")</f>
        <v>0</v>
      </c>
      <c r="AT89" s="411">
        <f>SUM(AS89/C18*100)</f>
        <v>0</v>
      </c>
    </row>
    <row r="90">
      <c r="A90" s="94"/>
      <c r="B90" s="95"/>
      <c r="C90" s="103"/>
      <c r="D90" s="47"/>
      <c r="E90" s="112">
        <v>16.0</v>
      </c>
      <c r="F90" s="113">
        <f>S70</f>
        <v>1</v>
      </c>
      <c r="G90" s="107">
        <f t="shared" si="14"/>
        <v>3.448275862</v>
      </c>
      <c r="H90" s="412" t="s">
        <v>66</v>
      </c>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10"/>
      <c r="AJ90" s="111"/>
      <c r="AL90" s="112">
        <v>16.0</v>
      </c>
      <c r="AM90" s="113">
        <f>COUNTIF(S30:S69,"A")</f>
        <v>7</v>
      </c>
      <c r="AN90" s="410">
        <f>SUM(AM90/C18*100)</f>
        <v>24.13793103</v>
      </c>
      <c r="AO90" s="208">
        <f>COUNTIF(S30:S69,"B")</f>
        <v>2</v>
      </c>
      <c r="AP90" s="410">
        <f>SUM(AO90/C18*100)</f>
        <v>6.896551724</v>
      </c>
      <c r="AQ90" s="208">
        <f>COUNTIF(S30:S69,"C")</f>
        <v>19</v>
      </c>
      <c r="AR90" s="410">
        <f>SUM(AQ90/C18*100)</f>
        <v>65.51724138</v>
      </c>
      <c r="AS90" s="208">
        <f>COUNTIF(S30:S69,"D")</f>
        <v>1</v>
      </c>
      <c r="AT90" s="411">
        <f>SUM(AS90/C18*100)</f>
        <v>3.448275862</v>
      </c>
    </row>
    <row r="91">
      <c r="A91" s="94"/>
      <c r="B91" s="95"/>
      <c r="C91" s="103"/>
      <c r="D91" s="47"/>
      <c r="E91" s="112">
        <v>17.0</v>
      </c>
      <c r="F91" s="113">
        <f>T70</f>
        <v>10</v>
      </c>
      <c r="G91" s="107">
        <f t="shared" si="14"/>
        <v>34.48275862</v>
      </c>
      <c r="H91" s="108" t="s">
        <v>67</v>
      </c>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10"/>
      <c r="AJ91" s="111"/>
      <c r="AL91" s="112">
        <v>17.0</v>
      </c>
      <c r="AM91" s="113">
        <f>COUNTIF(T30:T69,"A")</f>
        <v>16</v>
      </c>
      <c r="AN91" s="410">
        <f>SUM(AM91/C18*100)</f>
        <v>55.17241379</v>
      </c>
      <c r="AO91" s="208">
        <f>COUNTIF(T30:T69,"B")</f>
        <v>1</v>
      </c>
      <c r="AP91" s="410">
        <f>SUM(AO91/C18*100)</f>
        <v>3.448275862</v>
      </c>
      <c r="AQ91" s="208">
        <f>COUNTIF(T30:T69,"C")</f>
        <v>10</v>
      </c>
      <c r="AR91" s="410">
        <f>SUM(AQ91/C18*100)</f>
        <v>34.48275862</v>
      </c>
      <c r="AS91" s="208">
        <f>COUNTIF(T30:T69,"D")</f>
        <v>2</v>
      </c>
      <c r="AT91" s="411">
        <f>SUM(AS91/C18*100)</f>
        <v>6.896551724</v>
      </c>
    </row>
    <row r="92">
      <c r="A92" s="94"/>
      <c r="B92" s="95"/>
      <c r="C92" s="103"/>
      <c r="D92" s="47"/>
      <c r="E92" s="112">
        <v>18.0</v>
      </c>
      <c r="F92" s="113">
        <f>U70</f>
        <v>2</v>
      </c>
      <c r="G92" s="107">
        <f t="shared" si="14"/>
        <v>6.896551724</v>
      </c>
      <c r="H92" s="412" t="s">
        <v>68</v>
      </c>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10"/>
      <c r="AJ92" s="111"/>
      <c r="AL92" s="112">
        <v>18.0</v>
      </c>
      <c r="AM92" s="113">
        <f>COUNTIF(U30:U69,"A")</f>
        <v>14</v>
      </c>
      <c r="AN92" s="410">
        <f>SUM(AM92/C18*100)</f>
        <v>48.27586207</v>
      </c>
      <c r="AO92" s="208">
        <f>COUNTIF(U30:U69,"B")</f>
        <v>9</v>
      </c>
      <c r="AP92" s="410">
        <f>SUM(AO92/C18*100)</f>
        <v>31.03448276</v>
      </c>
      <c r="AQ92" s="208">
        <f>COUNTIF(U30:U69,"C")</f>
        <v>2</v>
      </c>
      <c r="AR92" s="410">
        <f>SUM(AQ92/C18*100)</f>
        <v>6.896551724</v>
      </c>
      <c r="AS92" s="208">
        <f>COUNTIF(U30:U69,"D")</f>
        <v>4</v>
      </c>
      <c r="AT92" s="411">
        <f>SUM(AS92/C18*100)</f>
        <v>13.79310345</v>
      </c>
    </row>
    <row r="93">
      <c r="A93" s="94"/>
      <c r="B93" s="95"/>
      <c r="C93" s="103"/>
      <c r="D93" s="47"/>
      <c r="E93" s="112">
        <v>19.0</v>
      </c>
      <c r="F93" s="113">
        <f>V70</f>
        <v>0</v>
      </c>
      <c r="G93" s="107">
        <f t="shared" si="14"/>
        <v>0</v>
      </c>
      <c r="H93" s="412" t="s">
        <v>67</v>
      </c>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10"/>
      <c r="AJ93" s="111"/>
      <c r="AL93" s="112">
        <v>19.0</v>
      </c>
      <c r="AM93" s="113">
        <f>COUNTIF(V30:V69,"A")</f>
        <v>0</v>
      </c>
      <c r="AN93" s="410">
        <f>SUM(AM93/C18*100)</f>
        <v>0</v>
      </c>
      <c r="AO93" s="208">
        <f>COUNTIF(V30:V69,"B")</f>
        <v>5</v>
      </c>
      <c r="AP93" s="410">
        <f>SUM(AO93/C18*100)</f>
        <v>17.24137931</v>
      </c>
      <c r="AQ93" s="208">
        <f>COUNTIF(V30:V69,"C")</f>
        <v>22</v>
      </c>
      <c r="AR93" s="410">
        <f>SUM(AQ93/C18*100)</f>
        <v>75.86206897</v>
      </c>
      <c r="AS93" s="208">
        <f>COUNTIF(V30:V69,"D")</f>
        <v>2</v>
      </c>
      <c r="AT93" s="411">
        <f>SUM(AS93/C18*100)</f>
        <v>6.896551724</v>
      </c>
    </row>
    <row r="94">
      <c r="A94" s="94"/>
      <c r="B94" s="95"/>
      <c r="C94" s="103"/>
      <c r="D94" s="47"/>
      <c r="E94" s="112">
        <v>20.0</v>
      </c>
      <c r="F94" s="113">
        <f>W70</f>
        <v>3</v>
      </c>
      <c r="G94" s="107">
        <f t="shared" si="14"/>
        <v>10.34482759</v>
      </c>
      <c r="H94" s="412" t="s">
        <v>69</v>
      </c>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10"/>
      <c r="AJ94" s="111"/>
      <c r="AL94" s="112">
        <v>20.0</v>
      </c>
      <c r="AM94" s="113">
        <f>COUNTIF(W30:W69,"A")</f>
        <v>3</v>
      </c>
      <c r="AN94" s="410">
        <f>SUM(AM94/C18*100)</f>
        <v>10.34482759</v>
      </c>
      <c r="AO94" s="208">
        <f>COUNTIF(W30:W69,"B")</f>
        <v>2</v>
      </c>
      <c r="AP94" s="410">
        <f>SUM(AO94/C18*100)</f>
        <v>6.896551724</v>
      </c>
      <c r="AQ94" s="208">
        <f>COUNTIF(W30:W69,"C")</f>
        <v>8</v>
      </c>
      <c r="AR94" s="410">
        <f>SUM(AQ94/C18*100)</f>
        <v>27.5862069</v>
      </c>
      <c r="AS94" s="208">
        <f>COUNTIF(W30:W69,"D")</f>
        <v>16</v>
      </c>
      <c r="AT94" s="411">
        <f>SUM(AS94/C18*100)</f>
        <v>55.17241379</v>
      </c>
    </row>
    <row r="95">
      <c r="A95" s="94"/>
      <c r="B95" s="95"/>
      <c r="C95" s="103"/>
      <c r="D95" s="117"/>
      <c r="E95" s="118">
        <v>21.0</v>
      </c>
      <c r="F95" s="119">
        <f>X70</f>
        <v>22</v>
      </c>
      <c r="G95" s="120">
        <f t="shared" si="14"/>
        <v>75.86206897</v>
      </c>
      <c r="H95" s="415" t="s">
        <v>70</v>
      </c>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3"/>
      <c r="AJ95" s="111"/>
      <c r="AL95" s="112">
        <v>21.0</v>
      </c>
      <c r="AM95" s="113">
        <f>COUNTIF(X30:X69,"A")</f>
        <v>1</v>
      </c>
      <c r="AN95" s="410">
        <f>SUM(AM95/C18*100)</f>
        <v>3.448275862</v>
      </c>
      <c r="AO95" s="208">
        <f>COUNTIF(X30:X69,"B")</f>
        <v>22</v>
      </c>
      <c r="AP95" s="410">
        <f>SUM(AO95/C18*100)</f>
        <v>75.86206897</v>
      </c>
      <c r="AQ95" s="208">
        <f>COUNTIF(X30:X69,"C")</f>
        <v>5</v>
      </c>
      <c r="AR95" s="410">
        <f>SUM(AQ95/C18*100)</f>
        <v>17.24137931</v>
      </c>
      <c r="AS95" s="208">
        <f>COUNTIF(X30:X69,"D")</f>
        <v>1</v>
      </c>
      <c r="AT95" s="411">
        <f>SUM(AS95/C18*100)</f>
        <v>3.448275862</v>
      </c>
    </row>
    <row r="96">
      <c r="A96" s="94"/>
      <c r="B96" s="95"/>
      <c r="C96" s="103"/>
      <c r="D96" s="124" t="s">
        <v>17</v>
      </c>
      <c r="E96" s="125">
        <v>1.0</v>
      </c>
      <c r="F96" s="106">
        <f>Y70</f>
        <v>0</v>
      </c>
      <c r="G96" s="107">
        <f t="shared" si="14"/>
        <v>0</v>
      </c>
      <c r="H96" s="126" t="s">
        <v>71</v>
      </c>
      <c r="I96" s="416"/>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8"/>
      <c r="AJ96" s="129"/>
      <c r="AK96" s="164" t="s">
        <v>17</v>
      </c>
      <c r="AL96" s="130">
        <v>1.0</v>
      </c>
      <c r="AM96" s="113">
        <f>COUNTIF(Y30:Y69,"A")</f>
        <v>26</v>
      </c>
      <c r="AN96" s="410">
        <f>SUM(AM96/C18*100)</f>
        <v>89.65517241</v>
      </c>
      <c r="AO96" s="208">
        <f>COUNTIF(Y30:Y69,"B")</f>
        <v>2</v>
      </c>
      <c r="AP96" s="410">
        <f>SUM(AO96/C18*100)</f>
        <v>6.896551724</v>
      </c>
      <c r="AQ96" s="208">
        <f>COUNTIF(Y30:Y69,"C")</f>
        <v>0</v>
      </c>
      <c r="AR96" s="410">
        <f>SUM(AQ96/C18*100)</f>
        <v>0</v>
      </c>
      <c r="AS96" s="208">
        <f>COUNTIF(Y30:Y69,"D")</f>
        <v>1</v>
      </c>
      <c r="AT96" s="411">
        <f>SUM(AS96/C18*100)</f>
        <v>3.448275862</v>
      </c>
    </row>
    <row r="97">
      <c r="A97" s="94"/>
      <c r="B97" s="95"/>
      <c r="C97" s="103"/>
      <c r="D97" s="47"/>
      <c r="E97" s="130">
        <v>2.0</v>
      </c>
      <c r="F97" s="113">
        <f>Z70</f>
        <v>1</v>
      </c>
      <c r="G97" s="107">
        <f t="shared" si="14"/>
        <v>3.448275862</v>
      </c>
      <c r="H97" s="131" t="s">
        <v>72</v>
      </c>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3"/>
      <c r="AJ97" s="134"/>
      <c r="AL97" s="130">
        <v>2.0</v>
      </c>
      <c r="AM97" s="113">
        <f>COUNTIF(Z30:Z69,"A")</f>
        <v>1</v>
      </c>
      <c r="AN97" s="410">
        <f>SUM(AM97/C18*100)</f>
        <v>3.448275862</v>
      </c>
      <c r="AO97" s="208">
        <f>COUNTIF(Z30:Z69,"B")</f>
        <v>2</v>
      </c>
      <c r="AP97" s="410">
        <f>SUM(AO97/C18*100)</f>
        <v>6.896551724</v>
      </c>
      <c r="AQ97" s="208">
        <f>COUNTIF(Z30:Z69,"C")</f>
        <v>3</v>
      </c>
      <c r="AR97" s="410">
        <f>SUM(AQ97/C18*100)</f>
        <v>10.34482759</v>
      </c>
      <c r="AS97" s="208">
        <f>COUNTIF(Z30:Z69,"D")</f>
        <v>23</v>
      </c>
      <c r="AT97" s="411">
        <f>SUM(AS97/C18*100)</f>
        <v>79.31034483</v>
      </c>
    </row>
    <row r="98">
      <c r="A98" s="94"/>
      <c r="B98" s="95"/>
      <c r="C98" s="103"/>
      <c r="D98" s="47"/>
      <c r="E98" s="130">
        <v>3.0</v>
      </c>
      <c r="F98" s="113">
        <f>AA70</f>
        <v>25</v>
      </c>
      <c r="G98" s="107">
        <f t="shared" si="14"/>
        <v>86.20689655</v>
      </c>
      <c r="H98" s="131" t="s">
        <v>73</v>
      </c>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3"/>
      <c r="AJ98" s="134"/>
      <c r="AL98" s="130">
        <v>3.0</v>
      </c>
      <c r="AM98" s="113">
        <f>COUNTIF(AA30:AA69,"A")</f>
        <v>2</v>
      </c>
      <c r="AN98" s="410">
        <f>SUM(AM98/C18*100)</f>
        <v>6.896551724</v>
      </c>
      <c r="AO98" s="208">
        <f>COUNTIF(AA30:AA69,"B")</f>
        <v>25</v>
      </c>
      <c r="AP98" s="410">
        <f>SUM(AO98/C18*100)</f>
        <v>86.20689655</v>
      </c>
      <c r="AQ98" s="208">
        <f>COUNTIF(AA30:AA69,"C")</f>
        <v>2</v>
      </c>
      <c r="AR98" s="410">
        <f>SUM(AQ98/C18*100)</f>
        <v>6.896551724</v>
      </c>
      <c r="AS98" s="208">
        <f>COUNTIF(AA30:AA69,"D")</f>
        <v>0</v>
      </c>
      <c r="AT98" s="411">
        <f>SUM(AS98/C18*100)</f>
        <v>0</v>
      </c>
    </row>
    <row r="99">
      <c r="A99" s="94"/>
      <c r="B99" s="95"/>
      <c r="C99" s="103"/>
      <c r="D99" s="47"/>
      <c r="E99" s="130">
        <v>4.0</v>
      </c>
      <c r="F99" s="113">
        <f>AB70</f>
        <v>22</v>
      </c>
      <c r="G99" s="107">
        <f t="shared" si="14"/>
        <v>75.86206897</v>
      </c>
      <c r="H99" s="135" t="s">
        <v>74</v>
      </c>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3"/>
      <c r="AJ99" s="134"/>
      <c r="AL99" s="130">
        <v>4.0</v>
      </c>
      <c r="AM99" s="113">
        <f>COUNTIF(AB30:AB69,"A")</f>
        <v>0</v>
      </c>
      <c r="AN99" s="410">
        <f>SUM(AM99/C18*100)</f>
        <v>0</v>
      </c>
      <c r="AO99" s="208">
        <f>COUNTIF(AB30:AB69,"B")</f>
        <v>4</v>
      </c>
      <c r="AP99" s="410">
        <f>SUM(AO99/C18*100)</f>
        <v>13.79310345</v>
      </c>
      <c r="AQ99" s="208">
        <f>COUNTIF(AB30:AB69,"C")</f>
        <v>3</v>
      </c>
      <c r="AR99" s="410">
        <f>SUM(AQ99/C18*100)</f>
        <v>10.34482759</v>
      </c>
      <c r="AS99" s="208">
        <f>COUNTIF(AB30:AB69,"D")</f>
        <v>22</v>
      </c>
      <c r="AT99" s="411">
        <f>SUM(AS99/C18*100)</f>
        <v>75.86206897</v>
      </c>
    </row>
    <row r="100">
      <c r="A100" s="94"/>
      <c r="B100" s="95"/>
      <c r="C100" s="103"/>
      <c r="D100" s="47"/>
      <c r="E100" s="130">
        <v>5.0</v>
      </c>
      <c r="F100" s="113">
        <f>AC70</f>
        <v>3</v>
      </c>
      <c r="G100" s="107">
        <f t="shared" si="14"/>
        <v>10.34482759</v>
      </c>
      <c r="H100" s="136" t="s">
        <v>71</v>
      </c>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3"/>
      <c r="AJ100" s="134"/>
      <c r="AL100" s="130">
        <v>5.0</v>
      </c>
      <c r="AM100" s="113">
        <f>COUNTIF(AC30:AC69,"A")</f>
        <v>3</v>
      </c>
      <c r="AN100" s="410">
        <f>SUM(AM100/C18*100)</f>
        <v>10.34482759</v>
      </c>
      <c r="AO100" s="208">
        <f>COUNTIF(AC30:AC69,"B")</f>
        <v>1</v>
      </c>
      <c r="AP100" s="410">
        <f>SUM(AO100/C18*100)</f>
        <v>3.448275862</v>
      </c>
      <c r="AQ100" s="208">
        <f>COUNTIF(AC30:AC69,"C")</f>
        <v>23</v>
      </c>
      <c r="AR100" s="410">
        <f>SUM(AQ100/C18*100)</f>
        <v>79.31034483</v>
      </c>
      <c r="AS100" s="208">
        <f>COUNTIF(AC30:AC69,"D")</f>
        <v>2</v>
      </c>
      <c r="AT100" s="411">
        <f>SUM(AS100/C18*100)</f>
        <v>6.896551724</v>
      </c>
    </row>
    <row r="101">
      <c r="A101" s="94"/>
      <c r="B101" s="95"/>
      <c r="C101" s="103"/>
      <c r="D101" s="47"/>
      <c r="E101" s="130">
        <v>6.0</v>
      </c>
      <c r="F101" s="113">
        <f>AD70</f>
        <v>4</v>
      </c>
      <c r="G101" s="107">
        <f t="shared" si="14"/>
        <v>13.79310345</v>
      </c>
      <c r="H101" s="137" t="s">
        <v>75</v>
      </c>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3"/>
      <c r="AJ101" s="134"/>
      <c r="AL101" s="130">
        <v>6.0</v>
      </c>
      <c r="AM101" s="113">
        <f>COUNTIF(AD30:AD69,"A")</f>
        <v>3</v>
      </c>
      <c r="AN101" s="410">
        <f>SUM(AM101/C18*100)</f>
        <v>10.34482759</v>
      </c>
      <c r="AO101" s="208">
        <f>COUNTIF(AD30:AD69,"B")</f>
        <v>8</v>
      </c>
      <c r="AP101" s="410">
        <f>SUM(AO101/C18*100)</f>
        <v>27.5862069</v>
      </c>
      <c r="AQ101" s="208">
        <f>COUNTIF(AD30:AD69,"C")</f>
        <v>14</v>
      </c>
      <c r="AR101" s="410">
        <f>SUM(AQ101/C18*100)</f>
        <v>48.27586207</v>
      </c>
      <c r="AS101" s="208">
        <f>COUNTIF(AD30:AD69,"D")</f>
        <v>4</v>
      </c>
      <c r="AT101" s="411">
        <f>SUM(AS101/C18*100)</f>
        <v>13.79310345</v>
      </c>
    </row>
    <row r="102">
      <c r="A102" s="94"/>
      <c r="B102" s="95"/>
      <c r="C102" s="103"/>
      <c r="D102" s="47"/>
      <c r="E102" s="130">
        <v>7.0</v>
      </c>
      <c r="F102" s="113">
        <f>AE70</f>
        <v>23</v>
      </c>
      <c r="G102" s="107">
        <f t="shared" si="14"/>
        <v>79.31034483</v>
      </c>
      <c r="H102" s="135" t="s">
        <v>76</v>
      </c>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3"/>
      <c r="AJ102" s="134"/>
      <c r="AL102" s="130">
        <v>7.0</v>
      </c>
      <c r="AM102" s="113">
        <f>COUNTIF(AE30:AE69,"A")</f>
        <v>1</v>
      </c>
      <c r="AN102" s="410">
        <f>SUM(AM102/C18*100)</f>
        <v>3.448275862</v>
      </c>
      <c r="AO102" s="208">
        <f>COUNTIF(AE30:AE69,"B")</f>
        <v>23</v>
      </c>
      <c r="AP102" s="410">
        <f>SUM(AO102/C18*100)</f>
        <v>79.31034483</v>
      </c>
      <c r="AQ102" s="208">
        <f>COUNTIF(AE30:AE69,"C")</f>
        <v>2</v>
      </c>
      <c r="AR102" s="410">
        <f>SUM(AQ102/C18*100)</f>
        <v>6.896551724</v>
      </c>
      <c r="AS102" s="208">
        <f>COUNTIF(AE30:AE69,"D")</f>
        <v>2</v>
      </c>
      <c r="AT102" s="411">
        <f>SUM(AS102/C18*100)</f>
        <v>6.896551724</v>
      </c>
    </row>
    <row r="103">
      <c r="A103" s="94"/>
      <c r="B103" s="95"/>
      <c r="C103" s="103"/>
      <c r="D103" s="47"/>
      <c r="E103" s="130">
        <v>8.0</v>
      </c>
      <c r="F103" s="113">
        <f>AF70</f>
        <v>0</v>
      </c>
      <c r="G103" s="107">
        <f t="shared" si="14"/>
        <v>0</v>
      </c>
      <c r="H103" s="131" t="s">
        <v>77</v>
      </c>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9"/>
      <c r="AJ103" s="134"/>
      <c r="AL103" s="130">
        <v>8.0</v>
      </c>
      <c r="AM103" s="113">
        <f>COUNTIF(AF30:AF69,"A")</f>
        <v>16</v>
      </c>
      <c r="AN103" s="410">
        <f>SUM(AM103/C18*100)</f>
        <v>55.17241379</v>
      </c>
      <c r="AO103" s="208">
        <f>COUNTIF(AF30:AF69,"B")</f>
        <v>6</v>
      </c>
      <c r="AP103" s="410">
        <f>SUM(AO103/C18*100)</f>
        <v>20.68965517</v>
      </c>
      <c r="AQ103" s="208">
        <f>COUNTIF(AF30:AF69,"C")</f>
        <v>0</v>
      </c>
      <c r="AR103" s="410">
        <f>SUM(AQ103/C18*100)</f>
        <v>0</v>
      </c>
      <c r="AS103" s="208">
        <f>COUNTIF(AF30:AF69,"D")</f>
        <v>6</v>
      </c>
      <c r="AT103" s="411">
        <f>SUM(AS103/C18*100)</f>
        <v>20.68965517</v>
      </c>
    </row>
    <row r="104">
      <c r="A104" s="94"/>
      <c r="B104" s="95"/>
      <c r="C104" s="103"/>
      <c r="D104" s="47"/>
      <c r="E104" s="130">
        <v>9.0</v>
      </c>
      <c r="F104" s="113">
        <f>AG70</f>
        <v>4</v>
      </c>
      <c r="G104" s="107">
        <f t="shared" si="14"/>
        <v>13.79310345</v>
      </c>
      <c r="H104" s="135" t="s">
        <v>78</v>
      </c>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3"/>
      <c r="AJ104" s="134"/>
      <c r="AL104" s="130">
        <v>9.0</v>
      </c>
      <c r="AM104" s="113">
        <f>COUNTIF(AG30:AG69,"A")</f>
        <v>4</v>
      </c>
      <c r="AN104" s="410">
        <f>SUM(AM104/C18*100)</f>
        <v>13.79310345</v>
      </c>
      <c r="AO104" s="208">
        <f>COUNTIF(AG30:AG69,"B")</f>
        <v>3</v>
      </c>
      <c r="AP104" s="410">
        <f>SUM(AO104/C18*100)</f>
        <v>10.34482759</v>
      </c>
      <c r="AQ104" s="208">
        <f>COUNTIF(AG30:AG69,"C")</f>
        <v>7</v>
      </c>
      <c r="AR104" s="410">
        <f>SUM(AQ104/C18*100)</f>
        <v>24.13793103</v>
      </c>
      <c r="AS104" s="208">
        <f>COUNTIF(AG30:AG69,"D")</f>
        <v>15</v>
      </c>
      <c r="AT104" s="411">
        <f>SUM(AS104/C18*100)</f>
        <v>51.72413793</v>
      </c>
    </row>
    <row r="105" ht="15.75" customHeight="1">
      <c r="A105" s="94"/>
      <c r="B105" s="95"/>
      <c r="C105" s="103"/>
      <c r="D105" s="47"/>
      <c r="E105" s="130">
        <v>10.0</v>
      </c>
      <c r="F105" s="113">
        <f>AH70</f>
        <v>7</v>
      </c>
      <c r="G105" s="107">
        <f t="shared" si="14"/>
        <v>24.13793103</v>
      </c>
      <c r="H105" s="137" t="s">
        <v>75</v>
      </c>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3"/>
      <c r="AJ105" s="134"/>
      <c r="AL105" s="130">
        <v>10.0</v>
      </c>
      <c r="AM105" s="113">
        <f>COUNTIF(AH30:AH69,"A")</f>
        <v>13</v>
      </c>
      <c r="AN105" s="410">
        <f>SUM(AM105/C18*100)</f>
        <v>44.82758621</v>
      </c>
      <c r="AO105" s="208">
        <f>COUNTIF(AH30:AH69,"B")</f>
        <v>4</v>
      </c>
      <c r="AP105" s="410">
        <f>SUM(AO105/C18*100)</f>
        <v>13.79310345</v>
      </c>
      <c r="AQ105" s="208">
        <f>COUNTIF(AH30:AH69,"C")</f>
        <v>7</v>
      </c>
      <c r="AR105" s="410">
        <f>SUM(AQ105/C18*100)</f>
        <v>24.13793103</v>
      </c>
      <c r="AS105" s="208">
        <f>COUNTIF(AH30:AH69,"D")</f>
        <v>5</v>
      </c>
      <c r="AT105" s="411">
        <f>SUM(AS105/C18*100)</f>
        <v>17.24137931</v>
      </c>
    </row>
    <row r="106">
      <c r="A106" s="94"/>
      <c r="B106" s="95"/>
      <c r="C106" s="103"/>
      <c r="D106" s="47"/>
      <c r="E106" s="130">
        <v>11.0</v>
      </c>
      <c r="F106" s="113">
        <f>AI70</f>
        <v>4</v>
      </c>
      <c r="G106" s="107">
        <f t="shared" si="14"/>
        <v>13.79310345</v>
      </c>
      <c r="H106" s="135" t="s">
        <v>79</v>
      </c>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3"/>
      <c r="AJ106" s="134"/>
      <c r="AL106" s="130">
        <v>11.0</v>
      </c>
      <c r="AM106" s="113">
        <f>COUNTIF(AI30:AI69,"A")</f>
        <v>3</v>
      </c>
      <c r="AN106" s="410">
        <f>SUM(AM106/C18*100)</f>
        <v>10.34482759</v>
      </c>
      <c r="AO106" s="208">
        <f>COUNTIF(AI30:AI69,"B")</f>
        <v>4</v>
      </c>
      <c r="AP106" s="410">
        <f>SUM(AO106/C18*100)</f>
        <v>13.79310345</v>
      </c>
      <c r="AQ106" s="208">
        <f>COUNTIF(AI30:AI69,"C")</f>
        <v>16</v>
      </c>
      <c r="AR106" s="410">
        <f>SUM(AQ106/C18*100)</f>
        <v>55.17241379</v>
      </c>
      <c r="AS106" s="208">
        <f>COUNTIF(AI30:AI69,"D")</f>
        <v>6</v>
      </c>
      <c r="AT106" s="411">
        <f>SUM(AS106/C18*100)</f>
        <v>20.68965517</v>
      </c>
    </row>
    <row r="107">
      <c r="A107" s="94"/>
      <c r="B107" s="95"/>
      <c r="C107" s="103"/>
      <c r="D107" s="47"/>
      <c r="E107" s="130">
        <v>12.0</v>
      </c>
      <c r="F107" s="114">
        <f>AJ70</f>
        <v>1</v>
      </c>
      <c r="G107" s="107">
        <f t="shared" si="14"/>
        <v>3.448275862</v>
      </c>
      <c r="H107" s="131" t="s">
        <v>80</v>
      </c>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1"/>
      <c r="AJ107" s="142"/>
      <c r="AL107" s="130">
        <v>12.0</v>
      </c>
      <c r="AM107" s="113">
        <f>COUNTIF(AJ30:AJ69,"A")</f>
        <v>1</v>
      </c>
      <c r="AN107" s="410">
        <f>SUM(AM107/C18*100)</f>
        <v>3.448275862</v>
      </c>
      <c r="AO107" s="208">
        <f>COUNTIF(AJ30:AJ69,"B")</f>
        <v>26</v>
      </c>
      <c r="AP107" s="410">
        <f>SUM(AO107/C18*100)</f>
        <v>89.65517241</v>
      </c>
      <c r="AQ107" s="208">
        <f>COUNTIF(AJ30:AJ69,"C")</f>
        <v>1</v>
      </c>
      <c r="AR107" s="410">
        <f>SUM(AQ107/C18*100)</f>
        <v>3.448275862</v>
      </c>
      <c r="AS107" s="208">
        <f>COUNTIF(AJ30:AJ69,"D")</f>
        <v>1</v>
      </c>
      <c r="AT107" s="411">
        <f>SUM(AS107/C18*100)</f>
        <v>3.448275862</v>
      </c>
    </row>
    <row r="108">
      <c r="A108" s="94"/>
      <c r="B108" s="95"/>
      <c r="C108" s="103"/>
      <c r="D108" s="47"/>
      <c r="E108" s="130">
        <v>13.0</v>
      </c>
      <c r="F108" s="113">
        <f>AK70</f>
        <v>0</v>
      </c>
      <c r="G108" s="107">
        <f t="shared" si="14"/>
        <v>0</v>
      </c>
      <c r="H108" s="137" t="s">
        <v>81</v>
      </c>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1"/>
      <c r="AJ108" s="143"/>
      <c r="AL108" s="130">
        <v>13.0</v>
      </c>
      <c r="AM108" s="113">
        <f>COUNTIF(AK30:AK69,"A")</f>
        <v>0</v>
      </c>
      <c r="AN108" s="410">
        <f>SUM(AM108/C18*100)</f>
        <v>0</v>
      </c>
      <c r="AO108" s="208">
        <f>COUNTIF(AK30:AK69,"B")</f>
        <v>1</v>
      </c>
      <c r="AP108" s="410">
        <f>SUM(AO108/C18*100)</f>
        <v>3.448275862</v>
      </c>
      <c r="AQ108" s="208">
        <f>COUNTIF(AK30:AK69,"C")</f>
        <v>6</v>
      </c>
      <c r="AR108" s="410">
        <f>SUM(AQ108/C18*100)</f>
        <v>20.68965517</v>
      </c>
      <c r="AS108" s="208">
        <f>COUNTIF(AK30:AK69,"D")</f>
        <v>22</v>
      </c>
      <c r="AT108" s="411">
        <f>SUM(AS108/C18*100)</f>
        <v>75.86206897</v>
      </c>
    </row>
    <row r="109">
      <c r="A109" s="94"/>
      <c r="B109" s="95"/>
      <c r="C109" s="103"/>
      <c r="D109" s="47"/>
      <c r="E109" s="130">
        <v>14.0</v>
      </c>
      <c r="F109" s="113">
        <f>AL70</f>
        <v>3</v>
      </c>
      <c r="G109" s="107">
        <f t="shared" si="14"/>
        <v>10.34482759</v>
      </c>
      <c r="H109" s="135" t="s">
        <v>79</v>
      </c>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3"/>
      <c r="AJ109" s="134"/>
      <c r="AL109" s="130">
        <v>14.0</v>
      </c>
      <c r="AM109" s="113">
        <f>COUNTIF(AL30:AL69,"A")</f>
        <v>1</v>
      </c>
      <c r="AN109" s="410">
        <f>SUM(AM109/C18*100)</f>
        <v>3.448275862</v>
      </c>
      <c r="AO109" s="208">
        <f>COUNTIF(AL30:AL69,"B")</f>
        <v>19</v>
      </c>
      <c r="AP109" s="410">
        <f>SUM(AO109/C18*100)</f>
        <v>65.51724138</v>
      </c>
      <c r="AQ109" s="208">
        <f>COUNTIF(AL30:AL69,"C")</f>
        <v>6</v>
      </c>
      <c r="AR109" s="410">
        <f>SUM(AQ109/C18*100)</f>
        <v>20.68965517</v>
      </c>
      <c r="AS109" s="208">
        <f>COUNTIF(AL30:AL69,"D")</f>
        <v>3</v>
      </c>
      <c r="AT109" s="411">
        <f>SUM(AS109/C18*100)</f>
        <v>10.34482759</v>
      </c>
    </row>
    <row r="110">
      <c r="A110" s="94"/>
      <c r="B110" s="95"/>
      <c r="C110" s="103"/>
      <c r="D110" s="47"/>
      <c r="E110" s="130">
        <v>15.0</v>
      </c>
      <c r="F110" s="113">
        <f>AM70</f>
        <v>0</v>
      </c>
      <c r="G110" s="107">
        <f t="shared" si="14"/>
        <v>0</v>
      </c>
      <c r="H110" s="145" t="s">
        <v>82</v>
      </c>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3"/>
      <c r="AJ110" s="134"/>
      <c r="AL110" s="130">
        <v>15.0</v>
      </c>
      <c r="AM110" s="113">
        <f>COUNTIF(AM30:AM69,"A")</f>
        <v>7</v>
      </c>
      <c r="AN110" s="410">
        <f>SUM(AM110/C18*100)</f>
        <v>24.13793103</v>
      </c>
      <c r="AO110" s="208">
        <f>COUNTIF(AM30:AM69,"B")</f>
        <v>4</v>
      </c>
      <c r="AP110" s="410">
        <f>SUM(AO110/C18*100)</f>
        <v>13.79310345</v>
      </c>
      <c r="AQ110" s="208">
        <f>COUNTIF(AM30:AM69,"C")</f>
        <v>18</v>
      </c>
      <c r="AR110" s="410">
        <f>SUM(AQ110/C18*100)</f>
        <v>62.06896552</v>
      </c>
      <c r="AS110" s="208">
        <f>COUNTIF(AM30:AM69,"D")</f>
        <v>0</v>
      </c>
      <c r="AT110" s="411">
        <f>SUM(AS110/C18*100)</f>
        <v>0</v>
      </c>
    </row>
    <row r="111">
      <c r="A111" s="94"/>
      <c r="B111" s="95"/>
      <c r="C111" s="103"/>
      <c r="D111" s="47"/>
      <c r="E111" s="130">
        <v>16.0</v>
      </c>
      <c r="F111" s="113">
        <f>AN70</f>
        <v>2</v>
      </c>
      <c r="G111" s="107">
        <f t="shared" si="14"/>
        <v>6.896551724</v>
      </c>
      <c r="H111" s="135" t="s">
        <v>83</v>
      </c>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3"/>
      <c r="AJ111" s="134"/>
      <c r="AL111" s="130">
        <v>16.0</v>
      </c>
      <c r="AM111" s="113">
        <f>COUNTIF(AN30:AN69,"A")</f>
        <v>18</v>
      </c>
      <c r="AN111" s="410">
        <f>SUM(AM111/C18*100)</f>
        <v>62.06896552</v>
      </c>
      <c r="AO111" s="208">
        <f>COUNTIF(AN30:AN69,"B")</f>
        <v>1</v>
      </c>
      <c r="AP111" s="410">
        <f>SUM(AO111/C18*100)</f>
        <v>3.448275862</v>
      </c>
      <c r="AQ111" s="208">
        <f>COUNTIF(AN30:AN69,"C")</f>
        <v>2</v>
      </c>
      <c r="AR111" s="410">
        <f>SUM(AQ111/C18*100)</f>
        <v>6.896551724</v>
      </c>
      <c r="AS111" s="208">
        <f>COUNTIF(AN30:AN69,"D")</f>
        <v>8</v>
      </c>
      <c r="AT111" s="411">
        <f>SUM(AS111/C18*100)</f>
        <v>27.5862069</v>
      </c>
    </row>
    <row r="112" ht="15.75" customHeight="1">
      <c r="A112" s="94"/>
      <c r="B112" s="95"/>
      <c r="C112" s="103"/>
      <c r="D112" s="47"/>
      <c r="E112" s="130">
        <v>17.0</v>
      </c>
      <c r="F112" s="113">
        <f>AO70</f>
        <v>7</v>
      </c>
      <c r="G112" s="107">
        <f t="shared" si="14"/>
        <v>24.13793103</v>
      </c>
      <c r="H112" s="144" t="s">
        <v>84</v>
      </c>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3"/>
      <c r="AJ112" s="134"/>
      <c r="AL112" s="130">
        <v>17.0</v>
      </c>
      <c r="AM112" s="113">
        <f>COUNTIF(AO30:AO69,"A")</f>
        <v>2</v>
      </c>
      <c r="AN112" s="410">
        <f>SUM(AM112/C18*100)</f>
        <v>6.896551724</v>
      </c>
      <c r="AO112" s="208">
        <f>COUNTIF(AO30:AO69,"B")</f>
        <v>18</v>
      </c>
      <c r="AP112" s="410">
        <f>SUM(AO112/C18*100)</f>
        <v>62.06896552</v>
      </c>
      <c r="AQ112" s="208">
        <f>COUNTIF(AO30:AO69,"C")</f>
        <v>7</v>
      </c>
      <c r="AR112" s="410">
        <f>SUM(AQ112/C18*100)</f>
        <v>24.13793103</v>
      </c>
      <c r="AS112" s="208">
        <f>COUNTIF(AO30:AO69,"D")</f>
        <v>2</v>
      </c>
      <c r="AT112" s="411">
        <f>SUM(AS112/C18*100)</f>
        <v>6.896551724</v>
      </c>
    </row>
    <row r="113" ht="15.75" customHeight="1">
      <c r="A113" s="94"/>
      <c r="B113" s="95"/>
      <c r="C113" s="103"/>
      <c r="D113" s="47"/>
      <c r="E113" s="130">
        <v>18.0</v>
      </c>
      <c r="F113" s="113">
        <f>AP70</f>
        <v>3</v>
      </c>
      <c r="G113" s="107">
        <f t="shared" si="14"/>
        <v>10.34482759</v>
      </c>
      <c r="H113" s="135" t="s">
        <v>83</v>
      </c>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3"/>
      <c r="AJ113" s="134"/>
      <c r="AL113" s="130">
        <v>18.0</v>
      </c>
      <c r="AM113" s="113">
        <f>COUNTIF(AP30:AP69,"A")</f>
        <v>3</v>
      </c>
      <c r="AN113" s="410">
        <f>SUM(AM113/C18*100)</f>
        <v>10.34482759</v>
      </c>
      <c r="AO113" s="208">
        <f>COUNTIF(AP30:AP69,"B")</f>
        <v>1</v>
      </c>
      <c r="AP113" s="410">
        <f>SUM(AO113/C18*100)</f>
        <v>3.448275862</v>
      </c>
      <c r="AQ113" s="208">
        <f>COUNTIF(AP30:AP69,"C")</f>
        <v>21</v>
      </c>
      <c r="AR113" s="410">
        <f>SUM(AQ113/C18*100)</f>
        <v>72.4137931</v>
      </c>
      <c r="AS113" s="208">
        <f>COUNTIF(AP30:AP69,"D")</f>
        <v>4</v>
      </c>
      <c r="AT113" s="411">
        <f>SUM(AS113/C18*100)</f>
        <v>13.79310345</v>
      </c>
    </row>
    <row r="114" ht="15.75" customHeight="1">
      <c r="A114" s="94"/>
      <c r="B114" s="95"/>
      <c r="C114" s="103"/>
      <c r="D114" s="47"/>
      <c r="E114" s="130">
        <v>19.0</v>
      </c>
      <c r="F114" s="113">
        <f>AQ70</f>
        <v>13</v>
      </c>
      <c r="G114" s="107">
        <f t="shared" si="14"/>
        <v>44.82758621</v>
      </c>
      <c r="H114" s="145" t="s">
        <v>85</v>
      </c>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3"/>
      <c r="AJ114" s="134"/>
      <c r="AL114" s="130">
        <v>19.0</v>
      </c>
      <c r="AM114" s="113">
        <f>COUNTIF(AQ30:AQ69,"A")</f>
        <v>10</v>
      </c>
      <c r="AN114" s="410">
        <f>SUM(AM114/C18*100)</f>
        <v>34.48275862</v>
      </c>
      <c r="AO114" s="208">
        <f>COUNTIF(AQ30:AQ69,"B")</f>
        <v>4</v>
      </c>
      <c r="AP114" s="410">
        <f>SUM(AO114/C18*100)</f>
        <v>13.79310345</v>
      </c>
      <c r="AQ114" s="208">
        <f>COUNTIF(AQ30:AQ69,"C")</f>
        <v>2</v>
      </c>
      <c r="AR114" s="410">
        <f>SUM(AQ114/C18*100)</f>
        <v>6.896551724</v>
      </c>
      <c r="AS114" s="208">
        <f>COUNTIF(AQ30:AQ69,"D")</f>
        <v>13</v>
      </c>
      <c r="AT114" s="411">
        <f>SUM(AS114/C18*100)</f>
        <v>44.82758621</v>
      </c>
    </row>
    <row r="115" ht="15.75" customHeight="1">
      <c r="A115" s="94"/>
      <c r="B115" s="95"/>
      <c r="C115" s="103"/>
      <c r="D115" s="47"/>
      <c r="E115" s="130">
        <v>20.0</v>
      </c>
      <c r="F115" s="113">
        <f>AR70</f>
        <v>7</v>
      </c>
      <c r="G115" s="107">
        <f t="shared" si="14"/>
        <v>24.13793103</v>
      </c>
      <c r="H115" s="135" t="s">
        <v>83</v>
      </c>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3"/>
      <c r="AJ115" s="134"/>
      <c r="AL115" s="130">
        <v>20.0</v>
      </c>
      <c r="AM115" s="113">
        <f>COUNTIF(AR30:AR69,"A")</f>
        <v>1</v>
      </c>
      <c r="AN115" s="410">
        <f>SUM(AM115/C18*100)</f>
        <v>3.448275862</v>
      </c>
      <c r="AO115" s="208">
        <f>COUNTIF(AR30:AR69,"B")</f>
        <v>7</v>
      </c>
      <c r="AP115" s="410">
        <f>SUM(AO115/C18*100)</f>
        <v>24.13793103</v>
      </c>
      <c r="AQ115" s="208">
        <f>COUNTIF(AR30:AR69,"C")</f>
        <v>19</v>
      </c>
      <c r="AR115" s="410">
        <f>SUM(AQ115/C18*100)</f>
        <v>65.51724138</v>
      </c>
      <c r="AS115" s="208">
        <f>COUNTIF(AR30:AR69,"D")</f>
        <v>2</v>
      </c>
      <c r="AT115" s="411">
        <f>SUM(AS115/C18*100)</f>
        <v>6.896551724</v>
      </c>
    </row>
    <row r="116" ht="15.75" customHeight="1">
      <c r="A116" s="94"/>
      <c r="B116" s="95"/>
      <c r="C116" s="103"/>
      <c r="D116" s="47"/>
      <c r="E116" s="130">
        <v>21.0</v>
      </c>
      <c r="F116" s="113">
        <f>AS70</f>
        <v>1</v>
      </c>
      <c r="G116" s="107">
        <f t="shared" si="14"/>
        <v>3.448275862</v>
      </c>
      <c r="H116" s="135" t="s">
        <v>78</v>
      </c>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3"/>
      <c r="AJ116" s="134"/>
      <c r="AL116" s="130">
        <v>21.0</v>
      </c>
      <c r="AM116" s="113">
        <f>COUNTIF(AS30:AS69,"A")</f>
        <v>1</v>
      </c>
      <c r="AN116" s="410">
        <f>SUM(AM116/C18*100)</f>
        <v>3.448275862</v>
      </c>
      <c r="AO116" s="208">
        <f>COUNTIF(AS30:AS69,"B")</f>
        <v>6</v>
      </c>
      <c r="AP116" s="410">
        <f>SUM(AO116/C18*100)</f>
        <v>20.68965517</v>
      </c>
      <c r="AQ116" s="208">
        <f>COUNTIF(AS30:AS69,"C")</f>
        <v>21</v>
      </c>
      <c r="AR116" s="410">
        <f>SUM(AQ116/C18*100)</f>
        <v>72.4137931</v>
      </c>
      <c r="AS116" s="208">
        <f>COUNTIF(AS30:AS69,"D")</f>
        <v>1</v>
      </c>
      <c r="AT116" s="411">
        <f>SUM(AS116/C18*100)</f>
        <v>3.448275862</v>
      </c>
    </row>
    <row r="117" ht="15.75" customHeight="1">
      <c r="A117" s="85"/>
      <c r="B117" s="85"/>
      <c r="C117" s="146"/>
      <c r="D117" s="65"/>
      <c r="E117" s="130">
        <v>22.0</v>
      </c>
      <c r="F117" s="113">
        <f>AT70</f>
        <v>6</v>
      </c>
      <c r="G117" s="107">
        <f t="shared" si="14"/>
        <v>20.68965517</v>
      </c>
      <c r="H117" s="137" t="s">
        <v>86</v>
      </c>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8"/>
      <c r="AJ117" s="134"/>
      <c r="AL117" s="165">
        <v>22.0</v>
      </c>
      <c r="AM117" s="113">
        <f>COUNTIF(AT30:AT69,"A")</f>
        <v>6</v>
      </c>
      <c r="AN117" s="410">
        <f>SUM(AM117/C18*100)</f>
        <v>20.68965517</v>
      </c>
      <c r="AO117" s="208">
        <f>COUNTIF(AT30:AT69,"B")</f>
        <v>19</v>
      </c>
      <c r="AP117" s="410">
        <f>SUM(AO117/C18*100)</f>
        <v>65.51724138</v>
      </c>
      <c r="AQ117" s="208">
        <f>COUNTIF(AT30:AT69,"C")</f>
        <v>3</v>
      </c>
      <c r="AR117" s="410">
        <f>SUM(AQ117/C18*100)</f>
        <v>10.34482759</v>
      </c>
      <c r="AS117" s="208">
        <f>COUNTIF(AT30:AT69,"D")</f>
        <v>1</v>
      </c>
      <c r="AT117" s="411">
        <f>SUM(AS117/C18*100)</f>
        <v>3.448275862</v>
      </c>
    </row>
    <row r="118" ht="82.5" customHeight="1"/>
    <row r="119" ht="15.75" customHeight="1">
      <c r="A119" s="90"/>
      <c r="B119" s="90"/>
      <c r="C119" s="91"/>
      <c r="D119" s="417" t="s">
        <v>89</v>
      </c>
      <c r="E119" s="418"/>
      <c r="F119" s="418"/>
      <c r="G119" s="418"/>
      <c r="H119" s="418"/>
      <c r="I119" s="419"/>
      <c r="K119" s="170"/>
      <c r="L119" s="171"/>
      <c r="M119" s="171"/>
      <c r="N119" s="171"/>
      <c r="O119" s="171"/>
      <c r="P119" s="171"/>
      <c r="Q119" s="171"/>
      <c r="R119" s="171"/>
      <c r="S119" s="171"/>
      <c r="T119" s="171"/>
      <c r="U119" s="171"/>
      <c r="V119" s="171"/>
      <c r="W119" s="171"/>
      <c r="X119" s="171"/>
      <c r="Y119" s="171"/>
      <c r="Z119" s="171"/>
      <c r="AA119" s="171"/>
      <c r="AB119" s="171"/>
      <c r="AC119" s="171"/>
      <c r="AD119" s="171"/>
      <c r="AE119" s="171"/>
      <c r="AF119" s="171"/>
      <c r="AG119" s="171"/>
      <c r="AH119" s="171"/>
      <c r="AI119" s="171"/>
      <c r="AJ119" s="171"/>
      <c r="AK119" s="171"/>
      <c r="AL119" s="171"/>
      <c r="AM119" s="171"/>
      <c r="AN119" s="171"/>
      <c r="AO119" s="171"/>
      <c r="AP119" s="171"/>
      <c r="AQ119" s="171"/>
      <c r="AR119" s="171"/>
      <c r="AS119" s="171"/>
      <c r="AT119" s="171"/>
      <c r="AU119" s="171"/>
      <c r="AV119" s="171"/>
      <c r="AW119" s="171"/>
      <c r="AX119" s="171"/>
      <c r="AY119" s="171"/>
      <c r="AZ119" s="171"/>
      <c r="BA119" s="171"/>
      <c r="BB119" s="171"/>
      <c r="BC119" s="171"/>
      <c r="BD119" s="171"/>
      <c r="BE119" s="171"/>
      <c r="BF119" s="171"/>
      <c r="BG119" s="171"/>
      <c r="BH119" s="171"/>
      <c r="BI119" s="171"/>
      <c r="BJ119" s="337"/>
    </row>
    <row r="120" ht="15.75" customHeight="1">
      <c r="A120" s="94"/>
      <c r="B120" s="95"/>
      <c r="C120" s="103"/>
      <c r="D120" s="420" t="s">
        <v>10</v>
      </c>
      <c r="E120" s="421" t="s">
        <v>54</v>
      </c>
      <c r="F120" s="422" t="s">
        <v>90</v>
      </c>
      <c r="G120" s="423"/>
      <c r="H120" s="423"/>
      <c r="I120" s="424"/>
      <c r="K120" s="178"/>
      <c r="BJ120" s="338"/>
    </row>
    <row r="121" ht="15.75" customHeight="1">
      <c r="A121" s="94"/>
      <c r="B121" s="95"/>
      <c r="C121" s="103"/>
      <c r="D121" s="193">
        <f>COUNTIF(BB30:BB69,"ABAIXO DO BÁSICO")</f>
        <v>2</v>
      </c>
      <c r="E121" s="425">
        <f>SUM(D121/C18*100)</f>
        <v>6.896551724</v>
      </c>
      <c r="F121" s="426" t="s">
        <v>91</v>
      </c>
      <c r="G121" s="427"/>
      <c r="H121" s="427"/>
      <c r="I121" s="428"/>
      <c r="K121" s="178"/>
      <c r="BJ121" s="338"/>
    </row>
    <row r="122" ht="15.75" customHeight="1">
      <c r="A122" s="94"/>
      <c r="B122" s="95"/>
      <c r="C122" s="103"/>
      <c r="D122" s="193">
        <f>COUNTIF(BB30:BB69,"BÁSICO")</f>
        <v>3</v>
      </c>
      <c r="E122" s="425">
        <f>SUM(D122/C18*100)</f>
        <v>10.34482759</v>
      </c>
      <c r="F122" s="429" t="s">
        <v>92</v>
      </c>
      <c r="G122" s="427"/>
      <c r="H122" s="427"/>
      <c r="I122" s="428"/>
      <c r="K122" s="178"/>
      <c r="L122" s="192" t="s">
        <v>93</v>
      </c>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338"/>
    </row>
    <row r="123" ht="15.75" customHeight="1">
      <c r="A123" s="94"/>
      <c r="B123" s="95"/>
      <c r="C123" s="103"/>
      <c r="D123" s="193">
        <f>COUNTIF(BB30:BB69,"ADEQUADO")</f>
        <v>13</v>
      </c>
      <c r="E123" s="425">
        <f>SUM(D123/C18*100)</f>
        <v>44.82758621</v>
      </c>
      <c r="F123" s="430" t="s">
        <v>94</v>
      </c>
      <c r="G123" s="427"/>
      <c r="H123" s="427"/>
      <c r="I123" s="428"/>
      <c r="K123" s="178"/>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79"/>
      <c r="AN123" s="179"/>
      <c r="AO123" s="179"/>
      <c r="AP123" s="179"/>
      <c r="AQ123" s="179"/>
      <c r="AR123" s="179"/>
      <c r="AS123" s="179"/>
      <c r="AT123" s="179"/>
      <c r="AU123" s="179"/>
      <c r="AV123" s="179"/>
      <c r="AW123" s="179"/>
      <c r="AX123" s="179"/>
      <c r="AY123" s="179"/>
      <c r="AZ123" s="179"/>
      <c r="BA123" s="179"/>
      <c r="BB123" s="179"/>
      <c r="BC123" s="179"/>
      <c r="BD123" s="179"/>
      <c r="BE123" s="179"/>
      <c r="BF123" s="179"/>
      <c r="BG123" s="179"/>
      <c r="BH123" s="179"/>
      <c r="BI123" s="179"/>
      <c r="BJ123" s="338"/>
    </row>
    <row r="124" ht="15.75" customHeight="1">
      <c r="A124" s="94"/>
      <c r="B124" s="95"/>
      <c r="C124" s="103"/>
      <c r="D124" s="193">
        <f>COUNTIF(BB30:BB69,"AVANÇADO")</f>
        <v>11</v>
      </c>
      <c r="E124" s="425">
        <f>SUM(D124/C18*100)</f>
        <v>37.93103448</v>
      </c>
      <c r="F124" s="431" t="s">
        <v>95</v>
      </c>
      <c r="G124" s="427"/>
      <c r="H124" s="427"/>
      <c r="I124" s="428"/>
      <c r="K124" s="178"/>
      <c r="L124" s="179" t="s">
        <v>365</v>
      </c>
      <c r="BJ124" s="338"/>
    </row>
    <row r="125" ht="15.75" customHeight="1">
      <c r="A125" s="94"/>
      <c r="B125" s="95"/>
      <c r="C125" s="103"/>
      <c r="D125" s="226"/>
      <c r="E125" s="226"/>
      <c r="F125" s="226"/>
      <c r="G125" s="226"/>
      <c r="H125" s="432"/>
      <c r="I125" s="226"/>
      <c r="K125" s="178"/>
      <c r="L125" s="179" t="s">
        <v>366</v>
      </c>
      <c r="BJ125" s="338"/>
    </row>
    <row r="126" ht="15.75" customHeight="1">
      <c r="A126" s="94"/>
      <c r="B126" s="95"/>
      <c r="C126" s="103"/>
      <c r="D126" s="433" t="s">
        <v>16</v>
      </c>
      <c r="E126" s="434"/>
      <c r="F126" s="434"/>
      <c r="G126" s="434"/>
      <c r="H126" s="434"/>
      <c r="I126" s="435"/>
      <c r="K126" s="178"/>
      <c r="L126" s="179" t="s">
        <v>367</v>
      </c>
      <c r="BJ126" s="338"/>
    </row>
    <row r="127" ht="15.75" customHeight="1">
      <c r="A127" s="94"/>
      <c r="B127" s="95"/>
      <c r="C127" s="103"/>
      <c r="D127" s="420" t="s">
        <v>10</v>
      </c>
      <c r="E127" s="421" t="s">
        <v>54</v>
      </c>
      <c r="F127" s="422" t="s">
        <v>90</v>
      </c>
      <c r="G127" s="423"/>
      <c r="H127" s="423"/>
      <c r="I127" s="424"/>
      <c r="K127" s="178"/>
      <c r="L127" s="179" t="s">
        <v>368</v>
      </c>
      <c r="BJ127" s="338"/>
    </row>
    <row r="128" ht="15.75" customHeight="1">
      <c r="A128" s="94"/>
      <c r="B128" s="95"/>
      <c r="C128" s="103"/>
      <c r="D128" s="193">
        <f>COUNTIF(BF30:BF69,"ABAIXO DO BÁSICO")</f>
        <v>4</v>
      </c>
      <c r="E128" s="425">
        <f>SUM(D128/C18*100)</f>
        <v>13.79310345</v>
      </c>
      <c r="F128" s="426" t="s">
        <v>91</v>
      </c>
      <c r="G128" s="436"/>
      <c r="H128" s="436"/>
      <c r="I128" s="437"/>
      <c r="K128" s="178"/>
      <c r="L128" s="179"/>
      <c r="BJ128" s="338"/>
    </row>
    <row r="129" ht="15.75" customHeight="1">
      <c r="A129" s="94"/>
      <c r="B129" s="95"/>
      <c r="C129" s="103"/>
      <c r="D129" s="193">
        <f>COUNTIF(BF30:BF69,"BÁSICO")</f>
        <v>10</v>
      </c>
      <c r="E129" s="425">
        <f>SUM(D129/C18*100)</f>
        <v>34.48275862</v>
      </c>
      <c r="F129" s="429" t="s">
        <v>92</v>
      </c>
      <c r="G129" s="436"/>
      <c r="H129" s="436"/>
      <c r="I129" s="437"/>
      <c r="K129" s="178"/>
      <c r="L129" s="179" t="s">
        <v>369</v>
      </c>
      <c r="BJ129" s="338"/>
    </row>
    <row r="130" ht="15.75" customHeight="1">
      <c r="A130" s="94"/>
      <c r="B130" s="95"/>
      <c r="C130" s="103"/>
      <c r="D130" s="193">
        <f>COUNTIF(BF30:BF69,"ADEQUADO")</f>
        <v>12</v>
      </c>
      <c r="E130" s="425">
        <f>SUM(D130/C18*100)</f>
        <v>41.37931034</v>
      </c>
      <c r="F130" s="430" t="s">
        <v>94</v>
      </c>
      <c r="G130" s="436"/>
      <c r="H130" s="436"/>
      <c r="I130" s="437"/>
      <c r="K130" s="178"/>
      <c r="L130" s="179" t="s">
        <v>370</v>
      </c>
      <c r="BJ130" s="338"/>
    </row>
    <row r="131" ht="15.75" customHeight="1">
      <c r="A131" s="94"/>
      <c r="B131" s="95"/>
      <c r="C131" s="103"/>
      <c r="D131" s="193">
        <f>COUNTIF(BF30:BF69,"AVANÇADO")</f>
        <v>3</v>
      </c>
      <c r="E131" s="425">
        <f>SUM(D131/C18*100)</f>
        <v>10.34482759</v>
      </c>
      <c r="F131" s="431" t="s">
        <v>95</v>
      </c>
      <c r="G131" s="436"/>
      <c r="H131" s="436"/>
      <c r="I131" s="437"/>
      <c r="K131" s="178"/>
      <c r="L131" s="179" t="s">
        <v>371</v>
      </c>
      <c r="BJ131" s="338"/>
    </row>
    <row r="132" ht="15.75" customHeight="1">
      <c r="A132" s="94"/>
      <c r="B132" s="95"/>
      <c r="C132" s="103"/>
      <c r="D132" s="226"/>
      <c r="E132" s="226"/>
      <c r="F132" s="226"/>
      <c r="G132" s="226"/>
      <c r="H132" s="226"/>
      <c r="I132" s="226"/>
      <c r="K132" s="178"/>
      <c r="L132" s="179"/>
      <c r="BJ132" s="338"/>
    </row>
    <row r="133" ht="15.75" customHeight="1">
      <c r="A133" s="94"/>
      <c r="B133" s="95"/>
      <c r="C133" s="103"/>
      <c r="D133" s="438" t="s">
        <v>17</v>
      </c>
      <c r="E133" s="439"/>
      <c r="F133" s="439"/>
      <c r="G133" s="439"/>
      <c r="H133" s="439"/>
      <c r="I133" s="440"/>
      <c r="K133" s="178"/>
      <c r="L133" s="179" t="s">
        <v>372</v>
      </c>
      <c r="BJ133" s="338"/>
    </row>
    <row r="134" ht="15.75" customHeight="1">
      <c r="A134" s="94"/>
      <c r="B134" s="95"/>
      <c r="C134" s="103"/>
      <c r="D134" s="420" t="s">
        <v>10</v>
      </c>
      <c r="E134" s="421" t="s">
        <v>54</v>
      </c>
      <c r="F134" s="422" t="s">
        <v>90</v>
      </c>
      <c r="G134" s="423"/>
      <c r="H134" s="423"/>
      <c r="I134" s="424"/>
      <c r="K134" s="178"/>
      <c r="L134" s="179" t="s">
        <v>373</v>
      </c>
      <c r="BJ134" s="338"/>
    </row>
    <row r="135" ht="15.75" customHeight="1">
      <c r="A135" s="94"/>
      <c r="B135" s="95"/>
      <c r="C135" s="103"/>
      <c r="D135" s="193">
        <f>COUNTIF(BI30:BI69,"ABAIXO DO BÁSICO")</f>
        <v>0</v>
      </c>
      <c r="E135" s="425">
        <f>SUM(D135/C18*100)</f>
        <v>0</v>
      </c>
      <c r="F135" s="426" t="s">
        <v>91</v>
      </c>
      <c r="G135" s="427"/>
      <c r="H135" s="427"/>
      <c r="I135" s="428"/>
      <c r="K135" s="178"/>
      <c r="L135" s="179" t="s">
        <v>374</v>
      </c>
      <c r="BJ135" s="338"/>
    </row>
    <row r="136" ht="15.75" customHeight="1">
      <c r="A136" s="94"/>
      <c r="B136" s="95"/>
      <c r="C136" s="103"/>
      <c r="D136" s="193">
        <f>COUNTIF(BI30:BI69,"BÁSICO")</f>
        <v>11</v>
      </c>
      <c r="E136" s="425">
        <f>SUM(D136/C18*100)</f>
        <v>37.93103448</v>
      </c>
      <c r="F136" s="429" t="s">
        <v>92</v>
      </c>
      <c r="G136" s="427"/>
      <c r="H136" s="427"/>
      <c r="I136" s="428"/>
      <c r="K136" s="178"/>
      <c r="BJ136" s="338"/>
    </row>
    <row r="137" ht="15.75" customHeight="1">
      <c r="A137" s="94"/>
      <c r="B137" s="95"/>
      <c r="C137" s="103"/>
      <c r="D137" s="193">
        <f>COUNTIF(BI30:BI69,"ADEQUADO")</f>
        <v>10</v>
      </c>
      <c r="E137" s="425">
        <f>SUM(D137/C18*100)</f>
        <v>34.48275862</v>
      </c>
      <c r="F137" s="430" t="s">
        <v>94</v>
      </c>
      <c r="G137" s="427"/>
      <c r="H137" s="427"/>
      <c r="I137" s="428"/>
      <c r="K137" s="178"/>
      <c r="BJ137" s="338"/>
    </row>
    <row r="138" ht="15.75" customHeight="1">
      <c r="A138" s="84"/>
      <c r="B138" s="85"/>
      <c r="C138" s="146"/>
      <c r="D138" s="193">
        <f>COUNTIF(BI30:BI69,"AVANÇADO")</f>
        <v>8</v>
      </c>
      <c r="E138" s="425">
        <f>SUM(D138/C18*100)</f>
        <v>27.5862069</v>
      </c>
      <c r="F138" s="431" t="s">
        <v>95</v>
      </c>
      <c r="G138" s="427"/>
      <c r="H138" s="427"/>
      <c r="I138" s="428"/>
      <c r="K138" s="223"/>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c r="BC138" s="224"/>
      <c r="BD138" s="224"/>
      <c r="BE138" s="224"/>
      <c r="BF138" s="224"/>
      <c r="BG138" s="224"/>
      <c r="BH138" s="224"/>
      <c r="BI138" s="224"/>
      <c r="BJ138" s="340"/>
    </row>
    <row r="139" ht="15.75" customHeight="1"/>
    <row r="140" ht="15.75" customHeight="1"/>
    <row r="141" ht="15.75" customHeight="1"/>
    <row r="142" ht="15.75" customHeight="1"/>
    <row r="143" ht="15.75" customHeight="1"/>
    <row r="144" ht="15.75" customHeight="1"/>
    <row r="145" ht="15.75" customHeight="1"/>
    <row r="146" ht="73.5" customHeight="1">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180"/>
    </row>
    <row r="147" ht="15.75" customHeight="1"/>
    <row r="148" ht="15.75" customHeight="1">
      <c r="BA148" s="226" t="s">
        <v>107</v>
      </c>
    </row>
    <row r="149" ht="15.75" customHeight="1">
      <c r="AL149" s="227"/>
      <c r="AM149" s="227"/>
      <c r="AN149" s="227"/>
      <c r="AO149" s="227"/>
      <c r="AP149" s="227"/>
      <c r="AQ149" s="227"/>
      <c r="AR149" s="227"/>
      <c r="AS149" s="227"/>
      <c r="AT149" s="227"/>
      <c r="AU149" s="227"/>
      <c r="AV149" s="227"/>
      <c r="AW149" s="227"/>
      <c r="AX149" s="227"/>
      <c r="BA149" s="227" t="s">
        <v>108</v>
      </c>
    </row>
    <row r="150" ht="15.75" customHeight="1"/>
  </sheetData>
  <mergeCells count="60">
    <mergeCell ref="A19:B19"/>
    <mergeCell ref="A20:B20"/>
    <mergeCell ref="A21:B21"/>
    <mergeCell ref="A23:C23"/>
    <mergeCell ref="D25:BB25"/>
    <mergeCell ref="BD25:BI25"/>
    <mergeCell ref="A26:A29"/>
    <mergeCell ref="BI27:BI29"/>
    <mergeCell ref="BG26:BI26"/>
    <mergeCell ref="AV27:AV29"/>
    <mergeCell ref="AW27:AW29"/>
    <mergeCell ref="AX27:AX29"/>
    <mergeCell ref="AY27:AY29"/>
    <mergeCell ref="AZ27:AZ29"/>
    <mergeCell ref="BA27:BA29"/>
    <mergeCell ref="B26:B29"/>
    <mergeCell ref="C26:C29"/>
    <mergeCell ref="A70:C70"/>
    <mergeCell ref="D72:AI72"/>
    <mergeCell ref="AK72:AT73"/>
    <mergeCell ref="D73:E74"/>
    <mergeCell ref="F73:F74"/>
    <mergeCell ref="G73:G74"/>
    <mergeCell ref="H73:AI74"/>
    <mergeCell ref="D75:D95"/>
    <mergeCell ref="AK75:AK95"/>
    <mergeCell ref="D96:D117"/>
    <mergeCell ref="AK96:AK117"/>
    <mergeCell ref="L122:T122"/>
    <mergeCell ref="D6:AX7"/>
    <mergeCell ref="D9:AX10"/>
    <mergeCell ref="D12:AX12"/>
    <mergeCell ref="A15:C15"/>
    <mergeCell ref="A16:C16"/>
    <mergeCell ref="A17:C17"/>
    <mergeCell ref="A18:B18"/>
    <mergeCell ref="D26:X26"/>
    <mergeCell ref="Y26:AT26"/>
    <mergeCell ref="AV26:BB26"/>
    <mergeCell ref="BD26:BF26"/>
    <mergeCell ref="BB27:BB29"/>
    <mergeCell ref="BD27:BD29"/>
    <mergeCell ref="BE27:BE29"/>
    <mergeCell ref="BF27:BF29"/>
    <mergeCell ref="BG27:BG29"/>
    <mergeCell ref="BH27:BH29"/>
    <mergeCell ref="L131:BI131"/>
    <mergeCell ref="L132:BI132"/>
    <mergeCell ref="L133:BI133"/>
    <mergeCell ref="L134:BI134"/>
    <mergeCell ref="L135:BI135"/>
    <mergeCell ref="L136:BI136"/>
    <mergeCell ref="L137:BI137"/>
    <mergeCell ref="L124:BI124"/>
    <mergeCell ref="L125:BI125"/>
    <mergeCell ref="L126:BI126"/>
    <mergeCell ref="L127:BI127"/>
    <mergeCell ref="L128:BI128"/>
    <mergeCell ref="L129:BI129"/>
    <mergeCell ref="L130:BI130"/>
  </mergeCells>
  <conditionalFormatting sqref="C30:C69">
    <cfRule type="containsText" dxfId="6" priority="1" operator="containsText" text="NÃO">
      <formula>NOT(ISERROR(SEARCH(("NÃO"),(C30))))</formula>
    </cfRule>
  </conditionalFormatting>
  <conditionalFormatting sqref="C30:C69">
    <cfRule type="containsText" dxfId="1" priority="2" operator="containsText" text="SIM">
      <formula>NOT(ISERROR(SEARCH(("SIM"),(C30))))</formula>
    </cfRule>
  </conditionalFormatting>
  <conditionalFormatting sqref="AV30:AZ69">
    <cfRule type="containsText" dxfId="6" priority="3" operator="containsText" text="F">
      <formula>NOT(ISERROR(SEARCH(("F"),(AV30))))</formula>
    </cfRule>
  </conditionalFormatting>
  <conditionalFormatting sqref="F30:F69">
    <cfRule type="containsText" dxfId="5" priority="4" operator="containsText" text="B">
      <formula>NOT(ISERROR(SEARCH(("B"),(F30))))</formula>
    </cfRule>
  </conditionalFormatting>
  <conditionalFormatting sqref="F30:F69">
    <cfRule type="containsText" dxfId="4" priority="5" operator="containsText" text="C">
      <formula>NOT(ISERROR(SEARCH(("C"),(F30))))</formula>
    </cfRule>
  </conditionalFormatting>
  <conditionalFormatting sqref="F30:F69">
    <cfRule type="containsText" dxfId="5" priority="6" operator="containsText" text="D">
      <formula>NOT(ISERROR(SEARCH(("D"),(F30))))</formula>
    </cfRule>
  </conditionalFormatting>
  <conditionalFormatting sqref="G30:G69">
    <cfRule type="containsText" dxfId="5" priority="7" operator="containsText" text="A">
      <formula>NOT(ISERROR(SEARCH(("A"),(G30))))</formula>
    </cfRule>
  </conditionalFormatting>
  <conditionalFormatting sqref="G30:G69">
    <cfRule type="containsText" dxfId="4" priority="8" operator="containsText" text="B">
      <formula>NOT(ISERROR(SEARCH(("B"),(G30))))</formula>
    </cfRule>
  </conditionalFormatting>
  <conditionalFormatting sqref="G30:G69">
    <cfRule type="containsText" dxfId="5" priority="9" operator="containsText" text="C">
      <formula>NOT(ISERROR(SEARCH(("C"),(G30))))</formula>
    </cfRule>
  </conditionalFormatting>
  <conditionalFormatting sqref="G30:G69">
    <cfRule type="containsText" dxfId="11" priority="10" operator="containsText" text="D">
      <formula>NOT(ISERROR(SEARCH(("D"),(G30))))</formula>
    </cfRule>
  </conditionalFormatting>
  <conditionalFormatting sqref="H30:H69">
    <cfRule type="containsText" dxfId="5" priority="11" operator="containsText" text="A">
      <formula>NOT(ISERROR(SEARCH(("A"),(H30))))</formula>
    </cfRule>
  </conditionalFormatting>
  <conditionalFormatting sqref="H30:H69">
    <cfRule type="containsText" dxfId="4" priority="12" operator="containsText" text="B">
      <formula>NOT(ISERROR(SEARCH(("B"),(H30))))</formula>
    </cfRule>
  </conditionalFormatting>
  <conditionalFormatting sqref="H30:H69">
    <cfRule type="containsText" dxfId="5" priority="13" operator="containsText" text="C">
      <formula>NOT(ISERROR(SEARCH(("C"),(H30))))</formula>
    </cfRule>
  </conditionalFormatting>
  <conditionalFormatting sqref="H30:H69">
    <cfRule type="containsText" dxfId="5" priority="14" operator="containsText" text="D">
      <formula>NOT(ISERROR(SEARCH(("D"),(H30))))</formula>
    </cfRule>
  </conditionalFormatting>
  <conditionalFormatting sqref="I30:I69">
    <cfRule type="containsText" dxfId="11" priority="15" operator="containsText" text="A">
      <formula>NOT(ISERROR(SEARCH(("A"),(I30))))</formula>
    </cfRule>
  </conditionalFormatting>
  <conditionalFormatting sqref="I30:I69">
    <cfRule type="containsText" dxfId="5" priority="16" operator="containsText" text="B">
      <formula>NOT(ISERROR(SEARCH(("B"),(I30))))</formula>
    </cfRule>
  </conditionalFormatting>
  <conditionalFormatting sqref="I30:I69">
    <cfRule type="containsText" dxfId="5" priority="17" operator="containsText" text="C">
      <formula>NOT(ISERROR(SEARCH(("C"),(I30))))</formula>
    </cfRule>
  </conditionalFormatting>
  <conditionalFormatting sqref="I30:I69">
    <cfRule type="containsText" dxfId="4" priority="18" operator="containsText" text="D">
      <formula>NOT(ISERROR(SEARCH(("D"),(I30))))</formula>
    </cfRule>
  </conditionalFormatting>
  <conditionalFormatting sqref="J30:J69">
    <cfRule type="containsText" dxfId="5" priority="19" operator="containsText" text="A">
      <formula>NOT(ISERROR(SEARCH(("A"),(J30))))</formula>
    </cfRule>
  </conditionalFormatting>
  <conditionalFormatting sqref="J30:J69">
    <cfRule type="containsText" dxfId="4" priority="20" operator="containsText" text="B">
      <formula>NOT(ISERROR(SEARCH(("B"),(J30))))</formula>
    </cfRule>
  </conditionalFormatting>
  <conditionalFormatting sqref="J30:J69">
    <cfRule type="containsText" dxfId="5" priority="21" operator="containsText" text="C">
      <formula>NOT(ISERROR(SEARCH(("C"),(J30))))</formula>
    </cfRule>
  </conditionalFormatting>
  <conditionalFormatting sqref="J30:J69">
    <cfRule type="containsText" dxfId="5" priority="22" operator="containsText" text="D">
      <formula>NOT(ISERROR(SEARCH(("D"),(J30))))</formula>
    </cfRule>
  </conditionalFormatting>
  <conditionalFormatting sqref="K30:K69">
    <cfRule type="containsText" dxfId="11" priority="23" operator="containsText" text="A">
      <formula>NOT(ISERROR(SEARCH(("A"),(K30))))</formula>
    </cfRule>
  </conditionalFormatting>
  <conditionalFormatting sqref="K30:K69">
    <cfRule type="containsText" dxfId="4" priority="24" operator="containsText" text="B">
      <formula>NOT(ISERROR(SEARCH(("B"),(K30))))</formula>
    </cfRule>
  </conditionalFormatting>
  <conditionalFormatting sqref="K30:K69">
    <cfRule type="containsText" dxfId="5" priority="25" operator="containsText" text="C">
      <formula>NOT(ISERROR(SEARCH(("C"),(K30))))</formula>
    </cfRule>
  </conditionalFormatting>
  <conditionalFormatting sqref="K30:K69">
    <cfRule type="containsText" dxfId="5" priority="26" operator="containsText" text="D">
      <formula>NOT(ISERROR(SEARCH(("D"),(K30))))</formula>
    </cfRule>
  </conditionalFormatting>
  <conditionalFormatting sqref="L30:L69">
    <cfRule type="containsText" dxfId="4" priority="27" operator="containsText" text="A">
      <formula>NOT(ISERROR(SEARCH(("A"),(L30))))</formula>
    </cfRule>
  </conditionalFormatting>
  <conditionalFormatting sqref="L30:L69">
    <cfRule type="containsText" dxfId="5" priority="28" operator="containsText" text="B">
      <formula>NOT(ISERROR(SEARCH(("B"),(L30))))</formula>
    </cfRule>
  </conditionalFormatting>
  <conditionalFormatting sqref="L30:L69">
    <cfRule type="containsText" dxfId="5" priority="29" operator="containsText" text="C">
      <formula>NOT(ISERROR(SEARCH(("C"),(L30))))</formula>
    </cfRule>
  </conditionalFormatting>
  <conditionalFormatting sqref="L30:L69">
    <cfRule type="containsText" dxfId="11" priority="30" operator="containsText" text="D">
      <formula>NOT(ISERROR(SEARCH(("D"),(L30))))</formula>
    </cfRule>
  </conditionalFormatting>
  <conditionalFormatting sqref="M30:M69">
    <cfRule type="containsText" dxfId="5" priority="31" operator="containsText" text="A">
      <formula>NOT(ISERROR(SEARCH(("A"),(M30))))</formula>
    </cfRule>
  </conditionalFormatting>
  <conditionalFormatting sqref="M30:M69">
    <cfRule type="containsText" dxfId="4" priority="32" operator="containsText" text="B">
      <formula>NOT(ISERROR(SEARCH(("B"),(M30))))</formula>
    </cfRule>
  </conditionalFormatting>
  <conditionalFormatting sqref="M30:M69">
    <cfRule type="containsText" dxfId="5" priority="33" operator="containsText" text="C">
      <formula>NOT(ISERROR(SEARCH(("C"),(M30))))</formula>
    </cfRule>
  </conditionalFormatting>
  <conditionalFormatting sqref="M30:M69">
    <cfRule type="containsText" dxfId="5" priority="34" operator="containsText" text="D">
      <formula>NOT(ISERROR(SEARCH(("D"),(M30))))</formula>
    </cfRule>
  </conditionalFormatting>
  <conditionalFormatting sqref="N30:N69">
    <cfRule type="containsText" dxfId="5" priority="35" operator="containsText" text="A">
      <formula>NOT(ISERROR(SEARCH(("A"),(N30))))</formula>
    </cfRule>
  </conditionalFormatting>
  <conditionalFormatting sqref="N30:N69">
    <cfRule type="containsText" dxfId="11" priority="36" operator="containsText" text="B">
      <formula>NOT(ISERROR(SEARCH(("B"),(N30))))</formula>
    </cfRule>
  </conditionalFormatting>
  <conditionalFormatting sqref="N30:N69">
    <cfRule type="containsText" dxfId="4" priority="37" operator="containsText" text="C">
      <formula>NOT(ISERROR(SEARCH(("C"),(N30))))</formula>
    </cfRule>
  </conditionalFormatting>
  <conditionalFormatting sqref="N30:N69">
    <cfRule type="containsText" dxfId="5" priority="38" operator="containsText" text="D">
      <formula>NOT(ISERROR(SEARCH(("D"),(N30))))</formula>
    </cfRule>
  </conditionalFormatting>
  <conditionalFormatting sqref="O30:O69">
    <cfRule type="containsText" dxfId="5" priority="39" operator="containsText" text="A">
      <formula>NOT(ISERROR(SEARCH(("A"),(O30))))</formula>
    </cfRule>
  </conditionalFormatting>
  <conditionalFormatting sqref="O30:O69">
    <cfRule type="containsText" dxfId="5" priority="40" operator="containsText" text="B">
      <formula>NOT(ISERROR(SEARCH(("B"),(O30))))</formula>
    </cfRule>
  </conditionalFormatting>
  <conditionalFormatting sqref="O30:O69">
    <cfRule type="containsText" dxfId="4" priority="41" operator="containsText" text="C">
      <formula>NOT(ISERROR(SEARCH(("C"),(O30))))</formula>
    </cfRule>
  </conditionalFormatting>
  <conditionalFormatting sqref="O30:O69">
    <cfRule type="containsText" dxfId="5" priority="42" operator="containsText" text="D">
      <formula>NOT(ISERROR(SEARCH(("D"),(O30))))</formula>
    </cfRule>
  </conditionalFormatting>
  <conditionalFormatting sqref="P30:P69">
    <cfRule type="containsText" dxfId="4" priority="43" operator="containsText" text="A">
      <formula>NOT(ISERROR(SEARCH(("A"),(P30))))</formula>
    </cfRule>
  </conditionalFormatting>
  <conditionalFormatting sqref="P30:P69">
    <cfRule type="containsText" dxfId="5" priority="44" operator="containsText" text="B">
      <formula>NOT(ISERROR(SEARCH(("B"),(P30))))</formula>
    </cfRule>
  </conditionalFormatting>
  <conditionalFormatting sqref="P30:P69">
    <cfRule type="containsText" dxfId="5" priority="45" operator="containsText" text="C">
      <formula>NOT(ISERROR(SEARCH(("C"),(P30))))</formula>
    </cfRule>
  </conditionalFormatting>
  <conditionalFormatting sqref="P30:P69">
    <cfRule type="containsText" dxfId="5" priority="46" operator="containsText" text="D">
      <formula>NOT(ISERROR(SEARCH(("D"),(P30))))</formula>
    </cfRule>
  </conditionalFormatting>
  <conditionalFormatting sqref="Q30:Q69">
    <cfRule type="containsText" dxfId="11" priority="47" operator="containsText" text="A">
      <formula>NOT(ISERROR(SEARCH(("A"),(Q30))))</formula>
    </cfRule>
  </conditionalFormatting>
  <conditionalFormatting sqref="Q30:Q69">
    <cfRule type="containsText" dxfId="12" priority="48" operator="containsText" text="B">
      <formula>NOT(ISERROR(SEARCH(("B"),(Q30))))</formula>
    </cfRule>
  </conditionalFormatting>
  <conditionalFormatting sqref="Q30:Q69">
    <cfRule type="containsText" dxfId="11" priority="49" operator="containsText" text="C">
      <formula>NOT(ISERROR(SEARCH(("C"),(Q30))))</formula>
    </cfRule>
  </conditionalFormatting>
  <conditionalFormatting sqref="Q30:Q69">
    <cfRule type="containsText" dxfId="5" priority="50" operator="containsText" text="D">
      <formula>NOT(ISERROR(SEARCH(("D"),(Q30))))</formula>
    </cfRule>
  </conditionalFormatting>
  <conditionalFormatting sqref="R30:R69">
    <cfRule type="containsText" dxfId="5" priority="51" operator="containsText" text="A">
      <formula>NOT(ISERROR(SEARCH(("A"),(R30))))</formula>
    </cfRule>
  </conditionalFormatting>
  <conditionalFormatting sqref="R30:R69">
    <cfRule type="containsText" dxfId="5" priority="52" operator="containsText" text="B">
      <formula>NOT(ISERROR(SEARCH(("B"),(R30))))</formula>
    </cfRule>
  </conditionalFormatting>
  <conditionalFormatting sqref="R30:R69">
    <cfRule type="containsText" dxfId="5" priority="53" operator="containsText" text="C">
      <formula>NOT(ISERROR(SEARCH(("C"),(R30))))</formula>
    </cfRule>
  </conditionalFormatting>
  <conditionalFormatting sqref="R30:R69">
    <cfRule type="containsText" dxfId="4" priority="54" operator="containsText" text="D">
      <formula>NOT(ISERROR(SEARCH(("D"),(R30))))</formula>
    </cfRule>
  </conditionalFormatting>
  <conditionalFormatting sqref="S30:S69">
    <cfRule type="containsText" dxfId="4" priority="55" operator="containsText" text="A">
      <formula>NOT(ISERROR(SEARCH(("A"),(S30))))</formula>
    </cfRule>
  </conditionalFormatting>
  <conditionalFormatting sqref="S30:S69">
    <cfRule type="containsText" dxfId="5" priority="56" operator="containsText" text="B">
      <formula>NOT(ISERROR(SEARCH(("B"),(S30))))</formula>
    </cfRule>
  </conditionalFormatting>
  <conditionalFormatting sqref="S30:S69">
    <cfRule type="containsText" dxfId="5" priority="57" operator="containsText" text="C">
      <formula>NOT(ISERROR(SEARCH(("C"),(S30))))</formula>
    </cfRule>
  </conditionalFormatting>
  <conditionalFormatting sqref="S30:S69">
    <cfRule type="containsText" dxfId="5" priority="58" operator="containsText" text="D">
      <formula>NOT(ISERROR(SEARCH(("D"),(S30))))</formula>
    </cfRule>
  </conditionalFormatting>
  <conditionalFormatting sqref="T30:T69">
    <cfRule type="containsText" dxfId="4" priority="59" operator="containsText" text="A">
      <formula>NOT(ISERROR(SEARCH(("A"),(T30))))</formula>
    </cfRule>
  </conditionalFormatting>
  <conditionalFormatting sqref="T30:T69">
    <cfRule type="containsText" dxfId="5" priority="60" operator="containsText" text="B">
      <formula>NOT(ISERROR(SEARCH(("B"),(T30))))</formula>
    </cfRule>
  </conditionalFormatting>
  <conditionalFormatting sqref="T30:T69">
    <cfRule type="containsText" dxfId="5" priority="61" operator="containsText" text="C">
      <formula>NOT(ISERROR(SEARCH(("C"),(T30))))</formula>
    </cfRule>
  </conditionalFormatting>
  <conditionalFormatting sqref="T30:T69">
    <cfRule type="containsText" dxfId="5" priority="62" operator="containsText" text="D">
      <formula>NOT(ISERROR(SEARCH(("D"),(T30))))</formula>
    </cfRule>
  </conditionalFormatting>
  <conditionalFormatting sqref="U30:U69">
    <cfRule type="containsText" dxfId="4" priority="63" operator="containsText" text="A">
      <formula>NOT(ISERROR(SEARCH(("A"),(U30))))</formula>
    </cfRule>
  </conditionalFormatting>
  <conditionalFormatting sqref="U30:U69">
    <cfRule type="containsText" dxfId="5" priority="64" operator="containsText" text="B">
      <formula>NOT(ISERROR(SEARCH(("B"),(U30))))</formula>
    </cfRule>
  </conditionalFormatting>
  <conditionalFormatting sqref="U30:U69">
    <cfRule type="containsText" dxfId="5" priority="65" operator="containsText" text="C">
      <formula>NOT(ISERROR(SEARCH(("C"),(U30))))</formula>
    </cfRule>
  </conditionalFormatting>
  <conditionalFormatting sqref="U30:U69">
    <cfRule type="containsText" dxfId="5" priority="66" operator="containsText" text="D">
      <formula>NOT(ISERROR(SEARCH(("D"),(U30))))</formula>
    </cfRule>
  </conditionalFormatting>
  <conditionalFormatting sqref="V30:V69">
    <cfRule type="containsText" dxfId="5" priority="67" operator="containsText" text="A">
      <formula>NOT(ISERROR(SEARCH(("A"),(V30))))</formula>
    </cfRule>
  </conditionalFormatting>
  <conditionalFormatting sqref="V30:V69">
    <cfRule type="containsText" dxfId="5" priority="68" operator="containsText" text="B">
      <formula>NOT(ISERROR(SEARCH(("B"),(V30))))</formula>
    </cfRule>
  </conditionalFormatting>
  <conditionalFormatting sqref="V30:V69">
    <cfRule type="containsText" dxfId="4" priority="69" operator="containsText" text="C">
      <formula>NOT(ISERROR(SEARCH(("C"),(V30))))</formula>
    </cfRule>
  </conditionalFormatting>
  <conditionalFormatting sqref="V30:V69">
    <cfRule type="containsText" dxfId="5" priority="70" operator="containsText" text="D">
      <formula>NOT(ISERROR(SEARCH(("D"),(V30))))</formula>
    </cfRule>
  </conditionalFormatting>
  <conditionalFormatting sqref="W30:W69">
    <cfRule type="containsText" dxfId="5" priority="71" operator="containsText" text="A">
      <formula>NOT(ISERROR(SEARCH(("A"),(W30))))</formula>
    </cfRule>
  </conditionalFormatting>
  <conditionalFormatting sqref="W30:W69">
    <cfRule type="containsText" dxfId="5" priority="72" operator="containsText" text="B">
      <formula>NOT(ISERROR(SEARCH(("B"),(W30))))</formula>
    </cfRule>
  </conditionalFormatting>
  <conditionalFormatting sqref="W30:W69">
    <cfRule type="containsText" dxfId="5" priority="73" operator="containsText" text="C">
      <formula>NOT(ISERROR(SEARCH(("C"),(W30))))</formula>
    </cfRule>
  </conditionalFormatting>
  <conditionalFormatting sqref="W30:W69">
    <cfRule type="containsText" dxfId="4" priority="74" operator="containsText" text="D">
      <formula>NOT(ISERROR(SEARCH(("D"),(W30))))</formula>
    </cfRule>
  </conditionalFormatting>
  <conditionalFormatting sqref="X30:X69">
    <cfRule type="containsText" dxfId="5" priority="75" operator="containsText" text="A">
      <formula>NOT(ISERROR(SEARCH(("A"),(X30))))</formula>
    </cfRule>
  </conditionalFormatting>
  <conditionalFormatting sqref="X30:X69">
    <cfRule type="containsText" dxfId="12" priority="76" operator="containsText" text="B">
      <formula>NOT(ISERROR(SEARCH(("B"),(X30))))</formula>
    </cfRule>
  </conditionalFormatting>
  <conditionalFormatting sqref="X30:X69">
    <cfRule type="containsText" dxfId="11" priority="77" operator="containsText" text="C">
      <formula>NOT(ISERROR(SEARCH(("C"),(X30))))</formula>
    </cfRule>
  </conditionalFormatting>
  <conditionalFormatting sqref="X30:X69">
    <cfRule type="containsText" dxfId="11" priority="78" operator="containsText" text="D">
      <formula>NOT(ISERROR(SEARCH(("D"),(X30))))</formula>
    </cfRule>
  </conditionalFormatting>
  <conditionalFormatting sqref="Y30:Y69">
    <cfRule type="containsText" dxfId="4" priority="79" operator="containsText" text="A">
      <formula>NOT(ISERROR(SEARCH(("A"),(Y30))))</formula>
    </cfRule>
  </conditionalFormatting>
  <conditionalFormatting sqref="Y30:Y69">
    <cfRule type="containsText" dxfId="5" priority="80" operator="containsText" text="B">
      <formula>NOT(ISERROR(SEARCH(("B"),(Y30))))</formula>
    </cfRule>
  </conditionalFormatting>
  <conditionalFormatting sqref="Y30:Y69">
    <cfRule type="containsText" dxfId="5" priority="81" operator="containsText" text="C">
      <formula>NOT(ISERROR(SEARCH(("C"),(Y30))))</formula>
    </cfRule>
  </conditionalFormatting>
  <conditionalFormatting sqref="Y30:Y69">
    <cfRule type="containsText" dxfId="5" priority="82" operator="containsText" text="D">
      <formula>NOT(ISERROR(SEARCH(("D"),(Y30))))</formula>
    </cfRule>
  </conditionalFormatting>
  <conditionalFormatting sqref="AB30:AB69">
    <cfRule type="containsText" dxfId="5" priority="83" operator="containsText" text="A">
      <formula>NOT(ISERROR(SEARCH(("A"),(AB30))))</formula>
    </cfRule>
  </conditionalFormatting>
  <conditionalFormatting sqref="AB30:AB69">
    <cfRule type="containsText" dxfId="5" priority="84" operator="containsText" text="B">
      <formula>NOT(ISERROR(SEARCH(("B"),(AB30))))</formula>
    </cfRule>
  </conditionalFormatting>
  <conditionalFormatting sqref="AB30:AB69">
    <cfRule type="containsText" dxfId="5" priority="85" operator="containsText" text="C">
      <formula>NOT(ISERROR(SEARCH(("C"),(AB30))))</formula>
    </cfRule>
  </conditionalFormatting>
  <conditionalFormatting sqref="AB30:AB69">
    <cfRule type="containsText" dxfId="4" priority="86" operator="containsText" text="D">
      <formula>NOT(ISERROR(SEARCH(("D"),(AB30))))</formula>
    </cfRule>
  </conditionalFormatting>
  <conditionalFormatting sqref="AC30:AC69">
    <cfRule type="containsText" dxfId="5" priority="87" operator="containsText" text="A">
      <formula>NOT(ISERROR(SEARCH(("A"),(AC30))))</formula>
    </cfRule>
  </conditionalFormatting>
  <conditionalFormatting sqref="AC30:AC69">
    <cfRule type="containsText" dxfId="5" priority="88" operator="containsText" text="B">
      <formula>NOT(ISERROR(SEARCH(("B"),(AC30))))</formula>
    </cfRule>
  </conditionalFormatting>
  <conditionalFormatting sqref="AC30:AC69">
    <cfRule type="containsText" dxfId="4" priority="89" operator="containsText" text="C">
      <formula>NOT(ISERROR(SEARCH(("C"),(AC30))))</formula>
    </cfRule>
  </conditionalFormatting>
  <conditionalFormatting sqref="AC30:AC69">
    <cfRule type="containsText" dxfId="5" priority="90" operator="containsText" text="D">
      <formula>NOT(ISERROR(SEARCH(("D"),(AC30))))</formula>
    </cfRule>
  </conditionalFormatting>
  <conditionalFormatting sqref="AD30:AD69">
    <cfRule type="containsText" dxfId="5" priority="91" operator="containsText" text="A">
      <formula>NOT(ISERROR(SEARCH(("A"),(AD30))))</formula>
    </cfRule>
  </conditionalFormatting>
  <conditionalFormatting sqref="AD30:AD69">
    <cfRule type="containsText" dxfId="5" priority="92" operator="containsText" text="B">
      <formula>NOT(ISERROR(SEARCH(("B"),(AD30))))</formula>
    </cfRule>
  </conditionalFormatting>
  <conditionalFormatting sqref="AD30:AD69">
    <cfRule type="containsText" dxfId="4" priority="93" operator="containsText" text="C">
      <formula>NOT(ISERROR(SEARCH(("C"),(AD30))))</formula>
    </cfRule>
  </conditionalFormatting>
  <conditionalFormatting sqref="AD30:AD69">
    <cfRule type="containsText" dxfId="5" priority="94" operator="containsText" text="D">
      <formula>NOT(ISERROR(SEARCH(("D"),(AD30))))</formula>
    </cfRule>
  </conditionalFormatting>
  <conditionalFormatting sqref="AE30:AE69">
    <cfRule type="containsText" dxfId="5" priority="95" operator="containsText" text="A">
      <formula>NOT(ISERROR(SEARCH(("A"),(AE30))))</formula>
    </cfRule>
  </conditionalFormatting>
  <conditionalFormatting sqref="AE30:AE69">
    <cfRule type="containsText" dxfId="4" priority="96" operator="containsText" text="B">
      <formula>NOT(ISERROR(SEARCH(("B"),(AE30))))</formula>
    </cfRule>
  </conditionalFormatting>
  <conditionalFormatting sqref="AE30:AE69">
    <cfRule type="containsText" dxfId="5" priority="97" operator="containsText" text="C">
      <formula>NOT(ISERROR(SEARCH(("C"),(AE30))))</formula>
    </cfRule>
  </conditionalFormatting>
  <conditionalFormatting sqref="AE30:AE69">
    <cfRule type="containsText" dxfId="5" priority="98" operator="containsText" text="D">
      <formula>NOT(ISERROR(SEARCH(("D"),(AE30))))</formula>
    </cfRule>
  </conditionalFormatting>
  <conditionalFormatting sqref="AF30:AF69">
    <cfRule type="containsText" dxfId="4" priority="99" operator="containsText" text="A">
      <formula>NOT(ISERROR(SEARCH(("A"),(AF30))))</formula>
    </cfRule>
  </conditionalFormatting>
  <conditionalFormatting sqref="AF30:AF69">
    <cfRule type="containsText" dxfId="5" priority="100" operator="containsText" text="B">
      <formula>NOT(ISERROR(SEARCH(("B"),(AF30))))</formula>
    </cfRule>
  </conditionalFormatting>
  <conditionalFormatting sqref="AF30:AF69">
    <cfRule type="containsText" dxfId="11" priority="101" operator="containsText" text="C">
      <formula>NOT(ISERROR(SEARCH(("C"),(AF30))))</formula>
    </cfRule>
  </conditionalFormatting>
  <conditionalFormatting sqref="AF30:AF69">
    <cfRule type="containsText" dxfId="11" priority="102" operator="containsText" text="D">
      <formula>NOT(ISERROR(SEARCH(("D"),(AF30))))</formula>
    </cfRule>
  </conditionalFormatting>
  <conditionalFormatting sqref="AG30:AG69">
    <cfRule type="containsText" dxfId="5" priority="103" operator="containsText" text="A">
      <formula>NOT(ISERROR(SEARCH(("A"),(AG30))))</formula>
    </cfRule>
  </conditionalFormatting>
  <conditionalFormatting sqref="AG30:AG69">
    <cfRule type="containsText" dxfId="5" priority="104" operator="containsText" text="B">
      <formula>NOT(ISERROR(SEARCH(("B"),(AG30))))</formula>
    </cfRule>
  </conditionalFormatting>
  <conditionalFormatting sqref="AG30:AG69">
    <cfRule type="containsText" dxfId="5" priority="105" operator="containsText" text="C">
      <formula>NOT(ISERROR(SEARCH(("C"),(AG30))))</formula>
    </cfRule>
  </conditionalFormatting>
  <conditionalFormatting sqref="AG30:AG69">
    <cfRule type="containsText" dxfId="4" priority="106" operator="containsText" text="D">
      <formula>NOT(ISERROR(SEARCH(("D"),(AG30))))</formula>
    </cfRule>
  </conditionalFormatting>
  <conditionalFormatting sqref="AH30:AH69">
    <cfRule type="containsText" dxfId="4" priority="107" operator="containsText" text="A">
      <formula>NOT(ISERROR(SEARCH(("A"),(AH30))))</formula>
    </cfRule>
  </conditionalFormatting>
  <conditionalFormatting sqref="AH30:AH69">
    <cfRule type="containsText" dxfId="5" priority="108" operator="containsText" text="B">
      <formula>NOT(ISERROR(SEARCH(("B"),(AH30))))</formula>
    </cfRule>
  </conditionalFormatting>
  <conditionalFormatting sqref="AH30:AH69">
    <cfRule type="containsText" dxfId="5" priority="109" operator="containsText" text="C">
      <formula>NOT(ISERROR(SEARCH(("C"),(AH30))))</formula>
    </cfRule>
  </conditionalFormatting>
  <conditionalFormatting sqref="AH30:AH69">
    <cfRule type="containsText" dxfId="5" priority="110" operator="containsText" text="D">
      <formula>NOT(ISERROR(SEARCH(("D"),(AH30))))</formula>
    </cfRule>
  </conditionalFormatting>
  <conditionalFormatting sqref="AI30:AI69">
    <cfRule type="containsText" dxfId="5" priority="111" operator="containsText" text="A">
      <formula>NOT(ISERROR(SEARCH(("A"),(AI30))))</formula>
    </cfRule>
  </conditionalFormatting>
  <conditionalFormatting sqref="AI30:AI69">
    <cfRule type="containsText" dxfId="5" priority="112" operator="containsText" text="B">
      <formula>NOT(ISERROR(SEARCH(("B"),(AI30))))</formula>
    </cfRule>
  </conditionalFormatting>
  <conditionalFormatting sqref="AI30:AI69">
    <cfRule type="containsText" dxfId="4" priority="113" operator="containsText" text="C">
      <formula>NOT(ISERROR(SEARCH(("C"),(AI30))))</formula>
    </cfRule>
  </conditionalFormatting>
  <conditionalFormatting sqref="AI30:AI69">
    <cfRule type="containsText" dxfId="5" priority="114" operator="containsText" text="D">
      <formula>NOT(ISERROR(SEARCH(("D"),(AI30))))</formula>
    </cfRule>
  </conditionalFormatting>
  <conditionalFormatting sqref="AJ30:AJ69">
    <cfRule type="containsText" dxfId="5" priority="115" operator="containsText" text="A">
      <formula>NOT(ISERROR(SEARCH(("A"),(AJ30))))</formula>
    </cfRule>
  </conditionalFormatting>
  <conditionalFormatting sqref="AJ30:AJ69">
    <cfRule type="containsText" dxfId="4" priority="116" operator="containsText" text="B">
      <formula>NOT(ISERROR(SEARCH(("B"),(AJ30))))</formula>
    </cfRule>
  </conditionalFormatting>
  <conditionalFormatting sqref="AJ30:AJ69">
    <cfRule type="containsText" dxfId="5" priority="117" operator="containsText" text="C">
      <formula>NOT(ISERROR(SEARCH(("C"),(AJ30))))</formula>
    </cfRule>
  </conditionalFormatting>
  <conditionalFormatting sqref="AJ30:AJ69">
    <cfRule type="containsText" dxfId="5" priority="118" operator="containsText" text="D">
      <formula>NOT(ISERROR(SEARCH(("D"),(AJ30))))</formula>
    </cfRule>
  </conditionalFormatting>
  <conditionalFormatting sqref="AK30:AK69">
    <cfRule type="containsText" dxfId="5" priority="119" operator="containsText" text="A">
      <formula>NOT(ISERROR(SEARCH(("A"),(AK30))))</formula>
    </cfRule>
  </conditionalFormatting>
  <conditionalFormatting sqref="AK30:AK69">
    <cfRule type="containsText" dxfId="5" priority="120" operator="containsText" text="B">
      <formula>NOT(ISERROR(SEARCH(("B"),(AK30))))</formula>
    </cfRule>
  </conditionalFormatting>
  <conditionalFormatting sqref="AK30:AK69">
    <cfRule type="containsText" dxfId="5" priority="121" operator="containsText" text="C">
      <formula>NOT(ISERROR(SEARCH(("C"),(AK30))))</formula>
    </cfRule>
  </conditionalFormatting>
  <conditionalFormatting sqref="AK30:AK69">
    <cfRule type="containsText" dxfId="4" priority="122" operator="containsText" text="D">
      <formula>NOT(ISERROR(SEARCH(("D"),(AK30))))</formula>
    </cfRule>
  </conditionalFormatting>
  <conditionalFormatting sqref="AL30:AL69">
    <cfRule type="containsText" dxfId="5" priority="123" operator="containsText" text="A">
      <formula>NOT(ISERROR(SEARCH(("A"),(AL30))))</formula>
    </cfRule>
  </conditionalFormatting>
  <conditionalFormatting sqref="AL30:AL69">
    <cfRule type="containsText" dxfId="4" priority="124" operator="containsText" text="B">
      <formula>NOT(ISERROR(SEARCH(("B"),(AL30))))</formula>
    </cfRule>
  </conditionalFormatting>
  <conditionalFormatting sqref="AL30:AL69">
    <cfRule type="containsText" dxfId="5" priority="125" operator="containsText" text="C">
      <formula>NOT(ISERROR(SEARCH(("C"),(AL30))))</formula>
    </cfRule>
  </conditionalFormatting>
  <conditionalFormatting sqref="AL30:AL69">
    <cfRule type="containsText" dxfId="5" priority="126" operator="containsText" text="D">
      <formula>NOT(ISERROR(SEARCH(("D"),(AL30))))</formula>
    </cfRule>
  </conditionalFormatting>
  <conditionalFormatting sqref="AM30:AM69">
    <cfRule type="containsText" dxfId="5" priority="127" operator="containsText" text="A">
      <formula>NOT(ISERROR(SEARCH(("A"),(AM30))))</formula>
    </cfRule>
  </conditionalFormatting>
  <conditionalFormatting sqref="AM30:AM69">
    <cfRule type="containsText" dxfId="5" priority="128" operator="containsText" text="B">
      <formula>NOT(ISERROR(SEARCH(("B"),(AM30))))</formula>
    </cfRule>
  </conditionalFormatting>
  <conditionalFormatting sqref="AM30:AM69">
    <cfRule type="containsText" dxfId="4" priority="129" operator="containsText" text="C">
      <formula>NOT(ISERROR(SEARCH(("C"),(AM30))))</formula>
    </cfRule>
  </conditionalFormatting>
  <conditionalFormatting sqref="AM30:AM69">
    <cfRule type="containsText" dxfId="5" priority="130" operator="containsText" text="D">
      <formula>NOT(ISERROR(SEARCH(("D"),(AM30))))</formula>
    </cfRule>
  </conditionalFormatting>
  <conditionalFormatting sqref="AN30:AN69">
    <cfRule type="containsText" dxfId="4" priority="131" operator="containsText" text="A">
      <formula>NOT(ISERROR(SEARCH(("A"),(AN30))))</formula>
    </cfRule>
  </conditionalFormatting>
  <conditionalFormatting sqref="AN30:AN69">
    <cfRule type="containsText" dxfId="5" priority="132" operator="containsText" text="B">
      <formula>NOT(ISERROR(SEARCH(("B"),(AN30))))</formula>
    </cfRule>
  </conditionalFormatting>
  <conditionalFormatting sqref="AN30:AN69">
    <cfRule type="containsText" dxfId="11" priority="133" operator="containsText" text="C">
      <formula>NOT(ISERROR(SEARCH(("C"),(AN30))))</formula>
    </cfRule>
  </conditionalFormatting>
  <conditionalFormatting sqref="AN30:AN69">
    <cfRule type="containsText" dxfId="11" priority="134" operator="containsText" text="D">
      <formula>NOT(ISERROR(SEARCH(("D"),(AN30))))</formula>
    </cfRule>
  </conditionalFormatting>
  <conditionalFormatting sqref="AO30:AO69">
    <cfRule type="containsText" dxfId="5" priority="135" operator="containsText" text="A">
      <formula>NOT(ISERROR(SEARCH(("A"),(AO30))))</formula>
    </cfRule>
  </conditionalFormatting>
  <conditionalFormatting sqref="AO30:AO69">
    <cfRule type="containsText" dxfId="4" priority="136" operator="containsText" text="B">
      <formula>NOT(ISERROR(SEARCH(("B"),(AO30))))</formula>
    </cfRule>
  </conditionalFormatting>
  <conditionalFormatting sqref="AO30:AO69">
    <cfRule type="containsText" dxfId="11" priority="137" operator="containsText" text="C">
      <formula>NOT(ISERROR(SEARCH(("C"),(AO30))))</formula>
    </cfRule>
  </conditionalFormatting>
  <conditionalFormatting sqref="AO30:AO69">
    <cfRule type="containsText" dxfId="5" priority="138" operator="containsText" text="D">
      <formula>NOT(ISERROR(SEARCH(("D"),(AO30))))</formula>
    </cfRule>
  </conditionalFormatting>
  <conditionalFormatting sqref="AP30:AP69">
    <cfRule type="containsText" dxfId="5" priority="139" operator="containsText" text="A">
      <formula>NOT(ISERROR(SEARCH(("A"),(AP30))))</formula>
    </cfRule>
  </conditionalFormatting>
  <conditionalFormatting sqref="AP30:AP69">
    <cfRule type="containsText" dxfId="5" priority="140" operator="containsText" text="B">
      <formula>NOT(ISERROR(SEARCH(("B"),(AP30))))</formula>
    </cfRule>
  </conditionalFormatting>
  <conditionalFormatting sqref="AP30:AP69">
    <cfRule type="containsText" dxfId="5" priority="141" operator="containsText" text="C">
      <formula>NOT(ISERROR(SEARCH(("C"),(AP30))))</formula>
    </cfRule>
  </conditionalFormatting>
  <conditionalFormatting sqref="AP30:AP69">
    <cfRule type="containsText" dxfId="4" priority="142" operator="containsText" text="D">
      <formula>NOT(ISERROR(SEARCH(("D"),(AP30))))</formula>
    </cfRule>
  </conditionalFormatting>
  <conditionalFormatting sqref="AQ30:AQ69">
    <cfRule type="containsText" dxfId="4" priority="143" operator="containsText" text="A">
      <formula>NOT(ISERROR(SEARCH(("A"),(AQ30))))</formula>
    </cfRule>
  </conditionalFormatting>
  <conditionalFormatting sqref="AQ30:AQ69">
    <cfRule type="containsText" dxfId="5" priority="144" operator="containsText" text="B">
      <formula>NOT(ISERROR(SEARCH(("B"),(AQ30))))</formula>
    </cfRule>
  </conditionalFormatting>
  <conditionalFormatting sqref="AQ30:AQ69">
    <cfRule type="containsText" dxfId="5" priority="145" operator="containsText" text="C">
      <formula>NOT(ISERROR(SEARCH(("C"),(AQ30))))</formula>
    </cfRule>
  </conditionalFormatting>
  <conditionalFormatting sqref="AQ30:AQ69">
    <cfRule type="containsText" dxfId="11" priority="146" operator="containsText" text="D">
      <formula>NOT(ISERROR(SEARCH(("D"),(AQ30))))</formula>
    </cfRule>
  </conditionalFormatting>
  <conditionalFormatting sqref="AR30:AR69">
    <cfRule type="containsText" dxfId="5" priority="147" operator="containsText" text="A">
      <formula>NOT(ISERROR(SEARCH(("A"),(AR30))))</formula>
    </cfRule>
  </conditionalFormatting>
  <conditionalFormatting sqref="AR30:AR69">
    <cfRule type="containsText" dxfId="5" priority="148" operator="containsText" text="B">
      <formula>NOT(ISERROR(SEARCH(("B"),(AR30))))</formula>
    </cfRule>
  </conditionalFormatting>
  <conditionalFormatting sqref="AR30:AR69">
    <cfRule type="containsText" dxfId="4" priority="149" operator="containsText" text="C">
      <formula>NOT(ISERROR(SEARCH(("C"),(AR30))))</formula>
    </cfRule>
  </conditionalFormatting>
  <conditionalFormatting sqref="AR30:AR69">
    <cfRule type="containsText" dxfId="5" priority="150" operator="containsText" text="D">
      <formula>NOT(ISERROR(SEARCH(("D"),(AR30))))</formula>
    </cfRule>
  </conditionalFormatting>
  <conditionalFormatting sqref="AS30:AS69">
    <cfRule type="containsText" dxfId="5" priority="151" operator="containsText" text="A">
      <formula>NOT(ISERROR(SEARCH(("A"),(AS30))))</formula>
    </cfRule>
  </conditionalFormatting>
  <conditionalFormatting sqref="AS30:AS69">
    <cfRule type="containsText" dxfId="5" priority="152" operator="containsText" text="B">
      <formula>NOT(ISERROR(SEARCH(("B"),(AS30))))</formula>
    </cfRule>
  </conditionalFormatting>
  <conditionalFormatting sqref="AS30:AS69">
    <cfRule type="containsText" dxfId="4" priority="153" operator="containsText" text="C">
      <formula>NOT(ISERROR(SEARCH(("C"),(AS30))))</formula>
    </cfRule>
  </conditionalFormatting>
  <conditionalFormatting sqref="AS30:AS69">
    <cfRule type="containsText" dxfId="5" priority="154" operator="containsText" text="D">
      <formula>NOT(ISERROR(SEARCH(("D"),(AS30))))</formula>
    </cfRule>
  </conditionalFormatting>
  <conditionalFormatting sqref="AT30:AT69">
    <cfRule type="containsText" dxfId="5" priority="155" operator="containsText" text="A">
      <formula>NOT(ISERROR(SEARCH(("A"),(AT30))))</formula>
    </cfRule>
  </conditionalFormatting>
  <conditionalFormatting sqref="AT30:AT69">
    <cfRule type="containsText" dxfId="12" priority="156" operator="containsText" text="B">
      <formula>NOT(ISERROR(SEARCH(("B"),(AT30))))</formula>
    </cfRule>
  </conditionalFormatting>
  <conditionalFormatting sqref="AT30:AT69">
    <cfRule type="containsText" dxfId="11" priority="157" operator="containsText" text="C">
      <formula>NOT(ISERROR(SEARCH(("C"),(AT30))))</formula>
    </cfRule>
  </conditionalFormatting>
  <conditionalFormatting sqref="AT30:AT69">
    <cfRule type="containsText" dxfId="11" priority="158" operator="containsText" text="D">
      <formula>NOT(ISERROR(SEARCH(("D"),(AT30))))</formula>
    </cfRule>
  </conditionalFormatting>
  <conditionalFormatting sqref="AV30:AV69">
    <cfRule type="containsText" dxfId="4" priority="159" operator="containsText" text="A">
      <formula>NOT(ISERROR(SEARCH(("A"),(AV30))))</formula>
    </cfRule>
  </conditionalFormatting>
  <conditionalFormatting sqref="AV30:AV69">
    <cfRule type="containsText" dxfId="5" priority="160" operator="containsText" text="B">
      <formula>NOT(ISERROR(SEARCH(("B"),(AV30))))</formula>
    </cfRule>
  </conditionalFormatting>
  <conditionalFormatting sqref="AV30:AV69">
    <cfRule type="containsText" dxfId="5" priority="161" operator="containsText" text="C">
      <formula>NOT(ISERROR(SEARCH(("C"),(AV30))))</formula>
    </cfRule>
  </conditionalFormatting>
  <conditionalFormatting sqref="AV30:AV69">
    <cfRule type="containsText" dxfId="5" priority="162" operator="containsText" text="X">
      <formula>NOT(ISERROR(SEARCH(("X"),(AV30))))</formula>
    </cfRule>
  </conditionalFormatting>
  <conditionalFormatting sqref="BA30:BA69">
    <cfRule type="containsText" dxfId="6" priority="163" operator="containsText" text="F">
      <formula>NOT(ISERROR(SEARCH(("F"),(BA30))))</formula>
    </cfRule>
  </conditionalFormatting>
  <conditionalFormatting sqref="BB30:BB69 BF30:BF69 BI30:BI69">
    <cfRule type="containsText" dxfId="13" priority="164" operator="containsText" text="Abaixo do Básico">
      <formula>NOT(ISERROR(SEARCH(("Abaixo do Básico"),(BB30))))</formula>
    </cfRule>
  </conditionalFormatting>
  <conditionalFormatting sqref="BB30:BB69 BF30:BF69 BI30:BI69">
    <cfRule type="containsText" dxfId="14" priority="165" operator="containsText" text="Básico">
      <formula>NOT(ISERROR(SEARCH(("Básico"),(BB30))))</formula>
    </cfRule>
  </conditionalFormatting>
  <conditionalFormatting sqref="BB30:BB69 BF30:BF69 BI30:BI69">
    <cfRule type="containsText" dxfId="15" priority="166" operator="containsText" text="Adequado">
      <formula>NOT(ISERROR(SEARCH(("Adequado"),(BB30))))</formula>
    </cfRule>
  </conditionalFormatting>
  <conditionalFormatting sqref="BB30:BB69 BF30:BF69 BI30:BI69">
    <cfRule type="containsText" dxfId="16" priority="167" operator="containsText" text="Avançado">
      <formula>NOT(ISERROR(SEARCH(("Avançado"),(BB30))))</formula>
    </cfRule>
  </conditionalFormatting>
  <conditionalFormatting sqref="AV30:BB69">
    <cfRule type="containsBlanks" dxfId="6" priority="168">
      <formula>LEN(TRIM(AV30))=0</formula>
    </cfRule>
  </conditionalFormatting>
  <conditionalFormatting sqref="BD30:BI69">
    <cfRule type="containsBlanks" dxfId="6" priority="169">
      <formula>LEN(TRIM(BD30))=0</formula>
    </cfRule>
  </conditionalFormatting>
  <conditionalFormatting sqref="D30:D69">
    <cfRule type="containsText" dxfId="5" priority="170" operator="containsText" text="A">
      <formula>NOT(ISERROR(SEARCH(("A"),(D30))))</formula>
    </cfRule>
  </conditionalFormatting>
  <conditionalFormatting sqref="D30:D69">
    <cfRule type="containsText" dxfId="5" priority="171" operator="containsText" text="B">
      <formula>NOT(ISERROR(SEARCH(("B"),(D30))))</formula>
    </cfRule>
  </conditionalFormatting>
  <conditionalFormatting sqref="D30:D69">
    <cfRule type="containsText" dxfId="4" priority="172" operator="containsText" text="C">
      <formula>NOT(ISERROR(SEARCH(("C"),(D30))))</formula>
    </cfRule>
  </conditionalFormatting>
  <conditionalFormatting sqref="D30:D69">
    <cfRule type="containsText" dxfId="5" priority="173" operator="containsText" text="D">
      <formula>NOT(ISERROR(SEARCH(("D"),(D30))))</formula>
    </cfRule>
  </conditionalFormatting>
  <conditionalFormatting sqref="Z30:Z69">
    <cfRule type="containsText" dxfId="5" priority="174" operator="containsText" text="A">
      <formula>NOT(ISERROR(SEARCH(("A"),(Z30))))</formula>
    </cfRule>
  </conditionalFormatting>
  <conditionalFormatting sqref="Z30:Z69">
    <cfRule type="containsText" dxfId="5" priority="175" operator="containsText" text="B">
      <formula>NOT(ISERROR(SEARCH(("B"),(Z30))))</formula>
    </cfRule>
  </conditionalFormatting>
  <conditionalFormatting sqref="Z30:Z69">
    <cfRule type="containsText" dxfId="5" priority="176" operator="containsText" text="C">
      <formula>NOT(ISERROR(SEARCH(("C"),(Z30))))</formula>
    </cfRule>
  </conditionalFormatting>
  <conditionalFormatting sqref="Z30:Z69">
    <cfRule type="containsText" dxfId="4" priority="177" operator="containsText" text="D">
      <formula>NOT(ISERROR(SEARCH(("D"),(Z30))))</formula>
    </cfRule>
  </conditionalFormatting>
  <conditionalFormatting sqref="AA30:AA69">
    <cfRule type="containsText" dxfId="5" priority="178" operator="containsText" text="A">
      <formula>NOT(ISERROR(SEARCH(("A"),(AA30))))</formula>
    </cfRule>
  </conditionalFormatting>
  <conditionalFormatting sqref="AA30:AA69">
    <cfRule type="containsText" dxfId="5" priority="179" operator="containsText" text="B">
      <formula>NOT(ISERROR(SEARCH(("B"),(AA30))))</formula>
    </cfRule>
  </conditionalFormatting>
  <conditionalFormatting sqref="AA30:AA69">
    <cfRule type="containsText" dxfId="4" priority="180" operator="containsText" text="C">
      <formula>NOT(ISERROR(SEARCH(("C"),(AA30))))</formula>
    </cfRule>
  </conditionalFormatting>
  <conditionalFormatting sqref="AA30:AA69">
    <cfRule type="containsText" dxfId="5" priority="181" operator="containsText" text="D">
      <formula>NOT(ISERROR(SEARCH(("D"),(AA30))))</formula>
    </cfRule>
  </conditionalFormatting>
  <conditionalFormatting sqref="D30:AT69">
    <cfRule type="containsText" dxfId="6" priority="182" operator="containsText" text="F">
      <formula>NOT(ISERROR(SEARCH(("F"),(D30))))</formula>
    </cfRule>
  </conditionalFormatting>
  <conditionalFormatting sqref="D30:AT69">
    <cfRule type="containsText" dxfId="5" priority="183" operator="containsText" text="X">
      <formula>NOT(ISERROR(SEARCH(("X"),(D30))))</formula>
    </cfRule>
  </conditionalFormatting>
  <conditionalFormatting sqref="D30:AT69">
    <cfRule type="containsBlanks" dxfId="6" priority="184">
      <formula>LEN(TRIM(D30))=0</formula>
    </cfRule>
  </conditionalFormatting>
  <conditionalFormatting sqref="B30:B69">
    <cfRule type="containsBlanks" dxfId="6" priority="185">
      <formula>LEN(TRIM(B30))=0</formula>
    </cfRule>
  </conditionalFormatting>
  <conditionalFormatting sqref="F30:F69">
    <cfRule type="containsText" dxfId="5" priority="186" operator="containsText" text="A">
      <formula>NOT(ISERROR(SEARCH(("A"),(F30))))</formula>
    </cfRule>
  </conditionalFormatting>
  <conditionalFormatting sqref="E30:E69">
    <cfRule type="containsText" dxfId="5" priority="187" operator="containsText" text="A">
      <formula>NOT(ISERROR(SEARCH(("A"),(E30))))</formula>
    </cfRule>
  </conditionalFormatting>
  <conditionalFormatting sqref="E30:E69">
    <cfRule type="containsText" dxfId="5" priority="188" operator="containsText" text="B">
      <formula>NOT(ISERROR(SEARCH(("B"),(E30))))</formula>
    </cfRule>
  </conditionalFormatting>
  <conditionalFormatting sqref="E30:E69">
    <cfRule type="containsText" dxfId="4" priority="189" operator="containsText" text="C">
      <formula>NOT(ISERROR(SEARCH(("C"),(E30))))</formula>
    </cfRule>
  </conditionalFormatting>
  <conditionalFormatting sqref="E30:E69">
    <cfRule type="containsText" dxfId="5" priority="190" operator="containsText" text="D">
      <formula>NOT(ISERROR(SEARCH(("D"),(E30))))</formula>
    </cfRule>
  </conditionalFormatting>
  <hyperlinks>
    <hyperlink r:id="rId1" ref="A23"/>
  </hyperlinks>
  <printOptions horizontalCentered="1"/>
  <pageMargins bottom="0.75" footer="0.0" header="0.0" left="0.7" right="0.7" top="0.75"/>
  <pageSetup fitToHeight="0" paperSize="9" cellComments="atEnd" orientation="landscape" pageOrder="overThenDown"/>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46" width="4.75"/>
    <col customWidth="1" min="47" max="47" width="3.38"/>
    <col customWidth="1" min="48" max="49" width="4.13"/>
    <col customWidth="1" min="50" max="50" width="4.25"/>
    <col customWidth="1" min="51" max="51" width="4.63"/>
    <col customWidth="1" min="52" max="52" width="4.75"/>
    <col customWidth="1" min="53" max="53" width="4.25"/>
    <col customWidth="1" min="54" max="54" width="14.13"/>
    <col customWidth="1" min="55" max="55" width="1.88"/>
    <col customWidth="1" min="56" max="56" width="5.25"/>
    <col customWidth="1" min="57" max="57" width="5.0"/>
    <col customWidth="1" min="58" max="58" width="14.13"/>
    <col customWidth="1" min="59" max="59" width="5.13"/>
    <col customWidth="1" min="60" max="60" width="4.75"/>
    <col customWidth="1" min="61" max="61" width="15.75"/>
    <col customWidth="1" min="62" max="63"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row>
    <row r="6" ht="25.5" customHeight="1">
      <c r="A6" s="1"/>
      <c r="B6" s="1"/>
      <c r="C6" s="1"/>
      <c r="D6" s="5" t="s">
        <v>0</v>
      </c>
      <c r="AY6" s="5"/>
      <c r="AZ6" s="5"/>
      <c r="BA6" s="5"/>
      <c r="BB6" s="5"/>
      <c r="BC6" s="5"/>
      <c r="BD6" s="5"/>
      <c r="BE6" s="5"/>
      <c r="BF6" s="4"/>
      <c r="BG6" s="4"/>
      <c r="BH6" s="4"/>
      <c r="BI6" s="3"/>
      <c r="BJ6" s="3"/>
      <c r="BK6" s="3"/>
    </row>
    <row r="7" ht="25.5" customHeight="1">
      <c r="A7" s="1"/>
      <c r="B7" s="1"/>
      <c r="C7" s="1"/>
      <c r="AY7" s="5"/>
      <c r="AZ7" s="5"/>
      <c r="BA7" s="5"/>
      <c r="BB7" s="5"/>
      <c r="BC7" s="5"/>
      <c r="BD7" s="5"/>
      <c r="BE7" s="5"/>
      <c r="BF7" s="4"/>
      <c r="BG7" s="4"/>
      <c r="BH7" s="4"/>
      <c r="BI7" s="3"/>
      <c r="BJ7" s="3"/>
      <c r="BK7" s="3"/>
    </row>
    <row r="8" ht="25.5" customHeight="1">
      <c r="A8" s="1"/>
      <c r="B8" s="1"/>
      <c r="C8" s="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4"/>
      <c r="BG8" s="4"/>
      <c r="BH8" s="4"/>
      <c r="BI8" s="3"/>
      <c r="BJ8" s="3"/>
      <c r="BK8" s="3"/>
    </row>
    <row r="9" ht="25.5" customHeight="1">
      <c r="A9" s="1"/>
      <c r="B9" s="1"/>
      <c r="C9" s="1"/>
      <c r="D9" s="6" t="s">
        <v>1</v>
      </c>
      <c r="AY9" s="7"/>
      <c r="AZ9" s="7"/>
      <c r="BA9" s="7"/>
      <c r="BB9" s="7"/>
      <c r="BC9" s="7"/>
      <c r="BD9" s="7"/>
      <c r="BE9" s="7"/>
      <c r="BF9" s="4"/>
      <c r="BG9" s="4"/>
      <c r="BH9" s="4"/>
      <c r="BI9" s="3"/>
      <c r="BJ9" s="3"/>
      <c r="BK9" s="3"/>
    </row>
    <row r="10" ht="25.5" customHeight="1">
      <c r="A10" s="1"/>
      <c r="B10" s="1"/>
      <c r="C10" s="1"/>
      <c r="AY10" s="7"/>
      <c r="AZ10" s="7"/>
      <c r="BA10" s="7"/>
      <c r="BB10" s="7"/>
      <c r="BC10" s="7"/>
      <c r="BD10" s="7"/>
      <c r="BE10" s="7"/>
      <c r="BF10" s="4"/>
      <c r="BG10" s="4"/>
      <c r="BH10" s="4"/>
      <c r="BI10" s="3"/>
      <c r="BJ10" s="3"/>
      <c r="BK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row>
    <row r="12" ht="25.5" customHeight="1">
      <c r="A12" s="1"/>
      <c r="B12" s="1"/>
      <c r="C12" s="1"/>
      <c r="D12" s="8" t="s">
        <v>2</v>
      </c>
      <c r="AY12" s="9"/>
      <c r="AZ12" s="9"/>
      <c r="BA12" s="9"/>
      <c r="BB12" s="9"/>
      <c r="BC12" s="9"/>
      <c r="BD12" s="9"/>
      <c r="BE12" s="9"/>
      <c r="BF12" s="4"/>
      <c r="BG12" s="4"/>
      <c r="BH12" s="4"/>
      <c r="BI12" s="3"/>
      <c r="BJ12" s="3"/>
      <c r="BK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V13" s="3"/>
      <c r="AW13" s="3"/>
      <c r="AX13" s="3"/>
      <c r="AY13" s="3"/>
      <c r="AZ13" s="3"/>
      <c r="BA13" s="3"/>
      <c r="BB13" s="4"/>
      <c r="BC13" s="4"/>
      <c r="BD13" s="4"/>
      <c r="BE13" s="4"/>
      <c r="BF13" s="4"/>
      <c r="BG13" s="4"/>
      <c r="BH13" s="4"/>
      <c r="BI13" s="3"/>
      <c r="BJ13" s="3"/>
      <c r="BK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V14" s="3"/>
      <c r="AW14" s="3"/>
      <c r="AX14" s="3"/>
      <c r="AY14" s="3"/>
      <c r="AZ14" s="3"/>
      <c r="BA14" s="3"/>
      <c r="BB14" s="4"/>
      <c r="BC14" s="4"/>
      <c r="BD14" s="4"/>
      <c r="BE14" s="4"/>
      <c r="BF14" s="4"/>
      <c r="BG14" s="4"/>
      <c r="BH14" s="4"/>
      <c r="BI14" s="3"/>
      <c r="BJ14" s="3"/>
      <c r="BK14" s="3"/>
    </row>
    <row r="15" ht="25.5" customHeight="1">
      <c r="A15" s="13"/>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V15" s="3"/>
      <c r="AW15" s="3"/>
      <c r="AX15" s="3"/>
      <c r="AY15" s="3"/>
      <c r="AZ15" s="3"/>
      <c r="BA15" s="3"/>
      <c r="BB15" s="4"/>
      <c r="BC15" s="4"/>
      <c r="BD15" s="4"/>
      <c r="BE15" s="4"/>
      <c r="BF15" s="4"/>
      <c r="BG15" s="4"/>
      <c r="BH15" s="4"/>
      <c r="BI15" s="3"/>
      <c r="BJ15" s="3"/>
      <c r="BK15" s="3"/>
    </row>
    <row r="16" ht="25.5" customHeight="1">
      <c r="A16" s="15" t="s">
        <v>50</v>
      </c>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V16" s="3"/>
      <c r="AW16" s="3"/>
      <c r="AX16" s="3"/>
      <c r="AY16" s="3"/>
      <c r="AZ16" s="3"/>
      <c r="BA16" s="3"/>
      <c r="BB16" s="4"/>
      <c r="BC16" s="4"/>
      <c r="BD16" s="4"/>
      <c r="BE16" s="4"/>
      <c r="BF16" s="4"/>
      <c r="BG16" s="4"/>
      <c r="BH16" s="4"/>
      <c r="BI16" s="3"/>
      <c r="BJ16" s="3"/>
      <c r="BK16" s="3"/>
    </row>
    <row r="17" ht="25.5" customHeight="1">
      <c r="A17" s="13"/>
      <c r="C17" s="14"/>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V17" s="3"/>
      <c r="AW17" s="3"/>
      <c r="AX17" s="3"/>
      <c r="AY17" s="3"/>
      <c r="AZ17" s="3"/>
      <c r="BA17" s="3"/>
      <c r="BB17" s="4"/>
      <c r="BC17" s="4"/>
      <c r="BD17" s="4"/>
      <c r="BE17" s="4"/>
      <c r="BF17" s="4"/>
      <c r="BG17" s="4"/>
      <c r="BH17" s="4"/>
      <c r="BI17" s="3"/>
      <c r="BJ17" s="3"/>
      <c r="BK17" s="3"/>
    </row>
    <row r="18" ht="21.0" customHeight="1">
      <c r="A18" s="16" t="s">
        <v>4</v>
      </c>
      <c r="C18" s="18">
        <f>COUNTA(B30:B69)</f>
        <v>23</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V18" s="3"/>
      <c r="AW18" s="3"/>
      <c r="AX18" s="3"/>
      <c r="AY18" s="3"/>
      <c r="AZ18" s="3"/>
      <c r="BA18" s="3"/>
      <c r="BB18" s="4"/>
      <c r="BC18" s="4"/>
      <c r="BD18" s="4"/>
      <c r="BE18" s="4"/>
      <c r="BF18" s="4"/>
      <c r="BG18" s="4"/>
      <c r="BH18" s="4"/>
      <c r="BI18" s="3"/>
      <c r="BJ18" s="3"/>
      <c r="BK18" s="3"/>
    </row>
    <row r="19" ht="21.75" customHeight="1">
      <c r="A19" s="16" t="s">
        <v>5</v>
      </c>
      <c r="C19" s="18">
        <f>SUMPRODUCT(LEN(D30:D69) - LEN(SUBSTITUTE(SUBSTITUTE(SUBSTITUTE(SUBSTITUTE(SUBSTITUTE(D30:D69,"A",""),"B",""),"C",""),"D",""),"X","")))</f>
        <v>23</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V19" s="3"/>
      <c r="AW19" s="3"/>
      <c r="AX19" s="3"/>
      <c r="AY19" s="3"/>
      <c r="AZ19" s="3"/>
      <c r="BA19" s="3"/>
      <c r="BB19" s="4"/>
      <c r="BC19" s="4"/>
      <c r="BD19" s="4"/>
      <c r="BE19" s="4"/>
      <c r="BF19" s="4"/>
      <c r="BG19" s="4"/>
      <c r="BH19" s="4"/>
      <c r="BI19" s="3"/>
      <c r="BJ19" s="3"/>
      <c r="BK19" s="3"/>
    </row>
    <row r="20" ht="21.0" customHeight="1">
      <c r="A20" s="16" t="s">
        <v>6</v>
      </c>
      <c r="C20" s="18">
        <f>COUNTIF(D30:D69,"F")</f>
        <v>0</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V20" s="3"/>
      <c r="AW20" s="3"/>
      <c r="AX20" s="3"/>
      <c r="AY20" s="3"/>
      <c r="AZ20" s="3"/>
      <c r="BA20" s="3"/>
      <c r="BB20" s="4"/>
      <c r="BC20" s="4"/>
      <c r="BD20" s="4"/>
      <c r="BE20" s="4"/>
      <c r="BF20" s="4"/>
      <c r="BG20" s="4"/>
      <c r="BH20" s="4"/>
      <c r="BI20" s="3"/>
      <c r="BJ20" s="3"/>
      <c r="BK20" s="3"/>
    </row>
    <row r="21" ht="24.0" customHeight="1">
      <c r="A21" s="16" t="s">
        <v>7</v>
      </c>
      <c r="C21" s="18">
        <f>COUNTIF(C30:C69,"SIM")</f>
        <v>0</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V21" s="3"/>
      <c r="AW21" s="3"/>
      <c r="AX21" s="3"/>
      <c r="AY21" s="3"/>
      <c r="AZ21" s="3"/>
      <c r="BA21" s="3"/>
      <c r="BB21" s="4"/>
      <c r="BC21" s="4"/>
      <c r="BD21" s="4"/>
      <c r="BE21" s="4"/>
      <c r="BF21" s="4"/>
      <c r="BG21" s="4"/>
      <c r="BH21" s="4"/>
      <c r="BI21" s="3"/>
      <c r="BJ21" s="3"/>
      <c r="BK21" s="3"/>
    </row>
    <row r="22" ht="24.0" customHeight="1">
      <c r="A22" s="16"/>
      <c r="B22" s="19"/>
      <c r="C22" s="21"/>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V22" s="3"/>
      <c r="AW22" s="3"/>
      <c r="AX22" s="3"/>
      <c r="AY22" s="3"/>
      <c r="AZ22" s="3"/>
      <c r="BA22" s="3"/>
      <c r="BB22" s="4"/>
      <c r="BC22" s="4"/>
      <c r="BD22" s="4"/>
      <c r="BE22" s="4"/>
      <c r="BF22" s="4"/>
      <c r="BG22" s="4"/>
      <c r="BH22" s="4"/>
      <c r="BI22" s="3"/>
      <c r="BJ22" s="3"/>
      <c r="BK22" s="3"/>
    </row>
    <row r="23" ht="42.0" customHeight="1">
      <c r="A23" s="22" t="s">
        <v>8</v>
      </c>
      <c r="B23" s="23"/>
      <c r="C23" s="24"/>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V23" s="3"/>
      <c r="AW23" s="3"/>
      <c r="AX23" s="3"/>
      <c r="AY23" s="3"/>
      <c r="AZ23" s="3"/>
      <c r="BA23" s="3"/>
      <c r="BB23" s="4"/>
      <c r="BC23" s="4"/>
      <c r="BD23" s="4"/>
      <c r="BE23" s="4"/>
      <c r="BF23" s="4"/>
      <c r="BG23" s="4"/>
      <c r="BH23" s="4"/>
      <c r="BI23" s="3"/>
      <c r="BJ23" s="3"/>
      <c r="BK23" s="3"/>
    </row>
    <row r="24" ht="36.0"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V24" s="3"/>
      <c r="AW24" s="3"/>
      <c r="AX24" s="3"/>
      <c r="AY24" s="3"/>
      <c r="AZ24" s="3"/>
      <c r="BA24" s="3"/>
      <c r="BB24" s="4"/>
      <c r="BC24" s="4"/>
      <c r="BD24" s="4"/>
      <c r="BE24" s="4"/>
      <c r="BF24" s="4"/>
      <c r="BG24" s="4"/>
      <c r="BH24" s="4"/>
      <c r="BI24" s="3"/>
      <c r="BJ24" s="3"/>
      <c r="BK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41"/>
      <c r="BC25" s="236"/>
      <c r="BD25" s="342" t="s">
        <v>155</v>
      </c>
      <c r="BJ25" s="3"/>
      <c r="BK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344"/>
      <c r="Y26" s="345" t="s">
        <v>17</v>
      </c>
      <c r="Z26" s="29"/>
      <c r="AA26" s="29"/>
      <c r="AB26" s="29"/>
      <c r="AC26" s="29"/>
      <c r="AD26" s="29"/>
      <c r="AE26" s="29"/>
      <c r="AF26" s="29"/>
      <c r="AG26" s="29"/>
      <c r="AH26" s="29"/>
      <c r="AI26" s="29"/>
      <c r="AJ26" s="29"/>
      <c r="AK26" s="29"/>
      <c r="AL26" s="29"/>
      <c r="AM26" s="29"/>
      <c r="AN26" s="29"/>
      <c r="AO26" s="29"/>
      <c r="AP26" s="29"/>
      <c r="AQ26" s="29"/>
      <c r="AR26" s="29"/>
      <c r="AS26" s="29"/>
      <c r="AT26" s="41"/>
      <c r="AV26" s="346" t="s">
        <v>89</v>
      </c>
      <c r="BC26" s="347"/>
      <c r="BD26" s="348" t="s">
        <v>158</v>
      </c>
      <c r="BF26" s="349"/>
      <c r="BG26" s="350" t="s">
        <v>17</v>
      </c>
      <c r="BJ26" s="3"/>
      <c r="BK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9" t="s">
        <v>38</v>
      </c>
      <c r="Y27" s="50" t="s">
        <v>375</v>
      </c>
      <c r="Z27" s="51" t="s">
        <v>19</v>
      </c>
      <c r="AA27" s="51" t="s">
        <v>20</v>
      </c>
      <c r="AB27" s="51" t="s">
        <v>21</v>
      </c>
      <c r="AC27" s="51" t="s">
        <v>22</v>
      </c>
      <c r="AD27" s="51" t="s">
        <v>23</v>
      </c>
      <c r="AE27" s="51" t="s">
        <v>24</v>
      </c>
      <c r="AF27" s="51" t="s">
        <v>25</v>
      </c>
      <c r="AG27" s="51" t="s">
        <v>26</v>
      </c>
      <c r="AH27" s="51" t="s">
        <v>27</v>
      </c>
      <c r="AI27" s="51" t="s">
        <v>28</v>
      </c>
      <c r="AJ27" s="51" t="s">
        <v>29</v>
      </c>
      <c r="AK27" s="51" t="s">
        <v>30</v>
      </c>
      <c r="AL27" s="51" t="s">
        <v>31</v>
      </c>
      <c r="AM27" s="51" t="s">
        <v>32</v>
      </c>
      <c r="AN27" s="51" t="s">
        <v>33</v>
      </c>
      <c r="AO27" s="51" t="s">
        <v>34</v>
      </c>
      <c r="AP27" s="51" t="s">
        <v>35</v>
      </c>
      <c r="AQ27" s="51" t="s">
        <v>36</v>
      </c>
      <c r="AR27" s="51" t="s">
        <v>37</v>
      </c>
      <c r="AS27" s="51" t="s">
        <v>38</v>
      </c>
      <c r="AT27" s="51" t="s">
        <v>40</v>
      </c>
      <c r="AV27" s="351" t="s">
        <v>160</v>
      </c>
      <c r="AW27" s="351" t="s">
        <v>161</v>
      </c>
      <c r="AX27" s="351" t="s">
        <v>162</v>
      </c>
      <c r="AY27" s="351" t="s">
        <v>163</v>
      </c>
      <c r="AZ27" s="351" t="s">
        <v>164</v>
      </c>
      <c r="BA27" s="352" t="s">
        <v>165</v>
      </c>
      <c r="BB27" s="353" t="s">
        <v>90</v>
      </c>
      <c r="BC27" s="354"/>
      <c r="BD27" s="355" t="s">
        <v>166</v>
      </c>
      <c r="BE27" s="355" t="s">
        <v>167</v>
      </c>
      <c r="BF27" s="356" t="s">
        <v>168</v>
      </c>
      <c r="BG27" s="357" t="s">
        <v>166</v>
      </c>
      <c r="BH27" s="358" t="s">
        <v>167</v>
      </c>
      <c r="BI27" s="359" t="s">
        <v>168</v>
      </c>
      <c r="BJ27" s="360"/>
      <c r="BK27" s="360"/>
    </row>
    <row r="28" ht="19.5" hidden="1" customHeight="1">
      <c r="A28" s="47"/>
      <c r="B28" s="14"/>
      <c r="C28" s="14"/>
      <c r="D28" s="60">
        <v>18.0</v>
      </c>
      <c r="E28" s="60">
        <v>9.0</v>
      </c>
      <c r="F28" s="60">
        <v>0.0</v>
      </c>
      <c r="G28" s="60">
        <v>36.0</v>
      </c>
      <c r="H28" s="60">
        <v>36.0</v>
      </c>
      <c r="I28" s="60">
        <v>36.0</v>
      </c>
      <c r="J28" s="60">
        <v>18.0</v>
      </c>
      <c r="K28" s="60">
        <v>18.0</v>
      </c>
      <c r="L28" s="60">
        <v>36.0</v>
      </c>
      <c r="M28" s="60">
        <v>36.0</v>
      </c>
      <c r="N28" s="60">
        <v>36.0</v>
      </c>
      <c r="O28" s="60">
        <v>36.0</v>
      </c>
      <c r="P28" s="60">
        <v>36.0</v>
      </c>
      <c r="Q28" s="60">
        <v>9.0</v>
      </c>
      <c r="R28" s="60">
        <v>18.0</v>
      </c>
      <c r="S28" s="60">
        <v>36.0</v>
      </c>
      <c r="T28" s="60">
        <v>36.0</v>
      </c>
      <c r="U28" s="60">
        <v>9.0</v>
      </c>
      <c r="V28" s="60">
        <v>0.0</v>
      </c>
      <c r="W28" s="60">
        <v>36.0</v>
      </c>
      <c r="X28" s="61">
        <v>0.0</v>
      </c>
      <c r="Y28" s="62">
        <v>25.0</v>
      </c>
      <c r="Z28" s="62">
        <v>25.0</v>
      </c>
      <c r="AA28" s="62">
        <v>25.0</v>
      </c>
      <c r="AB28" s="62">
        <v>25.0</v>
      </c>
      <c r="AC28" s="63">
        <v>16.0</v>
      </c>
      <c r="AD28" s="63">
        <v>25.0</v>
      </c>
      <c r="AE28" s="63">
        <v>8.0</v>
      </c>
      <c r="AF28" s="63">
        <v>25.0</v>
      </c>
      <c r="AG28" s="63">
        <v>25.0</v>
      </c>
      <c r="AH28" s="63">
        <v>16.0</v>
      </c>
      <c r="AI28" s="63">
        <v>25.0</v>
      </c>
      <c r="AJ28" s="63">
        <v>25.0</v>
      </c>
      <c r="AK28" s="63">
        <v>25.0</v>
      </c>
      <c r="AL28" s="63">
        <v>25.0</v>
      </c>
      <c r="AM28" s="63">
        <v>25.0</v>
      </c>
      <c r="AN28" s="63">
        <v>25.0</v>
      </c>
      <c r="AO28" s="63">
        <v>16.0</v>
      </c>
      <c r="AP28" s="63">
        <v>25.0</v>
      </c>
      <c r="AQ28" s="63">
        <v>25.0</v>
      </c>
      <c r="AR28" s="63">
        <v>25.0</v>
      </c>
      <c r="AS28" s="63">
        <v>25.0</v>
      </c>
      <c r="AT28" s="63">
        <v>25.0</v>
      </c>
      <c r="AV28" s="47"/>
      <c r="AW28" s="47"/>
      <c r="AX28" s="47"/>
      <c r="AY28" s="47"/>
      <c r="AZ28" s="47"/>
      <c r="BA28" s="47"/>
      <c r="BB28" s="47"/>
      <c r="BC28" s="354"/>
      <c r="BD28" s="47"/>
      <c r="BE28" s="47"/>
      <c r="BF28" s="361"/>
      <c r="BG28" s="14"/>
      <c r="BH28" s="47"/>
      <c r="BI28" s="47"/>
      <c r="BJ28" s="360"/>
      <c r="BK28" s="360"/>
    </row>
    <row r="29" ht="19.5" customHeight="1">
      <c r="A29" s="65"/>
      <c r="B29" s="24"/>
      <c r="C29" s="24"/>
      <c r="D29" s="66" t="s">
        <v>41</v>
      </c>
      <c r="E29" s="66" t="s">
        <v>41</v>
      </c>
      <c r="F29" s="66" t="s">
        <v>41</v>
      </c>
      <c r="G29" s="66" t="s">
        <v>42</v>
      </c>
      <c r="H29" s="66" t="s">
        <v>42</v>
      </c>
      <c r="I29" s="66" t="s">
        <v>43</v>
      </c>
      <c r="J29" s="66" t="s">
        <v>42</v>
      </c>
      <c r="K29" s="66" t="s">
        <v>42</v>
      </c>
      <c r="L29" s="66" t="s">
        <v>44</v>
      </c>
      <c r="M29" s="66" t="s">
        <v>42</v>
      </c>
      <c r="N29" s="66" t="s">
        <v>41</v>
      </c>
      <c r="O29" s="66" t="s">
        <v>41</v>
      </c>
      <c r="P29" s="66" t="s">
        <v>44</v>
      </c>
      <c r="Q29" s="66" t="s">
        <v>42</v>
      </c>
      <c r="R29" s="66" t="s">
        <v>43</v>
      </c>
      <c r="S29" s="66" t="s">
        <v>44</v>
      </c>
      <c r="T29" s="66" t="s">
        <v>44</v>
      </c>
      <c r="U29" s="66" t="s">
        <v>44</v>
      </c>
      <c r="V29" s="66" t="s">
        <v>41</v>
      </c>
      <c r="W29" s="66" t="s">
        <v>43</v>
      </c>
      <c r="X29" s="246" t="s">
        <v>42</v>
      </c>
      <c r="Y29" s="68" t="s">
        <v>44</v>
      </c>
      <c r="Z29" s="69" t="s">
        <v>43</v>
      </c>
      <c r="AA29" s="69" t="s">
        <v>41</v>
      </c>
      <c r="AB29" s="69" t="s">
        <v>43</v>
      </c>
      <c r="AC29" s="69" t="s">
        <v>41</v>
      </c>
      <c r="AD29" s="69" t="s">
        <v>41</v>
      </c>
      <c r="AE29" s="69" t="s">
        <v>42</v>
      </c>
      <c r="AF29" s="69" t="s">
        <v>44</v>
      </c>
      <c r="AG29" s="69" t="s">
        <v>43</v>
      </c>
      <c r="AH29" s="69" t="s">
        <v>44</v>
      </c>
      <c r="AI29" s="69" t="s">
        <v>41</v>
      </c>
      <c r="AJ29" s="69" t="s">
        <v>42</v>
      </c>
      <c r="AK29" s="69" t="s">
        <v>43</v>
      </c>
      <c r="AL29" s="69" t="s">
        <v>42</v>
      </c>
      <c r="AM29" s="69" t="s">
        <v>41</v>
      </c>
      <c r="AN29" s="69" t="s">
        <v>44</v>
      </c>
      <c r="AO29" s="69" t="s">
        <v>42</v>
      </c>
      <c r="AP29" s="69" t="s">
        <v>43</v>
      </c>
      <c r="AQ29" s="69" t="s">
        <v>44</v>
      </c>
      <c r="AR29" s="69" t="s">
        <v>41</v>
      </c>
      <c r="AS29" s="69" t="s">
        <v>41</v>
      </c>
      <c r="AT29" s="69" t="s">
        <v>42</v>
      </c>
      <c r="AV29" s="65"/>
      <c r="AW29" s="65"/>
      <c r="AX29" s="65"/>
      <c r="AY29" s="65"/>
      <c r="AZ29" s="65"/>
      <c r="BA29" s="65"/>
      <c r="BB29" s="65"/>
      <c r="BC29" s="354"/>
      <c r="BD29" s="65"/>
      <c r="BE29" s="65"/>
      <c r="BF29" s="362"/>
      <c r="BG29" s="24"/>
      <c r="BH29" s="65"/>
      <c r="BI29" s="65"/>
      <c r="BJ29" s="360"/>
      <c r="BK29" s="360"/>
    </row>
    <row r="30" ht="15.75" customHeight="1">
      <c r="A30" s="82">
        <v>1.0</v>
      </c>
      <c r="B30" s="71" t="s">
        <v>376</v>
      </c>
      <c r="C30" s="363" t="s">
        <v>170</v>
      </c>
      <c r="D30" s="364" t="s">
        <v>42</v>
      </c>
      <c r="E30" s="365" t="s">
        <v>41</v>
      </c>
      <c r="F30" s="365" t="s">
        <v>41</v>
      </c>
      <c r="G30" s="365" t="s">
        <v>44</v>
      </c>
      <c r="H30" s="365" t="s">
        <v>43</v>
      </c>
      <c r="I30" s="365" t="s">
        <v>44</v>
      </c>
      <c r="J30" s="365" t="s">
        <v>44</v>
      </c>
      <c r="K30" s="365" t="s">
        <v>42</v>
      </c>
      <c r="L30" s="365" t="s">
        <v>42</v>
      </c>
      <c r="M30" s="365" t="s">
        <v>43</v>
      </c>
      <c r="N30" s="365" t="s">
        <v>41</v>
      </c>
      <c r="O30" s="365" t="s">
        <v>43</v>
      </c>
      <c r="P30" s="365" t="s">
        <v>42</v>
      </c>
      <c r="Q30" s="365" t="s">
        <v>43</v>
      </c>
      <c r="R30" s="365" t="s">
        <v>42</v>
      </c>
      <c r="S30" s="365" t="s">
        <v>42</v>
      </c>
      <c r="T30" s="365" t="s">
        <v>44</v>
      </c>
      <c r="U30" s="365" t="s">
        <v>44</v>
      </c>
      <c r="V30" s="365" t="s">
        <v>43</v>
      </c>
      <c r="W30" s="365" t="s">
        <v>43</v>
      </c>
      <c r="X30" s="366" t="s">
        <v>42</v>
      </c>
      <c r="Y30" s="367" t="s">
        <v>44</v>
      </c>
      <c r="Z30" s="365" t="s">
        <v>43</v>
      </c>
      <c r="AA30" s="365" t="s">
        <v>42</v>
      </c>
      <c r="AB30" s="365" t="s">
        <v>43</v>
      </c>
      <c r="AC30" s="365" t="s">
        <v>41</v>
      </c>
      <c r="AD30" s="365" t="s">
        <v>41</v>
      </c>
      <c r="AE30" s="365" t="s">
        <v>42</v>
      </c>
      <c r="AF30" s="365" t="s">
        <v>44</v>
      </c>
      <c r="AG30" s="365" t="s">
        <v>173</v>
      </c>
      <c r="AH30" s="365" t="s">
        <v>42</v>
      </c>
      <c r="AI30" s="365" t="s">
        <v>44</v>
      </c>
      <c r="AJ30" s="365" t="s">
        <v>42</v>
      </c>
      <c r="AK30" s="365" t="s">
        <v>43</v>
      </c>
      <c r="AL30" s="365" t="s">
        <v>42</v>
      </c>
      <c r="AM30" s="365" t="s">
        <v>41</v>
      </c>
      <c r="AN30" s="365" t="s">
        <v>44</v>
      </c>
      <c r="AO30" s="365" t="s">
        <v>42</v>
      </c>
      <c r="AP30" s="365" t="s">
        <v>41</v>
      </c>
      <c r="AQ30" s="365" t="s">
        <v>44</v>
      </c>
      <c r="AR30" s="365" t="s">
        <v>43</v>
      </c>
      <c r="AS30" s="365" t="s">
        <v>41</v>
      </c>
      <c r="AT30" s="365" t="s">
        <v>42</v>
      </c>
      <c r="AU30" s="368"/>
      <c r="AV30" s="369" t="s">
        <v>41</v>
      </c>
      <c r="AW30" s="370" t="s">
        <v>173</v>
      </c>
      <c r="AX30" s="370" t="s">
        <v>173</v>
      </c>
      <c r="AY30" s="370" t="s">
        <v>173</v>
      </c>
      <c r="AZ30" s="370" t="s">
        <v>173</v>
      </c>
      <c r="BA30" s="371">
        <f t="shared" ref="BA30:BA52" si="1">(100/16)*((SUM(AW30:AZ30)))</f>
        <v>0</v>
      </c>
      <c r="BB30" s="372" t="str">
        <f t="shared" ref="BB30:BB52" si="2">IF((SUM(BA30))&lt;=25, "Abaixo do Básico", IF((SUM(BA30))&lt;=50, "Básico", IF((SUM(BA30))&lt;=75, "Adequado", "Avançado")))</f>
        <v>Abaixo do Básico</v>
      </c>
      <c r="BC30" s="373"/>
      <c r="BD30" s="374">
        <f t="shared" ref="BD30:BD52" si="3">SUMPRODUCT(--(D30:X30=D$29:X$29))</f>
        <v>8</v>
      </c>
      <c r="BE30" s="374">
        <f t="shared" ref="BE30:BE52" si="4">SUMPRODUCT((D30:X30=D$29:X$29)*D$28:X$28)</f>
        <v>144</v>
      </c>
      <c r="BF30" s="375" t="str">
        <f t="shared" ref="BF30:BF52" si="5">IF((SUM(BE30))&lt;=125, "Abaixo do Básico", IF((SUM(BE30))&lt;=250, "Básico", IF((SUM(BE30))&lt;=375, "Adequado", "Avançado")))</f>
        <v>Básico</v>
      </c>
      <c r="BG30" s="376">
        <f t="shared" ref="BG30:BG52" si="6">SUMPRODUCT(--(Y30:AT30=Y$29:AT$29))</f>
        <v>16</v>
      </c>
      <c r="BH30" s="374">
        <f t="shared" ref="BH30:BH52" si="7">SUMPRODUCT((Y30:AT30=Y$29:AT$29)*Y$28:AT$28)</f>
        <v>365</v>
      </c>
      <c r="BI30" s="377" t="str">
        <f t="shared" ref="BI30:BI52" si="8">IF((SUM(BH30))&lt;=125, "Abaixo do Básico", IF((SUM(BH30))&lt;=250, "Básico", IF((SUM(BH30))&lt;=375, "Adequado", "Avançado")))</f>
        <v>Adequado</v>
      </c>
      <c r="BJ30" s="25"/>
      <c r="BK30" s="25"/>
    </row>
    <row r="31" ht="15.75" customHeight="1">
      <c r="A31" s="82">
        <v>2.0</v>
      </c>
      <c r="B31" s="378" t="s">
        <v>377</v>
      </c>
      <c r="C31" s="363" t="s">
        <v>170</v>
      </c>
      <c r="D31" s="379" t="s">
        <v>41</v>
      </c>
      <c r="E31" s="365" t="s">
        <v>41</v>
      </c>
      <c r="F31" s="365" t="s">
        <v>41</v>
      </c>
      <c r="G31" s="365" t="s">
        <v>42</v>
      </c>
      <c r="H31" s="365" t="s">
        <v>42</v>
      </c>
      <c r="I31" s="365" t="s">
        <v>43</v>
      </c>
      <c r="J31" s="365" t="s">
        <v>42</v>
      </c>
      <c r="K31" s="365" t="s">
        <v>42</v>
      </c>
      <c r="L31" s="365" t="s">
        <v>44</v>
      </c>
      <c r="M31" s="365" t="s">
        <v>41</v>
      </c>
      <c r="N31" s="365" t="s">
        <v>41</v>
      </c>
      <c r="O31" s="365" t="s">
        <v>41</v>
      </c>
      <c r="P31" s="365" t="s">
        <v>44</v>
      </c>
      <c r="Q31" s="365" t="s">
        <v>42</v>
      </c>
      <c r="R31" s="365" t="s">
        <v>43</v>
      </c>
      <c r="S31" s="365" t="s">
        <v>44</v>
      </c>
      <c r="T31" s="365" t="s">
        <v>44</v>
      </c>
      <c r="U31" s="365" t="s">
        <v>44</v>
      </c>
      <c r="V31" s="365" t="s">
        <v>41</v>
      </c>
      <c r="W31" s="365" t="s">
        <v>43</v>
      </c>
      <c r="X31" s="366" t="s">
        <v>42</v>
      </c>
      <c r="Y31" s="367" t="s">
        <v>44</v>
      </c>
      <c r="Z31" s="365" t="s">
        <v>43</v>
      </c>
      <c r="AA31" s="365" t="s">
        <v>42</v>
      </c>
      <c r="AB31" s="365" t="s">
        <v>43</v>
      </c>
      <c r="AC31" s="365" t="s">
        <v>41</v>
      </c>
      <c r="AD31" s="365" t="s">
        <v>41</v>
      </c>
      <c r="AE31" s="365" t="s">
        <v>42</v>
      </c>
      <c r="AF31" s="365" t="s">
        <v>44</v>
      </c>
      <c r="AG31" s="365" t="s">
        <v>43</v>
      </c>
      <c r="AH31" s="365" t="s">
        <v>44</v>
      </c>
      <c r="AI31" s="365" t="s">
        <v>43</v>
      </c>
      <c r="AJ31" s="365" t="s">
        <v>44</v>
      </c>
      <c r="AK31" s="365" t="s">
        <v>41</v>
      </c>
      <c r="AL31" s="365" t="s">
        <v>42</v>
      </c>
      <c r="AM31" s="365" t="s">
        <v>43</v>
      </c>
      <c r="AN31" s="365" t="s">
        <v>42</v>
      </c>
      <c r="AO31" s="365" t="s">
        <v>41</v>
      </c>
      <c r="AP31" s="365" t="s">
        <v>44</v>
      </c>
      <c r="AQ31" s="365" t="s">
        <v>42</v>
      </c>
      <c r="AR31" s="365" t="s">
        <v>41</v>
      </c>
      <c r="AS31" s="365" t="s">
        <v>173</v>
      </c>
      <c r="AT31" s="365" t="s">
        <v>173</v>
      </c>
      <c r="AU31" s="368"/>
      <c r="AV31" s="369" t="s">
        <v>44</v>
      </c>
      <c r="AW31" s="370">
        <v>3.0</v>
      </c>
      <c r="AX31" s="370">
        <v>3.0</v>
      </c>
      <c r="AY31" s="370">
        <v>2.0</v>
      </c>
      <c r="AZ31" s="370">
        <v>2.0</v>
      </c>
      <c r="BA31" s="371">
        <f t="shared" si="1"/>
        <v>62.5</v>
      </c>
      <c r="BB31" s="372" t="str">
        <f t="shared" si="2"/>
        <v>Adequado</v>
      </c>
      <c r="BC31" s="373"/>
      <c r="BD31" s="374">
        <f t="shared" si="3"/>
        <v>20</v>
      </c>
      <c r="BE31" s="374">
        <f t="shared" si="4"/>
        <v>459</v>
      </c>
      <c r="BF31" s="375" t="str">
        <f t="shared" si="5"/>
        <v>Avançado</v>
      </c>
      <c r="BG31" s="376">
        <f t="shared" si="6"/>
        <v>11</v>
      </c>
      <c r="BH31" s="374">
        <f t="shared" si="7"/>
        <v>240</v>
      </c>
      <c r="BI31" s="377" t="str">
        <f t="shared" si="8"/>
        <v>Básico</v>
      </c>
      <c r="BJ31" s="25"/>
      <c r="BK31" s="25"/>
    </row>
    <row r="32" ht="15.75" customHeight="1">
      <c r="A32" s="82">
        <v>3.0</v>
      </c>
      <c r="B32" s="378" t="s">
        <v>378</v>
      </c>
      <c r="C32" s="363" t="s">
        <v>170</v>
      </c>
      <c r="D32" s="379" t="s">
        <v>41</v>
      </c>
      <c r="E32" s="365" t="s">
        <v>41</v>
      </c>
      <c r="F32" s="365" t="s">
        <v>43</v>
      </c>
      <c r="G32" s="365" t="s">
        <v>42</v>
      </c>
      <c r="H32" s="365" t="s">
        <v>42</v>
      </c>
      <c r="I32" s="365" t="s">
        <v>43</v>
      </c>
      <c r="J32" s="365" t="s">
        <v>42</v>
      </c>
      <c r="K32" s="365" t="s">
        <v>42</v>
      </c>
      <c r="L32" s="365" t="s">
        <v>44</v>
      </c>
      <c r="M32" s="365" t="s">
        <v>41</v>
      </c>
      <c r="N32" s="365" t="s">
        <v>41</v>
      </c>
      <c r="O32" s="365" t="s">
        <v>41</v>
      </c>
      <c r="P32" s="365" t="s">
        <v>44</v>
      </c>
      <c r="Q32" s="365" t="s">
        <v>42</v>
      </c>
      <c r="R32" s="365" t="s">
        <v>43</v>
      </c>
      <c r="S32" s="365" t="s">
        <v>44</v>
      </c>
      <c r="T32" s="365" t="s">
        <v>44</v>
      </c>
      <c r="U32" s="365" t="s">
        <v>44</v>
      </c>
      <c r="V32" s="365" t="s">
        <v>41</v>
      </c>
      <c r="W32" s="365" t="s">
        <v>43</v>
      </c>
      <c r="X32" s="366" t="s">
        <v>42</v>
      </c>
      <c r="Y32" s="367" t="s">
        <v>44</v>
      </c>
      <c r="Z32" s="365" t="s">
        <v>43</v>
      </c>
      <c r="AA32" s="365" t="s">
        <v>42</v>
      </c>
      <c r="AB32" s="365" t="s">
        <v>43</v>
      </c>
      <c r="AC32" s="365" t="s">
        <v>41</v>
      </c>
      <c r="AD32" s="365" t="s">
        <v>41</v>
      </c>
      <c r="AE32" s="365" t="s">
        <v>42</v>
      </c>
      <c r="AF32" s="365" t="s">
        <v>44</v>
      </c>
      <c r="AG32" s="365" t="s">
        <v>43</v>
      </c>
      <c r="AH32" s="365" t="s">
        <v>44</v>
      </c>
      <c r="AI32" s="365" t="s">
        <v>43</v>
      </c>
      <c r="AJ32" s="365" t="s">
        <v>42</v>
      </c>
      <c r="AK32" s="365" t="s">
        <v>43</v>
      </c>
      <c r="AL32" s="365" t="s">
        <v>42</v>
      </c>
      <c r="AM32" s="365" t="s">
        <v>41</v>
      </c>
      <c r="AN32" s="365" t="s">
        <v>44</v>
      </c>
      <c r="AO32" s="365" t="s">
        <v>42</v>
      </c>
      <c r="AP32" s="365" t="s">
        <v>41</v>
      </c>
      <c r="AQ32" s="365" t="s">
        <v>43</v>
      </c>
      <c r="AR32" s="365" t="s">
        <v>41</v>
      </c>
      <c r="AS32" s="365" t="s">
        <v>41</v>
      </c>
      <c r="AT32" s="365" t="s">
        <v>42</v>
      </c>
      <c r="AU32" s="368"/>
      <c r="AV32" s="369" t="s">
        <v>44</v>
      </c>
      <c r="AW32" s="370">
        <v>4.0</v>
      </c>
      <c r="AX32" s="370">
        <v>3.0</v>
      </c>
      <c r="AY32" s="370">
        <v>2.0</v>
      </c>
      <c r="AZ32" s="370">
        <v>2.0</v>
      </c>
      <c r="BA32" s="371">
        <f t="shared" si="1"/>
        <v>68.75</v>
      </c>
      <c r="BB32" s="372" t="str">
        <f t="shared" si="2"/>
        <v>Adequado</v>
      </c>
      <c r="BC32" s="373"/>
      <c r="BD32" s="374">
        <f t="shared" si="3"/>
        <v>19</v>
      </c>
      <c r="BE32" s="374">
        <f t="shared" si="4"/>
        <v>459</v>
      </c>
      <c r="BF32" s="375" t="str">
        <f t="shared" si="5"/>
        <v>Avançado</v>
      </c>
      <c r="BG32" s="376">
        <f t="shared" si="6"/>
        <v>18</v>
      </c>
      <c r="BH32" s="374">
        <f t="shared" si="7"/>
        <v>406</v>
      </c>
      <c r="BI32" s="377" t="str">
        <f t="shared" si="8"/>
        <v>Avançado</v>
      </c>
      <c r="BJ32" s="25"/>
      <c r="BK32" s="25"/>
    </row>
    <row r="33" ht="15.75" customHeight="1">
      <c r="A33" s="82">
        <v>4.0</v>
      </c>
      <c r="B33" s="378" t="s">
        <v>379</v>
      </c>
      <c r="C33" s="363" t="s">
        <v>170</v>
      </c>
      <c r="D33" s="379" t="s">
        <v>44</v>
      </c>
      <c r="E33" s="365" t="s">
        <v>43</v>
      </c>
      <c r="F33" s="365" t="s">
        <v>42</v>
      </c>
      <c r="G33" s="365" t="s">
        <v>43</v>
      </c>
      <c r="H33" s="365" t="s">
        <v>41</v>
      </c>
      <c r="I33" s="365" t="s">
        <v>41</v>
      </c>
      <c r="J33" s="365" t="s">
        <v>42</v>
      </c>
      <c r="K33" s="365" t="s">
        <v>41</v>
      </c>
      <c r="L33" s="365" t="s">
        <v>43</v>
      </c>
      <c r="M33" s="365" t="s">
        <v>44</v>
      </c>
      <c r="N33" s="365" t="s">
        <v>41</v>
      </c>
      <c r="O33" s="365" t="s">
        <v>42</v>
      </c>
      <c r="P33" s="365" t="s">
        <v>43</v>
      </c>
      <c r="Q33" s="365" t="s">
        <v>42</v>
      </c>
      <c r="R33" s="365" t="s">
        <v>41</v>
      </c>
      <c r="S33" s="365" t="s">
        <v>43</v>
      </c>
      <c r="T33" s="365" t="s">
        <v>43</v>
      </c>
      <c r="U33" s="365" t="s">
        <v>41</v>
      </c>
      <c r="V33" s="365" t="s">
        <v>43</v>
      </c>
      <c r="W33" s="365" t="s">
        <v>41</v>
      </c>
      <c r="X33" s="366" t="s">
        <v>41</v>
      </c>
      <c r="Y33" s="367" t="s">
        <v>42</v>
      </c>
      <c r="Z33" s="365" t="s">
        <v>43</v>
      </c>
      <c r="AA33" s="365" t="s">
        <v>42</v>
      </c>
      <c r="AB33" s="365" t="s">
        <v>43</v>
      </c>
      <c r="AC33" s="365" t="s">
        <v>41</v>
      </c>
      <c r="AD33" s="365" t="s">
        <v>41</v>
      </c>
      <c r="AE33" s="365" t="s">
        <v>42</v>
      </c>
      <c r="AF33" s="365" t="s">
        <v>41</v>
      </c>
      <c r="AG33" s="365" t="s">
        <v>43</v>
      </c>
      <c r="AH33" s="365" t="s">
        <v>44</v>
      </c>
      <c r="AI33" s="365" t="s">
        <v>41</v>
      </c>
      <c r="AJ33" s="365" t="s">
        <v>42</v>
      </c>
      <c r="AK33" s="365" t="s">
        <v>43</v>
      </c>
      <c r="AL33" s="365" t="s">
        <v>42</v>
      </c>
      <c r="AM33" s="365" t="s">
        <v>41</v>
      </c>
      <c r="AN33" s="365" t="s">
        <v>43</v>
      </c>
      <c r="AO33" s="365" t="s">
        <v>43</v>
      </c>
      <c r="AP33" s="365" t="s">
        <v>41</v>
      </c>
      <c r="AQ33" s="365" t="s">
        <v>43</v>
      </c>
      <c r="AR33" s="365" t="s">
        <v>41</v>
      </c>
      <c r="AS33" s="365" t="s">
        <v>41</v>
      </c>
      <c r="AT33" s="365" t="s">
        <v>42</v>
      </c>
      <c r="AU33" s="368"/>
      <c r="AV33" s="369" t="s">
        <v>42</v>
      </c>
      <c r="AW33" s="370" t="s">
        <v>173</v>
      </c>
      <c r="AX33" s="370" t="s">
        <v>173</v>
      </c>
      <c r="AY33" s="370" t="s">
        <v>173</v>
      </c>
      <c r="AZ33" s="370" t="s">
        <v>173</v>
      </c>
      <c r="BA33" s="371">
        <f t="shared" si="1"/>
        <v>0</v>
      </c>
      <c r="BB33" s="372" t="str">
        <f t="shared" si="2"/>
        <v>Abaixo do Básico</v>
      </c>
      <c r="BC33" s="373"/>
      <c r="BD33" s="374">
        <f t="shared" si="3"/>
        <v>3</v>
      </c>
      <c r="BE33" s="374">
        <f t="shared" si="4"/>
        <v>63</v>
      </c>
      <c r="BF33" s="375" t="str">
        <f t="shared" si="5"/>
        <v>Abaixo do Básico</v>
      </c>
      <c r="BG33" s="376">
        <f t="shared" si="6"/>
        <v>15</v>
      </c>
      <c r="BH33" s="374">
        <f t="shared" si="7"/>
        <v>340</v>
      </c>
      <c r="BI33" s="377" t="str">
        <f t="shared" si="8"/>
        <v>Adequado</v>
      </c>
      <c r="BJ33" s="25"/>
      <c r="BK33" s="25"/>
    </row>
    <row r="34" ht="15.75" customHeight="1">
      <c r="A34" s="82">
        <v>5.0</v>
      </c>
      <c r="B34" s="378" t="s">
        <v>380</v>
      </c>
      <c r="C34" s="363" t="s">
        <v>170</v>
      </c>
      <c r="D34" s="379" t="s">
        <v>41</v>
      </c>
      <c r="E34" s="365" t="s">
        <v>41</v>
      </c>
      <c r="F34" s="365" t="s">
        <v>41</v>
      </c>
      <c r="G34" s="365" t="s">
        <v>42</v>
      </c>
      <c r="H34" s="365" t="s">
        <v>42</v>
      </c>
      <c r="I34" s="365" t="s">
        <v>43</v>
      </c>
      <c r="J34" s="365" t="s">
        <v>42</v>
      </c>
      <c r="K34" s="365" t="s">
        <v>42</v>
      </c>
      <c r="L34" s="365" t="s">
        <v>44</v>
      </c>
      <c r="M34" s="365" t="s">
        <v>41</v>
      </c>
      <c r="N34" s="365" t="s">
        <v>41</v>
      </c>
      <c r="O34" s="365" t="s">
        <v>41</v>
      </c>
      <c r="P34" s="365" t="s">
        <v>44</v>
      </c>
      <c r="Q34" s="365" t="s">
        <v>42</v>
      </c>
      <c r="R34" s="365" t="s">
        <v>43</v>
      </c>
      <c r="S34" s="365" t="s">
        <v>44</v>
      </c>
      <c r="T34" s="365" t="s">
        <v>44</v>
      </c>
      <c r="U34" s="365" t="s">
        <v>44</v>
      </c>
      <c r="V34" s="365" t="s">
        <v>41</v>
      </c>
      <c r="W34" s="365" t="s">
        <v>43</v>
      </c>
      <c r="X34" s="366" t="s">
        <v>42</v>
      </c>
      <c r="Y34" s="367" t="s">
        <v>44</v>
      </c>
      <c r="Z34" s="365" t="s">
        <v>43</v>
      </c>
      <c r="AA34" s="365" t="s">
        <v>42</v>
      </c>
      <c r="AB34" s="365" t="s">
        <v>43</v>
      </c>
      <c r="AC34" s="365" t="s">
        <v>41</v>
      </c>
      <c r="AD34" s="365" t="s">
        <v>41</v>
      </c>
      <c r="AE34" s="365" t="s">
        <v>42</v>
      </c>
      <c r="AF34" s="365" t="s">
        <v>44</v>
      </c>
      <c r="AG34" s="365" t="s">
        <v>43</v>
      </c>
      <c r="AH34" s="365" t="s">
        <v>44</v>
      </c>
      <c r="AI34" s="365" t="s">
        <v>41</v>
      </c>
      <c r="AJ34" s="365" t="s">
        <v>42</v>
      </c>
      <c r="AK34" s="365" t="s">
        <v>42</v>
      </c>
      <c r="AL34" s="365" t="s">
        <v>42</v>
      </c>
      <c r="AM34" s="365" t="s">
        <v>41</v>
      </c>
      <c r="AN34" s="365" t="s">
        <v>44</v>
      </c>
      <c r="AO34" s="365" t="s">
        <v>42</v>
      </c>
      <c r="AP34" s="365" t="s">
        <v>41</v>
      </c>
      <c r="AQ34" s="365" t="s">
        <v>43</v>
      </c>
      <c r="AR34" s="365" t="s">
        <v>41</v>
      </c>
      <c r="AS34" s="365" t="s">
        <v>41</v>
      </c>
      <c r="AT34" s="365" t="s">
        <v>42</v>
      </c>
      <c r="AU34" s="368"/>
      <c r="AV34" s="369" t="s">
        <v>44</v>
      </c>
      <c r="AW34" s="370">
        <v>4.0</v>
      </c>
      <c r="AX34" s="370">
        <v>3.0</v>
      </c>
      <c r="AY34" s="370">
        <v>3.0</v>
      </c>
      <c r="AZ34" s="370">
        <v>2.0</v>
      </c>
      <c r="BA34" s="371">
        <f t="shared" si="1"/>
        <v>75</v>
      </c>
      <c r="BB34" s="372" t="str">
        <f t="shared" si="2"/>
        <v>Adequado</v>
      </c>
      <c r="BC34" s="373"/>
      <c r="BD34" s="374">
        <f t="shared" si="3"/>
        <v>20</v>
      </c>
      <c r="BE34" s="374">
        <f t="shared" si="4"/>
        <v>459</v>
      </c>
      <c r="BF34" s="375" t="str">
        <f t="shared" si="5"/>
        <v>Avançado</v>
      </c>
      <c r="BG34" s="376">
        <f t="shared" si="6"/>
        <v>18</v>
      </c>
      <c r="BH34" s="374">
        <f t="shared" si="7"/>
        <v>406</v>
      </c>
      <c r="BI34" s="377" t="str">
        <f t="shared" si="8"/>
        <v>Avançado</v>
      </c>
      <c r="BJ34" s="25"/>
      <c r="BK34" s="25"/>
    </row>
    <row r="35" ht="15.75" customHeight="1">
      <c r="A35" s="82">
        <v>6.0</v>
      </c>
      <c r="B35" s="378" t="s">
        <v>381</v>
      </c>
      <c r="C35" s="363" t="s">
        <v>170</v>
      </c>
      <c r="D35" s="379" t="s">
        <v>173</v>
      </c>
      <c r="E35" s="365" t="s">
        <v>173</v>
      </c>
      <c r="F35" s="365" t="s">
        <v>41</v>
      </c>
      <c r="G35" s="365" t="s">
        <v>42</v>
      </c>
      <c r="H35" s="365" t="s">
        <v>42</v>
      </c>
      <c r="I35" s="365" t="s">
        <v>43</v>
      </c>
      <c r="J35" s="365" t="s">
        <v>173</v>
      </c>
      <c r="K35" s="365" t="s">
        <v>41</v>
      </c>
      <c r="L35" s="365" t="s">
        <v>44</v>
      </c>
      <c r="M35" s="365" t="s">
        <v>42</v>
      </c>
      <c r="N35" s="365" t="s">
        <v>41</v>
      </c>
      <c r="O35" s="365" t="s">
        <v>41</v>
      </c>
      <c r="P35" s="365" t="s">
        <v>44</v>
      </c>
      <c r="Q35" s="365" t="s">
        <v>42</v>
      </c>
      <c r="R35" s="365" t="s">
        <v>43</v>
      </c>
      <c r="S35" s="365" t="s">
        <v>44</v>
      </c>
      <c r="T35" s="365" t="s">
        <v>44</v>
      </c>
      <c r="U35" s="365" t="s">
        <v>44</v>
      </c>
      <c r="V35" s="365" t="s">
        <v>41</v>
      </c>
      <c r="W35" s="365" t="s">
        <v>43</v>
      </c>
      <c r="X35" s="366" t="s">
        <v>42</v>
      </c>
      <c r="Y35" s="367" t="s">
        <v>44</v>
      </c>
      <c r="Z35" s="365" t="s">
        <v>41</v>
      </c>
      <c r="AA35" s="365" t="s">
        <v>42</v>
      </c>
      <c r="AB35" s="365" t="s">
        <v>43</v>
      </c>
      <c r="AC35" s="365" t="s">
        <v>41</v>
      </c>
      <c r="AD35" s="365" t="s">
        <v>41</v>
      </c>
      <c r="AE35" s="365" t="s">
        <v>173</v>
      </c>
      <c r="AF35" s="365" t="s">
        <v>44</v>
      </c>
      <c r="AG35" s="365" t="s">
        <v>43</v>
      </c>
      <c r="AH35" s="365" t="s">
        <v>44</v>
      </c>
      <c r="AI35" s="365" t="s">
        <v>41</v>
      </c>
      <c r="AJ35" s="365" t="s">
        <v>42</v>
      </c>
      <c r="AK35" s="365" t="s">
        <v>43</v>
      </c>
      <c r="AL35" s="365" t="s">
        <v>42</v>
      </c>
      <c r="AM35" s="365" t="s">
        <v>41</v>
      </c>
      <c r="AN35" s="365" t="s">
        <v>44</v>
      </c>
      <c r="AO35" s="365" t="s">
        <v>42</v>
      </c>
      <c r="AP35" s="365" t="s">
        <v>41</v>
      </c>
      <c r="AQ35" s="365" t="s">
        <v>43</v>
      </c>
      <c r="AR35" s="365" t="s">
        <v>42</v>
      </c>
      <c r="AS35" s="365" t="s">
        <v>41</v>
      </c>
      <c r="AT35" s="365" t="s">
        <v>42</v>
      </c>
      <c r="AU35" s="368"/>
      <c r="AV35" s="369" t="s">
        <v>44</v>
      </c>
      <c r="AW35" s="370">
        <v>3.0</v>
      </c>
      <c r="AX35" s="370">
        <v>2.0</v>
      </c>
      <c r="AY35" s="370">
        <v>2.0</v>
      </c>
      <c r="AZ35" s="370">
        <v>2.0</v>
      </c>
      <c r="BA35" s="371">
        <f t="shared" si="1"/>
        <v>56.25</v>
      </c>
      <c r="BB35" s="372" t="str">
        <f t="shared" si="2"/>
        <v>Adequado</v>
      </c>
      <c r="BC35" s="373"/>
      <c r="BD35" s="374">
        <f t="shared" si="3"/>
        <v>17</v>
      </c>
      <c r="BE35" s="374">
        <f t="shared" si="4"/>
        <v>432</v>
      </c>
      <c r="BF35" s="375" t="str">
        <f t="shared" si="5"/>
        <v>Avançado</v>
      </c>
      <c r="BG35" s="376">
        <f t="shared" si="6"/>
        <v>16</v>
      </c>
      <c r="BH35" s="374">
        <f t="shared" si="7"/>
        <v>373</v>
      </c>
      <c r="BI35" s="377" t="str">
        <f t="shared" si="8"/>
        <v>Adequado</v>
      </c>
      <c r="BJ35" s="25"/>
      <c r="BK35" s="25"/>
    </row>
    <row r="36" ht="15.75" customHeight="1">
      <c r="A36" s="82">
        <v>7.0</v>
      </c>
      <c r="B36" s="378" t="s">
        <v>382</v>
      </c>
      <c r="C36" s="363" t="s">
        <v>170</v>
      </c>
      <c r="D36" s="379" t="s">
        <v>41</v>
      </c>
      <c r="E36" s="365" t="s">
        <v>41</v>
      </c>
      <c r="F36" s="365" t="s">
        <v>173</v>
      </c>
      <c r="G36" s="365" t="s">
        <v>42</v>
      </c>
      <c r="H36" s="365" t="s">
        <v>42</v>
      </c>
      <c r="I36" s="365" t="s">
        <v>43</v>
      </c>
      <c r="J36" s="365" t="s">
        <v>43</v>
      </c>
      <c r="K36" s="365" t="s">
        <v>42</v>
      </c>
      <c r="L36" s="365" t="s">
        <v>44</v>
      </c>
      <c r="M36" s="365" t="s">
        <v>41</v>
      </c>
      <c r="N36" s="365" t="s">
        <v>41</v>
      </c>
      <c r="O36" s="365" t="s">
        <v>41</v>
      </c>
      <c r="P36" s="365" t="s">
        <v>44</v>
      </c>
      <c r="Q36" s="365" t="s">
        <v>42</v>
      </c>
      <c r="R36" s="365" t="s">
        <v>43</v>
      </c>
      <c r="S36" s="365" t="s">
        <v>44</v>
      </c>
      <c r="T36" s="365" t="s">
        <v>44</v>
      </c>
      <c r="U36" s="365" t="s">
        <v>44</v>
      </c>
      <c r="V36" s="365" t="s">
        <v>41</v>
      </c>
      <c r="W36" s="365" t="s">
        <v>43</v>
      </c>
      <c r="X36" s="366" t="s">
        <v>42</v>
      </c>
      <c r="Y36" s="367" t="s">
        <v>173</v>
      </c>
      <c r="Z36" s="365" t="s">
        <v>43</v>
      </c>
      <c r="AA36" s="365" t="s">
        <v>42</v>
      </c>
      <c r="AB36" s="365" t="s">
        <v>43</v>
      </c>
      <c r="AC36" s="365" t="s">
        <v>41</v>
      </c>
      <c r="AD36" s="365" t="s">
        <v>41</v>
      </c>
      <c r="AE36" s="365" t="s">
        <v>42</v>
      </c>
      <c r="AF36" s="365" t="s">
        <v>44</v>
      </c>
      <c r="AG36" s="365" t="s">
        <v>43</v>
      </c>
      <c r="AH36" s="365" t="s">
        <v>44</v>
      </c>
      <c r="AI36" s="365" t="s">
        <v>41</v>
      </c>
      <c r="AJ36" s="365" t="s">
        <v>42</v>
      </c>
      <c r="AK36" s="365" t="s">
        <v>43</v>
      </c>
      <c r="AL36" s="365" t="s">
        <v>42</v>
      </c>
      <c r="AM36" s="365" t="s">
        <v>41</v>
      </c>
      <c r="AN36" s="365" t="s">
        <v>44</v>
      </c>
      <c r="AO36" s="365" t="s">
        <v>42</v>
      </c>
      <c r="AP36" s="365" t="s">
        <v>41</v>
      </c>
      <c r="AQ36" s="365" t="s">
        <v>43</v>
      </c>
      <c r="AR36" s="365" t="s">
        <v>41</v>
      </c>
      <c r="AS36" s="365" t="s">
        <v>41</v>
      </c>
      <c r="AT36" s="365" t="s">
        <v>42</v>
      </c>
      <c r="AU36" s="368"/>
      <c r="AV36" s="369" t="s">
        <v>41</v>
      </c>
      <c r="AW36" s="370" t="s">
        <v>173</v>
      </c>
      <c r="AX36" s="370" t="s">
        <v>173</v>
      </c>
      <c r="AY36" s="370" t="s">
        <v>173</v>
      </c>
      <c r="AZ36" s="370" t="s">
        <v>173</v>
      </c>
      <c r="BA36" s="371">
        <f t="shared" si="1"/>
        <v>0</v>
      </c>
      <c r="BB36" s="372" t="str">
        <f t="shared" si="2"/>
        <v>Abaixo do Básico</v>
      </c>
      <c r="BC36" s="373"/>
      <c r="BD36" s="374">
        <f t="shared" si="3"/>
        <v>18</v>
      </c>
      <c r="BE36" s="374">
        <f t="shared" si="4"/>
        <v>441</v>
      </c>
      <c r="BF36" s="375" t="str">
        <f t="shared" si="5"/>
        <v>Avançado</v>
      </c>
      <c r="BG36" s="376">
        <f t="shared" si="6"/>
        <v>18</v>
      </c>
      <c r="BH36" s="374">
        <f t="shared" si="7"/>
        <v>406</v>
      </c>
      <c r="BI36" s="377" t="str">
        <f t="shared" si="8"/>
        <v>Avançado</v>
      </c>
      <c r="BJ36" s="25"/>
      <c r="BK36" s="25"/>
    </row>
    <row r="37" ht="15.75" customHeight="1">
      <c r="A37" s="82">
        <v>8.0</v>
      </c>
      <c r="B37" s="378" t="s">
        <v>383</v>
      </c>
      <c r="C37" s="363" t="s">
        <v>170</v>
      </c>
      <c r="D37" s="379" t="s">
        <v>41</v>
      </c>
      <c r="E37" s="365" t="s">
        <v>41</v>
      </c>
      <c r="F37" s="365" t="s">
        <v>41</v>
      </c>
      <c r="G37" s="365" t="s">
        <v>42</v>
      </c>
      <c r="H37" s="365" t="s">
        <v>42</v>
      </c>
      <c r="I37" s="365" t="s">
        <v>43</v>
      </c>
      <c r="J37" s="365" t="s">
        <v>42</v>
      </c>
      <c r="K37" s="365" t="s">
        <v>42</v>
      </c>
      <c r="L37" s="365" t="s">
        <v>44</v>
      </c>
      <c r="M37" s="365" t="s">
        <v>41</v>
      </c>
      <c r="N37" s="365" t="s">
        <v>41</v>
      </c>
      <c r="O37" s="365" t="s">
        <v>41</v>
      </c>
      <c r="P37" s="365" t="s">
        <v>44</v>
      </c>
      <c r="Q37" s="365" t="s">
        <v>42</v>
      </c>
      <c r="R37" s="365" t="s">
        <v>43</v>
      </c>
      <c r="S37" s="365" t="s">
        <v>44</v>
      </c>
      <c r="T37" s="365" t="s">
        <v>44</v>
      </c>
      <c r="U37" s="365" t="s">
        <v>44</v>
      </c>
      <c r="V37" s="365" t="s">
        <v>41</v>
      </c>
      <c r="W37" s="365" t="s">
        <v>43</v>
      </c>
      <c r="X37" s="366" t="s">
        <v>42</v>
      </c>
      <c r="Y37" s="367" t="s">
        <v>44</v>
      </c>
      <c r="Z37" s="365" t="s">
        <v>43</v>
      </c>
      <c r="AA37" s="365" t="s">
        <v>42</v>
      </c>
      <c r="AB37" s="365" t="s">
        <v>43</v>
      </c>
      <c r="AC37" s="365" t="s">
        <v>41</v>
      </c>
      <c r="AD37" s="365" t="s">
        <v>41</v>
      </c>
      <c r="AE37" s="365" t="s">
        <v>42</v>
      </c>
      <c r="AF37" s="365" t="s">
        <v>44</v>
      </c>
      <c r="AG37" s="365" t="s">
        <v>43</v>
      </c>
      <c r="AH37" s="365" t="s">
        <v>44</v>
      </c>
      <c r="AI37" s="365" t="s">
        <v>41</v>
      </c>
      <c r="AJ37" s="365" t="s">
        <v>42</v>
      </c>
      <c r="AK37" s="365" t="s">
        <v>43</v>
      </c>
      <c r="AL37" s="365" t="s">
        <v>42</v>
      </c>
      <c r="AM37" s="365" t="s">
        <v>41</v>
      </c>
      <c r="AN37" s="365" t="s">
        <v>44</v>
      </c>
      <c r="AO37" s="365" t="s">
        <v>42</v>
      </c>
      <c r="AP37" s="365" t="s">
        <v>41</v>
      </c>
      <c r="AQ37" s="365" t="s">
        <v>43</v>
      </c>
      <c r="AR37" s="365" t="s">
        <v>41</v>
      </c>
      <c r="AS37" s="365" t="s">
        <v>41</v>
      </c>
      <c r="AT37" s="365" t="s">
        <v>42</v>
      </c>
      <c r="AU37" s="380"/>
      <c r="AV37" s="369" t="s">
        <v>44</v>
      </c>
      <c r="AW37" s="370">
        <v>3.0</v>
      </c>
      <c r="AX37" s="370">
        <v>3.0</v>
      </c>
      <c r="AY37" s="370">
        <v>2.0</v>
      </c>
      <c r="AZ37" s="370">
        <v>2.0</v>
      </c>
      <c r="BA37" s="371">
        <f t="shared" si="1"/>
        <v>62.5</v>
      </c>
      <c r="BB37" s="372" t="str">
        <f t="shared" si="2"/>
        <v>Adequado</v>
      </c>
      <c r="BC37" s="373"/>
      <c r="BD37" s="374">
        <f t="shared" si="3"/>
        <v>20</v>
      </c>
      <c r="BE37" s="374">
        <f t="shared" si="4"/>
        <v>459</v>
      </c>
      <c r="BF37" s="375" t="str">
        <f t="shared" si="5"/>
        <v>Avançado</v>
      </c>
      <c r="BG37" s="376">
        <f t="shared" si="6"/>
        <v>19</v>
      </c>
      <c r="BH37" s="374">
        <f t="shared" si="7"/>
        <v>431</v>
      </c>
      <c r="BI37" s="377" t="str">
        <f t="shared" si="8"/>
        <v>Avançado</v>
      </c>
      <c r="BJ37" s="25"/>
      <c r="BK37" s="25"/>
    </row>
    <row r="38" ht="15.75" customHeight="1">
      <c r="A38" s="82">
        <v>9.0</v>
      </c>
      <c r="B38" s="378" t="s">
        <v>384</v>
      </c>
      <c r="C38" s="363" t="s">
        <v>170</v>
      </c>
      <c r="D38" s="379" t="s">
        <v>41</v>
      </c>
      <c r="E38" s="365" t="s">
        <v>41</v>
      </c>
      <c r="F38" s="365" t="s">
        <v>41</v>
      </c>
      <c r="G38" s="365" t="s">
        <v>42</v>
      </c>
      <c r="H38" s="365" t="s">
        <v>42</v>
      </c>
      <c r="I38" s="365" t="s">
        <v>43</v>
      </c>
      <c r="J38" s="365" t="s">
        <v>42</v>
      </c>
      <c r="K38" s="365" t="s">
        <v>42</v>
      </c>
      <c r="L38" s="365" t="s">
        <v>44</v>
      </c>
      <c r="M38" s="365" t="s">
        <v>41</v>
      </c>
      <c r="N38" s="365" t="s">
        <v>41</v>
      </c>
      <c r="O38" s="365" t="s">
        <v>42</v>
      </c>
      <c r="P38" s="365" t="s">
        <v>44</v>
      </c>
      <c r="Q38" s="365" t="s">
        <v>42</v>
      </c>
      <c r="R38" s="365" t="s">
        <v>43</v>
      </c>
      <c r="S38" s="365" t="s">
        <v>44</v>
      </c>
      <c r="T38" s="365" t="s">
        <v>44</v>
      </c>
      <c r="U38" s="365" t="s">
        <v>44</v>
      </c>
      <c r="V38" s="365" t="s">
        <v>41</v>
      </c>
      <c r="W38" s="365" t="s">
        <v>43</v>
      </c>
      <c r="X38" s="366" t="s">
        <v>42</v>
      </c>
      <c r="Y38" s="367" t="s">
        <v>44</v>
      </c>
      <c r="Z38" s="365" t="s">
        <v>43</v>
      </c>
      <c r="AA38" s="365" t="s">
        <v>42</v>
      </c>
      <c r="AB38" s="365" t="s">
        <v>43</v>
      </c>
      <c r="AC38" s="365" t="s">
        <v>41</v>
      </c>
      <c r="AD38" s="365" t="s">
        <v>41</v>
      </c>
      <c r="AE38" s="365" t="s">
        <v>42</v>
      </c>
      <c r="AF38" s="365" t="s">
        <v>44</v>
      </c>
      <c r="AG38" s="365" t="s">
        <v>43</v>
      </c>
      <c r="AH38" s="365" t="s">
        <v>44</v>
      </c>
      <c r="AI38" s="365" t="s">
        <v>41</v>
      </c>
      <c r="AJ38" s="365" t="s">
        <v>42</v>
      </c>
      <c r="AK38" s="365" t="s">
        <v>42</v>
      </c>
      <c r="AL38" s="365" t="s">
        <v>41</v>
      </c>
      <c r="AM38" s="365" t="s">
        <v>44</v>
      </c>
      <c r="AN38" s="365" t="s">
        <v>42</v>
      </c>
      <c r="AO38" s="365" t="s">
        <v>41</v>
      </c>
      <c r="AP38" s="365" t="s">
        <v>43</v>
      </c>
      <c r="AQ38" s="365" t="s">
        <v>42</v>
      </c>
      <c r="AR38" s="365" t="s">
        <v>41</v>
      </c>
      <c r="AS38" s="365" t="s">
        <v>42</v>
      </c>
      <c r="AT38" s="365" t="s">
        <v>44</v>
      </c>
      <c r="AU38" s="368"/>
      <c r="AV38" s="369" t="s">
        <v>44</v>
      </c>
      <c r="AW38" s="370">
        <v>3.0</v>
      </c>
      <c r="AX38" s="370">
        <v>2.0</v>
      </c>
      <c r="AY38" s="370">
        <v>2.0</v>
      </c>
      <c r="AZ38" s="370">
        <v>2.0</v>
      </c>
      <c r="BA38" s="371">
        <f t="shared" si="1"/>
        <v>56.25</v>
      </c>
      <c r="BB38" s="372" t="str">
        <f t="shared" si="2"/>
        <v>Adequado</v>
      </c>
      <c r="BC38" s="373"/>
      <c r="BD38" s="374">
        <f t="shared" si="3"/>
        <v>19</v>
      </c>
      <c r="BE38" s="374">
        <f t="shared" si="4"/>
        <v>423</v>
      </c>
      <c r="BF38" s="375" t="str">
        <f t="shared" si="5"/>
        <v>Avançado</v>
      </c>
      <c r="BG38" s="376">
        <f t="shared" si="6"/>
        <v>13</v>
      </c>
      <c r="BH38" s="374">
        <f t="shared" si="7"/>
        <v>290</v>
      </c>
      <c r="BI38" s="377" t="str">
        <f t="shared" si="8"/>
        <v>Adequado</v>
      </c>
      <c r="BJ38" s="25"/>
      <c r="BK38" s="25"/>
    </row>
    <row r="39" ht="15.75" customHeight="1">
      <c r="A39" s="82">
        <v>10.0</v>
      </c>
      <c r="B39" s="378" t="s">
        <v>385</v>
      </c>
      <c r="C39" s="363" t="s">
        <v>170</v>
      </c>
      <c r="D39" s="379" t="s">
        <v>41</v>
      </c>
      <c r="E39" s="365" t="s">
        <v>41</v>
      </c>
      <c r="F39" s="365" t="s">
        <v>41</v>
      </c>
      <c r="G39" s="365" t="s">
        <v>42</v>
      </c>
      <c r="H39" s="365" t="s">
        <v>42</v>
      </c>
      <c r="I39" s="365" t="s">
        <v>43</v>
      </c>
      <c r="J39" s="365" t="s">
        <v>42</v>
      </c>
      <c r="K39" s="365" t="s">
        <v>42</v>
      </c>
      <c r="L39" s="365" t="s">
        <v>44</v>
      </c>
      <c r="M39" s="365" t="s">
        <v>41</v>
      </c>
      <c r="N39" s="365" t="s">
        <v>41</v>
      </c>
      <c r="O39" s="365" t="s">
        <v>41</v>
      </c>
      <c r="P39" s="365" t="s">
        <v>44</v>
      </c>
      <c r="Q39" s="365" t="s">
        <v>42</v>
      </c>
      <c r="R39" s="365" t="s">
        <v>43</v>
      </c>
      <c r="S39" s="365" t="s">
        <v>44</v>
      </c>
      <c r="T39" s="365" t="s">
        <v>44</v>
      </c>
      <c r="U39" s="365" t="s">
        <v>44</v>
      </c>
      <c r="V39" s="365" t="s">
        <v>41</v>
      </c>
      <c r="W39" s="365" t="s">
        <v>43</v>
      </c>
      <c r="X39" s="366" t="s">
        <v>42</v>
      </c>
      <c r="Y39" s="367" t="s">
        <v>44</v>
      </c>
      <c r="Z39" s="365" t="s">
        <v>41</v>
      </c>
      <c r="AA39" s="365" t="s">
        <v>42</v>
      </c>
      <c r="AB39" s="365" t="s">
        <v>43</v>
      </c>
      <c r="AC39" s="365" t="s">
        <v>41</v>
      </c>
      <c r="AD39" s="365" t="s">
        <v>41</v>
      </c>
      <c r="AE39" s="365" t="s">
        <v>41</v>
      </c>
      <c r="AF39" s="365" t="s">
        <v>41</v>
      </c>
      <c r="AG39" s="365" t="s">
        <v>44</v>
      </c>
      <c r="AH39" s="365" t="s">
        <v>173</v>
      </c>
      <c r="AI39" s="365" t="s">
        <v>41</v>
      </c>
      <c r="AJ39" s="365" t="s">
        <v>42</v>
      </c>
      <c r="AK39" s="365" t="s">
        <v>43</v>
      </c>
      <c r="AL39" s="365" t="s">
        <v>43</v>
      </c>
      <c r="AM39" s="365" t="s">
        <v>41</v>
      </c>
      <c r="AN39" s="365" t="s">
        <v>44</v>
      </c>
      <c r="AO39" s="365" t="s">
        <v>42</v>
      </c>
      <c r="AP39" s="365" t="s">
        <v>41</v>
      </c>
      <c r="AQ39" s="365" t="s">
        <v>44</v>
      </c>
      <c r="AR39" s="365" t="s">
        <v>41</v>
      </c>
      <c r="AS39" s="365" t="s">
        <v>41</v>
      </c>
      <c r="AT39" s="365" t="s">
        <v>42</v>
      </c>
      <c r="AU39" s="368"/>
      <c r="AV39" s="369" t="s">
        <v>44</v>
      </c>
      <c r="AW39" s="370">
        <v>3.0</v>
      </c>
      <c r="AX39" s="370">
        <v>3.0</v>
      </c>
      <c r="AY39" s="370">
        <v>3.0</v>
      </c>
      <c r="AZ39" s="370">
        <v>3.0</v>
      </c>
      <c r="BA39" s="371">
        <f t="shared" si="1"/>
        <v>75</v>
      </c>
      <c r="BB39" s="372" t="str">
        <f t="shared" si="2"/>
        <v>Adequado</v>
      </c>
      <c r="BC39" s="373"/>
      <c r="BD39" s="374">
        <f t="shared" si="3"/>
        <v>20</v>
      </c>
      <c r="BE39" s="374">
        <f t="shared" si="4"/>
        <v>459</v>
      </c>
      <c r="BF39" s="375" t="str">
        <f t="shared" si="5"/>
        <v>Avançado</v>
      </c>
      <c r="BG39" s="376">
        <f t="shared" si="6"/>
        <v>14</v>
      </c>
      <c r="BH39" s="374">
        <f t="shared" si="7"/>
        <v>332</v>
      </c>
      <c r="BI39" s="377" t="str">
        <f t="shared" si="8"/>
        <v>Adequado</v>
      </c>
      <c r="BJ39" s="25"/>
      <c r="BK39" s="25"/>
    </row>
    <row r="40" ht="15.75" customHeight="1">
      <c r="A40" s="82">
        <v>11.0</v>
      </c>
      <c r="B40" s="378" t="s">
        <v>386</v>
      </c>
      <c r="C40" s="363" t="s">
        <v>170</v>
      </c>
      <c r="D40" s="379" t="s">
        <v>43</v>
      </c>
      <c r="E40" s="365" t="s">
        <v>41</v>
      </c>
      <c r="F40" s="365" t="s">
        <v>42</v>
      </c>
      <c r="G40" s="365" t="s">
        <v>42</v>
      </c>
      <c r="H40" s="365" t="s">
        <v>43</v>
      </c>
      <c r="I40" s="365" t="s">
        <v>43</v>
      </c>
      <c r="J40" s="365" t="s">
        <v>42</v>
      </c>
      <c r="K40" s="365" t="s">
        <v>44</v>
      </c>
      <c r="L40" s="365" t="s">
        <v>42</v>
      </c>
      <c r="M40" s="365" t="s">
        <v>41</v>
      </c>
      <c r="N40" s="365" t="s">
        <v>41</v>
      </c>
      <c r="O40" s="365" t="s">
        <v>44</v>
      </c>
      <c r="P40" s="365" t="s">
        <v>44</v>
      </c>
      <c r="Q40" s="365" t="s">
        <v>42</v>
      </c>
      <c r="R40" s="365" t="s">
        <v>41</v>
      </c>
      <c r="S40" s="365" t="s">
        <v>44</v>
      </c>
      <c r="T40" s="365" t="s">
        <v>44</v>
      </c>
      <c r="U40" s="365" t="s">
        <v>44</v>
      </c>
      <c r="V40" s="365" t="s">
        <v>41</v>
      </c>
      <c r="W40" s="365" t="s">
        <v>43</v>
      </c>
      <c r="X40" s="366" t="s">
        <v>42</v>
      </c>
      <c r="Y40" s="367" t="s">
        <v>44</v>
      </c>
      <c r="Z40" s="365" t="s">
        <v>43</v>
      </c>
      <c r="AA40" s="365" t="s">
        <v>42</v>
      </c>
      <c r="AB40" s="365" t="s">
        <v>43</v>
      </c>
      <c r="AC40" s="365" t="s">
        <v>41</v>
      </c>
      <c r="AD40" s="365" t="s">
        <v>41</v>
      </c>
      <c r="AE40" s="365" t="s">
        <v>42</v>
      </c>
      <c r="AF40" s="365" t="s">
        <v>41</v>
      </c>
      <c r="AG40" s="365" t="s">
        <v>43</v>
      </c>
      <c r="AH40" s="365" t="s">
        <v>44</v>
      </c>
      <c r="AI40" s="365" t="s">
        <v>41</v>
      </c>
      <c r="AJ40" s="365" t="s">
        <v>42</v>
      </c>
      <c r="AK40" s="365" t="s">
        <v>43</v>
      </c>
      <c r="AL40" s="365" t="s">
        <v>42</v>
      </c>
      <c r="AM40" s="365" t="s">
        <v>41</v>
      </c>
      <c r="AN40" s="365" t="s">
        <v>43</v>
      </c>
      <c r="AO40" s="365" t="s">
        <v>173</v>
      </c>
      <c r="AP40" s="365" t="s">
        <v>41</v>
      </c>
      <c r="AQ40" s="365" t="s">
        <v>173</v>
      </c>
      <c r="AR40" s="365" t="s">
        <v>173</v>
      </c>
      <c r="AS40" s="365" t="s">
        <v>41</v>
      </c>
      <c r="AT40" s="365" t="s">
        <v>42</v>
      </c>
      <c r="AU40" s="368"/>
      <c r="AV40" s="369" t="s">
        <v>44</v>
      </c>
      <c r="AW40" s="370">
        <v>1.0</v>
      </c>
      <c r="AX40" s="370">
        <v>1.0</v>
      </c>
      <c r="AY40" s="370">
        <v>1.0</v>
      </c>
      <c r="AZ40" s="370">
        <v>1.0</v>
      </c>
      <c r="BA40" s="371">
        <f t="shared" si="1"/>
        <v>25</v>
      </c>
      <c r="BB40" s="372" t="str">
        <f t="shared" si="2"/>
        <v>Abaixo do Básico</v>
      </c>
      <c r="BC40" s="373"/>
      <c r="BD40" s="374">
        <f t="shared" si="3"/>
        <v>13</v>
      </c>
      <c r="BE40" s="374">
        <f t="shared" si="4"/>
        <v>297</v>
      </c>
      <c r="BF40" s="375" t="str">
        <f t="shared" si="5"/>
        <v>Adequado</v>
      </c>
      <c r="BG40" s="376">
        <f t="shared" si="6"/>
        <v>15</v>
      </c>
      <c r="BH40" s="374">
        <f t="shared" si="7"/>
        <v>340</v>
      </c>
      <c r="BI40" s="377" t="str">
        <f t="shared" si="8"/>
        <v>Adequado</v>
      </c>
      <c r="BJ40" s="25"/>
      <c r="BK40" s="25"/>
    </row>
    <row r="41" ht="15.75" customHeight="1">
      <c r="A41" s="82">
        <v>12.0</v>
      </c>
      <c r="B41" s="378" t="s">
        <v>387</v>
      </c>
      <c r="C41" s="363" t="s">
        <v>170</v>
      </c>
      <c r="D41" s="379" t="s">
        <v>41</v>
      </c>
      <c r="E41" s="365" t="s">
        <v>41</v>
      </c>
      <c r="F41" s="365" t="s">
        <v>41</v>
      </c>
      <c r="G41" s="365" t="s">
        <v>42</v>
      </c>
      <c r="H41" s="365" t="s">
        <v>42</v>
      </c>
      <c r="I41" s="365" t="s">
        <v>43</v>
      </c>
      <c r="J41" s="365" t="s">
        <v>42</v>
      </c>
      <c r="K41" s="365" t="s">
        <v>42</v>
      </c>
      <c r="L41" s="365" t="s">
        <v>44</v>
      </c>
      <c r="M41" s="365" t="s">
        <v>41</v>
      </c>
      <c r="N41" s="365" t="s">
        <v>41</v>
      </c>
      <c r="O41" s="365" t="s">
        <v>41</v>
      </c>
      <c r="P41" s="365" t="s">
        <v>44</v>
      </c>
      <c r="Q41" s="365" t="s">
        <v>42</v>
      </c>
      <c r="R41" s="365" t="s">
        <v>43</v>
      </c>
      <c r="S41" s="365" t="s">
        <v>44</v>
      </c>
      <c r="T41" s="365" t="s">
        <v>44</v>
      </c>
      <c r="U41" s="365" t="s">
        <v>44</v>
      </c>
      <c r="V41" s="365" t="s">
        <v>41</v>
      </c>
      <c r="W41" s="365" t="s">
        <v>43</v>
      </c>
      <c r="X41" s="366" t="s">
        <v>42</v>
      </c>
      <c r="Y41" s="367" t="s">
        <v>44</v>
      </c>
      <c r="Z41" s="365" t="s">
        <v>43</v>
      </c>
      <c r="AA41" s="365" t="s">
        <v>42</v>
      </c>
      <c r="AB41" s="365" t="s">
        <v>43</v>
      </c>
      <c r="AC41" s="365" t="s">
        <v>41</v>
      </c>
      <c r="AD41" s="365" t="s">
        <v>41</v>
      </c>
      <c r="AE41" s="365" t="s">
        <v>42</v>
      </c>
      <c r="AF41" s="365" t="s">
        <v>44</v>
      </c>
      <c r="AG41" s="365" t="s">
        <v>43</v>
      </c>
      <c r="AH41" s="365" t="s">
        <v>44</v>
      </c>
      <c r="AI41" s="365" t="s">
        <v>41</v>
      </c>
      <c r="AJ41" s="365" t="s">
        <v>42</v>
      </c>
      <c r="AK41" s="365" t="s">
        <v>43</v>
      </c>
      <c r="AL41" s="365" t="s">
        <v>42</v>
      </c>
      <c r="AM41" s="365" t="s">
        <v>41</v>
      </c>
      <c r="AN41" s="365" t="s">
        <v>44</v>
      </c>
      <c r="AO41" s="365" t="s">
        <v>42</v>
      </c>
      <c r="AP41" s="365" t="s">
        <v>41</v>
      </c>
      <c r="AQ41" s="365" t="s">
        <v>43</v>
      </c>
      <c r="AR41" s="365" t="s">
        <v>41</v>
      </c>
      <c r="AS41" s="365" t="s">
        <v>41</v>
      </c>
      <c r="AT41" s="365" t="s">
        <v>42</v>
      </c>
      <c r="AU41" s="368"/>
      <c r="AV41" s="369" t="s">
        <v>44</v>
      </c>
      <c r="AW41" s="370">
        <v>3.0</v>
      </c>
      <c r="AX41" s="370">
        <v>3.0</v>
      </c>
      <c r="AY41" s="370">
        <v>3.0</v>
      </c>
      <c r="AZ41" s="370">
        <v>3.0</v>
      </c>
      <c r="BA41" s="371">
        <f t="shared" si="1"/>
        <v>75</v>
      </c>
      <c r="BB41" s="372" t="str">
        <f t="shared" si="2"/>
        <v>Adequado</v>
      </c>
      <c r="BC41" s="373"/>
      <c r="BD41" s="374">
        <f t="shared" si="3"/>
        <v>20</v>
      </c>
      <c r="BE41" s="374">
        <f t="shared" si="4"/>
        <v>459</v>
      </c>
      <c r="BF41" s="375" t="str">
        <f t="shared" si="5"/>
        <v>Avançado</v>
      </c>
      <c r="BG41" s="376">
        <f t="shared" si="6"/>
        <v>19</v>
      </c>
      <c r="BH41" s="374">
        <f t="shared" si="7"/>
        <v>431</v>
      </c>
      <c r="BI41" s="377" t="str">
        <f t="shared" si="8"/>
        <v>Avançado</v>
      </c>
      <c r="BJ41" s="25"/>
      <c r="BK41" s="25"/>
    </row>
    <row r="42" ht="15.75" customHeight="1">
      <c r="A42" s="82">
        <v>13.0</v>
      </c>
      <c r="B42" s="378" t="s">
        <v>388</v>
      </c>
      <c r="C42" s="363" t="s">
        <v>170</v>
      </c>
      <c r="D42" s="379" t="s">
        <v>41</v>
      </c>
      <c r="E42" s="365" t="s">
        <v>41</v>
      </c>
      <c r="F42" s="365" t="s">
        <v>41</v>
      </c>
      <c r="G42" s="365" t="s">
        <v>42</v>
      </c>
      <c r="H42" s="365" t="s">
        <v>42</v>
      </c>
      <c r="I42" s="365" t="s">
        <v>43</v>
      </c>
      <c r="J42" s="365" t="s">
        <v>42</v>
      </c>
      <c r="K42" s="365" t="s">
        <v>42</v>
      </c>
      <c r="L42" s="365" t="s">
        <v>44</v>
      </c>
      <c r="M42" s="365" t="s">
        <v>41</v>
      </c>
      <c r="N42" s="365" t="s">
        <v>41</v>
      </c>
      <c r="O42" s="365" t="s">
        <v>41</v>
      </c>
      <c r="P42" s="365" t="s">
        <v>44</v>
      </c>
      <c r="Q42" s="365" t="s">
        <v>42</v>
      </c>
      <c r="R42" s="365" t="s">
        <v>43</v>
      </c>
      <c r="S42" s="365" t="s">
        <v>41</v>
      </c>
      <c r="T42" s="365" t="s">
        <v>44</v>
      </c>
      <c r="U42" s="365" t="s">
        <v>44</v>
      </c>
      <c r="V42" s="365" t="s">
        <v>41</v>
      </c>
      <c r="W42" s="365" t="s">
        <v>42</v>
      </c>
      <c r="X42" s="366" t="s">
        <v>44</v>
      </c>
      <c r="Y42" s="367" t="s">
        <v>44</v>
      </c>
      <c r="Z42" s="365" t="s">
        <v>43</v>
      </c>
      <c r="AA42" s="365" t="s">
        <v>42</v>
      </c>
      <c r="AB42" s="365" t="s">
        <v>42</v>
      </c>
      <c r="AC42" s="365" t="s">
        <v>41</v>
      </c>
      <c r="AD42" s="365" t="s">
        <v>41</v>
      </c>
      <c r="AE42" s="365" t="s">
        <v>41</v>
      </c>
      <c r="AF42" s="365" t="s">
        <v>44</v>
      </c>
      <c r="AG42" s="365" t="s">
        <v>43</v>
      </c>
      <c r="AH42" s="365" t="s">
        <v>44</v>
      </c>
      <c r="AI42" s="365" t="s">
        <v>41</v>
      </c>
      <c r="AJ42" s="365" t="s">
        <v>42</v>
      </c>
      <c r="AK42" s="365" t="s">
        <v>44</v>
      </c>
      <c r="AL42" s="365" t="s">
        <v>42</v>
      </c>
      <c r="AM42" s="365" t="s">
        <v>41</v>
      </c>
      <c r="AN42" s="365" t="s">
        <v>173</v>
      </c>
      <c r="AO42" s="365" t="s">
        <v>43</v>
      </c>
      <c r="AP42" s="365" t="s">
        <v>41</v>
      </c>
      <c r="AQ42" s="365" t="s">
        <v>43</v>
      </c>
      <c r="AR42" s="365" t="s">
        <v>41</v>
      </c>
      <c r="AS42" s="365" t="s">
        <v>41</v>
      </c>
      <c r="AT42" s="365" t="s">
        <v>42</v>
      </c>
      <c r="AU42" s="368"/>
      <c r="AV42" s="369" t="s">
        <v>44</v>
      </c>
      <c r="AW42" s="370">
        <v>3.0</v>
      </c>
      <c r="AX42" s="370">
        <v>3.0</v>
      </c>
      <c r="AY42" s="370">
        <v>2.0</v>
      </c>
      <c r="AZ42" s="370">
        <v>2.0</v>
      </c>
      <c r="BA42" s="371">
        <f t="shared" si="1"/>
        <v>62.5</v>
      </c>
      <c r="BB42" s="372" t="str">
        <f t="shared" si="2"/>
        <v>Adequado</v>
      </c>
      <c r="BC42" s="373"/>
      <c r="BD42" s="374">
        <f t="shared" si="3"/>
        <v>17</v>
      </c>
      <c r="BE42" s="374">
        <f t="shared" si="4"/>
        <v>387</v>
      </c>
      <c r="BF42" s="375" t="str">
        <f t="shared" si="5"/>
        <v>Avançado</v>
      </c>
      <c r="BG42" s="376">
        <f t="shared" si="6"/>
        <v>14</v>
      </c>
      <c r="BH42" s="374">
        <f t="shared" si="7"/>
        <v>332</v>
      </c>
      <c r="BI42" s="377" t="str">
        <f t="shared" si="8"/>
        <v>Adequado</v>
      </c>
      <c r="BJ42" s="25"/>
      <c r="BK42" s="25"/>
    </row>
    <row r="43" ht="15.75" customHeight="1">
      <c r="A43" s="82">
        <v>14.0</v>
      </c>
      <c r="B43" s="378" t="s">
        <v>389</v>
      </c>
      <c r="C43" s="363" t="s">
        <v>170</v>
      </c>
      <c r="D43" s="379" t="s">
        <v>41</v>
      </c>
      <c r="E43" s="365" t="s">
        <v>41</v>
      </c>
      <c r="F43" s="365" t="s">
        <v>41</v>
      </c>
      <c r="G43" s="365" t="s">
        <v>42</v>
      </c>
      <c r="H43" s="365" t="s">
        <v>42</v>
      </c>
      <c r="I43" s="365" t="s">
        <v>173</v>
      </c>
      <c r="J43" s="365" t="s">
        <v>42</v>
      </c>
      <c r="K43" s="365" t="s">
        <v>44</v>
      </c>
      <c r="L43" s="365" t="s">
        <v>41</v>
      </c>
      <c r="M43" s="365" t="s">
        <v>41</v>
      </c>
      <c r="N43" s="365" t="s">
        <v>42</v>
      </c>
      <c r="O43" s="365" t="s">
        <v>41</v>
      </c>
      <c r="P43" s="365" t="s">
        <v>44</v>
      </c>
      <c r="Q43" s="365" t="s">
        <v>43</v>
      </c>
      <c r="R43" s="365" t="s">
        <v>44</v>
      </c>
      <c r="S43" s="365" t="s">
        <v>44</v>
      </c>
      <c r="T43" s="365" t="s">
        <v>44</v>
      </c>
      <c r="U43" s="365" t="s">
        <v>41</v>
      </c>
      <c r="V43" s="365" t="s">
        <v>43</v>
      </c>
      <c r="W43" s="365" t="s">
        <v>42</v>
      </c>
      <c r="X43" s="366" t="s">
        <v>43</v>
      </c>
      <c r="Y43" s="379" t="s">
        <v>41</v>
      </c>
      <c r="Z43" s="365" t="s">
        <v>41</v>
      </c>
      <c r="AA43" s="365" t="s">
        <v>41</v>
      </c>
      <c r="AB43" s="365" t="s">
        <v>42</v>
      </c>
      <c r="AC43" s="365" t="s">
        <v>42</v>
      </c>
      <c r="AD43" s="365" t="s">
        <v>173</v>
      </c>
      <c r="AE43" s="365" t="s">
        <v>42</v>
      </c>
      <c r="AF43" s="365" t="s">
        <v>44</v>
      </c>
      <c r="AG43" s="365" t="s">
        <v>41</v>
      </c>
      <c r="AH43" s="365" t="s">
        <v>41</v>
      </c>
      <c r="AI43" s="365" t="s">
        <v>42</v>
      </c>
      <c r="AJ43" s="365" t="s">
        <v>41</v>
      </c>
      <c r="AK43" s="365" t="s">
        <v>44</v>
      </c>
      <c r="AL43" s="365" t="s">
        <v>43</v>
      </c>
      <c r="AM43" s="365" t="s">
        <v>44</v>
      </c>
      <c r="AN43" s="365" t="s">
        <v>44</v>
      </c>
      <c r="AO43" s="365" t="s">
        <v>44</v>
      </c>
      <c r="AP43" s="365" t="s">
        <v>41</v>
      </c>
      <c r="AQ43" s="365" t="s">
        <v>43</v>
      </c>
      <c r="AR43" s="365" t="s">
        <v>42</v>
      </c>
      <c r="AS43" s="365" t="s">
        <v>43</v>
      </c>
      <c r="AT43" s="365" t="s">
        <v>41</v>
      </c>
      <c r="AU43" s="368"/>
      <c r="AV43" s="369" t="s">
        <v>44</v>
      </c>
      <c r="AW43" s="370">
        <v>3.0</v>
      </c>
      <c r="AX43" s="370">
        <v>2.0</v>
      </c>
      <c r="AY43" s="370">
        <v>2.0</v>
      </c>
      <c r="AZ43" s="370">
        <v>2.0</v>
      </c>
      <c r="BA43" s="371">
        <f t="shared" si="1"/>
        <v>56.25</v>
      </c>
      <c r="BB43" s="372" t="str">
        <f t="shared" si="2"/>
        <v>Adequado</v>
      </c>
      <c r="BC43" s="373"/>
      <c r="BD43" s="374">
        <f t="shared" si="3"/>
        <v>10</v>
      </c>
      <c r="BE43" s="374">
        <f t="shared" si="4"/>
        <v>261</v>
      </c>
      <c r="BF43" s="375" t="str">
        <f t="shared" si="5"/>
        <v>Adequado</v>
      </c>
      <c r="BG43" s="376">
        <f t="shared" si="6"/>
        <v>4</v>
      </c>
      <c r="BH43" s="374">
        <f t="shared" si="7"/>
        <v>83</v>
      </c>
      <c r="BI43" s="377" t="str">
        <f t="shared" si="8"/>
        <v>Abaixo do Básico</v>
      </c>
      <c r="BJ43" s="25"/>
      <c r="BK43" s="25"/>
    </row>
    <row r="44" ht="15.75" customHeight="1">
      <c r="A44" s="82">
        <v>15.0</v>
      </c>
      <c r="B44" s="378" t="s">
        <v>390</v>
      </c>
      <c r="C44" s="363" t="s">
        <v>170</v>
      </c>
      <c r="D44" s="379" t="s">
        <v>41</v>
      </c>
      <c r="E44" s="365" t="s">
        <v>41</v>
      </c>
      <c r="F44" s="365" t="s">
        <v>41</v>
      </c>
      <c r="G44" s="365" t="s">
        <v>42</v>
      </c>
      <c r="H44" s="365" t="s">
        <v>42</v>
      </c>
      <c r="I44" s="365" t="s">
        <v>43</v>
      </c>
      <c r="J44" s="365" t="s">
        <v>43</v>
      </c>
      <c r="K44" s="365" t="s">
        <v>42</v>
      </c>
      <c r="L44" s="365" t="s">
        <v>44</v>
      </c>
      <c r="M44" s="365" t="s">
        <v>41</v>
      </c>
      <c r="N44" s="365" t="s">
        <v>41</v>
      </c>
      <c r="O44" s="365" t="s">
        <v>41</v>
      </c>
      <c r="P44" s="365" t="s">
        <v>44</v>
      </c>
      <c r="Q44" s="365" t="s">
        <v>42</v>
      </c>
      <c r="R44" s="365" t="s">
        <v>42</v>
      </c>
      <c r="S44" s="365" t="s">
        <v>44</v>
      </c>
      <c r="T44" s="365" t="s">
        <v>44</v>
      </c>
      <c r="U44" s="365" t="s">
        <v>44</v>
      </c>
      <c r="V44" s="365" t="s">
        <v>41</v>
      </c>
      <c r="W44" s="365" t="s">
        <v>43</v>
      </c>
      <c r="X44" s="366" t="s">
        <v>42</v>
      </c>
      <c r="Y44" s="367" t="s">
        <v>44</v>
      </c>
      <c r="Z44" s="365" t="s">
        <v>43</v>
      </c>
      <c r="AA44" s="365" t="s">
        <v>42</v>
      </c>
      <c r="AB44" s="365" t="s">
        <v>43</v>
      </c>
      <c r="AC44" s="365" t="s">
        <v>41</v>
      </c>
      <c r="AD44" s="365" t="s">
        <v>41</v>
      </c>
      <c r="AE44" s="365" t="s">
        <v>42</v>
      </c>
      <c r="AF44" s="365" t="s">
        <v>44</v>
      </c>
      <c r="AG44" s="365" t="s">
        <v>43</v>
      </c>
      <c r="AH44" s="365" t="s">
        <v>44</v>
      </c>
      <c r="AI44" s="365" t="s">
        <v>41</v>
      </c>
      <c r="AJ44" s="365" t="s">
        <v>43</v>
      </c>
      <c r="AK44" s="365" t="s">
        <v>43</v>
      </c>
      <c r="AL44" s="365" t="s">
        <v>42</v>
      </c>
      <c r="AM44" s="365" t="s">
        <v>41</v>
      </c>
      <c r="AN44" s="365" t="s">
        <v>44</v>
      </c>
      <c r="AO44" s="365" t="s">
        <v>42</v>
      </c>
      <c r="AP44" s="365" t="s">
        <v>43</v>
      </c>
      <c r="AQ44" s="365" t="s">
        <v>43</v>
      </c>
      <c r="AR44" s="365" t="s">
        <v>41</v>
      </c>
      <c r="AS44" s="365" t="s">
        <v>41</v>
      </c>
      <c r="AT44" s="365" t="s">
        <v>42</v>
      </c>
      <c r="AU44" s="368"/>
      <c r="AV44" s="369" t="s">
        <v>44</v>
      </c>
      <c r="AW44" s="370">
        <v>3.0</v>
      </c>
      <c r="AX44" s="370">
        <v>3.0</v>
      </c>
      <c r="AY44" s="370">
        <v>2.0</v>
      </c>
      <c r="AZ44" s="370">
        <v>2.0</v>
      </c>
      <c r="BA44" s="371">
        <f t="shared" si="1"/>
        <v>62.5</v>
      </c>
      <c r="BB44" s="372" t="str">
        <f t="shared" si="2"/>
        <v>Adequado</v>
      </c>
      <c r="BC44" s="373"/>
      <c r="BD44" s="374">
        <f t="shared" si="3"/>
        <v>18</v>
      </c>
      <c r="BE44" s="374">
        <f t="shared" si="4"/>
        <v>423</v>
      </c>
      <c r="BF44" s="375" t="str">
        <f t="shared" si="5"/>
        <v>Avançado</v>
      </c>
      <c r="BG44" s="376">
        <f t="shared" si="6"/>
        <v>19</v>
      </c>
      <c r="BH44" s="374">
        <f t="shared" si="7"/>
        <v>431</v>
      </c>
      <c r="BI44" s="377" t="str">
        <f t="shared" si="8"/>
        <v>Avançado</v>
      </c>
      <c r="BJ44" s="25"/>
      <c r="BK44" s="25"/>
    </row>
    <row r="45" ht="15.75" customHeight="1">
      <c r="A45" s="82">
        <v>16.0</v>
      </c>
      <c r="B45" s="378" t="s">
        <v>391</v>
      </c>
      <c r="C45" s="363" t="s">
        <v>170</v>
      </c>
      <c r="D45" s="379" t="s">
        <v>44</v>
      </c>
      <c r="E45" s="365" t="s">
        <v>41</v>
      </c>
      <c r="F45" s="365" t="s">
        <v>41</v>
      </c>
      <c r="G45" s="365" t="s">
        <v>42</v>
      </c>
      <c r="H45" s="365" t="s">
        <v>41</v>
      </c>
      <c r="I45" s="365" t="s">
        <v>43</v>
      </c>
      <c r="J45" s="365" t="s">
        <v>42</v>
      </c>
      <c r="K45" s="365" t="s">
        <v>42</v>
      </c>
      <c r="L45" s="365" t="s">
        <v>44</v>
      </c>
      <c r="M45" s="365" t="s">
        <v>41</v>
      </c>
      <c r="N45" s="365" t="s">
        <v>41</v>
      </c>
      <c r="O45" s="365" t="s">
        <v>41</v>
      </c>
      <c r="P45" s="365" t="s">
        <v>42</v>
      </c>
      <c r="Q45" s="365" t="s">
        <v>42</v>
      </c>
      <c r="R45" s="365" t="s">
        <v>41</v>
      </c>
      <c r="S45" s="365" t="s">
        <v>44</v>
      </c>
      <c r="T45" s="365" t="s">
        <v>44</v>
      </c>
      <c r="U45" s="365" t="s">
        <v>44</v>
      </c>
      <c r="V45" s="365" t="s">
        <v>41</v>
      </c>
      <c r="W45" s="365" t="s">
        <v>43</v>
      </c>
      <c r="X45" s="366" t="s">
        <v>42</v>
      </c>
      <c r="Y45" s="367" t="s">
        <v>44</v>
      </c>
      <c r="Z45" s="365" t="s">
        <v>43</v>
      </c>
      <c r="AA45" s="365" t="s">
        <v>42</v>
      </c>
      <c r="AB45" s="365" t="s">
        <v>42</v>
      </c>
      <c r="AC45" s="365" t="s">
        <v>44</v>
      </c>
      <c r="AD45" s="365" t="s">
        <v>41</v>
      </c>
      <c r="AE45" s="365" t="s">
        <v>42</v>
      </c>
      <c r="AF45" s="365" t="s">
        <v>44</v>
      </c>
      <c r="AG45" s="365" t="s">
        <v>43</v>
      </c>
      <c r="AH45" s="365" t="s">
        <v>44</v>
      </c>
      <c r="AI45" s="365" t="s">
        <v>41</v>
      </c>
      <c r="AJ45" s="365" t="s">
        <v>42</v>
      </c>
      <c r="AK45" s="365" t="s">
        <v>43</v>
      </c>
      <c r="AL45" s="365" t="s">
        <v>42</v>
      </c>
      <c r="AM45" s="365" t="s">
        <v>41</v>
      </c>
      <c r="AN45" s="365" t="s">
        <v>44</v>
      </c>
      <c r="AO45" s="365" t="s">
        <v>41</v>
      </c>
      <c r="AP45" s="365" t="s">
        <v>41</v>
      </c>
      <c r="AQ45" s="365" t="s">
        <v>43</v>
      </c>
      <c r="AR45" s="365" t="s">
        <v>41</v>
      </c>
      <c r="AS45" s="365" t="s">
        <v>41</v>
      </c>
      <c r="AT45" s="365" t="s">
        <v>42</v>
      </c>
      <c r="AU45" s="368"/>
      <c r="AV45" s="369" t="s">
        <v>44</v>
      </c>
      <c r="AW45" s="370">
        <v>4.0</v>
      </c>
      <c r="AX45" s="370">
        <v>3.0</v>
      </c>
      <c r="AY45" s="370">
        <v>2.0</v>
      </c>
      <c r="AZ45" s="370">
        <v>2.0</v>
      </c>
      <c r="BA45" s="371">
        <f t="shared" si="1"/>
        <v>68.75</v>
      </c>
      <c r="BB45" s="372" t="str">
        <f t="shared" si="2"/>
        <v>Adequado</v>
      </c>
      <c r="BC45" s="373"/>
      <c r="BD45" s="374">
        <f t="shared" si="3"/>
        <v>16</v>
      </c>
      <c r="BE45" s="374">
        <f t="shared" si="4"/>
        <v>351</v>
      </c>
      <c r="BF45" s="375" t="str">
        <f t="shared" si="5"/>
        <v>Adequado</v>
      </c>
      <c r="BG45" s="376">
        <f t="shared" si="6"/>
        <v>16</v>
      </c>
      <c r="BH45" s="374">
        <f t="shared" si="7"/>
        <v>374</v>
      </c>
      <c r="BI45" s="377" t="str">
        <f t="shared" si="8"/>
        <v>Adequado</v>
      </c>
      <c r="BJ45" s="25"/>
      <c r="BK45" s="25"/>
    </row>
    <row r="46" ht="15.75" customHeight="1">
      <c r="A46" s="82">
        <v>17.0</v>
      </c>
      <c r="B46" s="378" t="s">
        <v>392</v>
      </c>
      <c r="C46" s="363" t="s">
        <v>170</v>
      </c>
      <c r="D46" s="379" t="s">
        <v>41</v>
      </c>
      <c r="E46" s="365" t="s">
        <v>41</v>
      </c>
      <c r="F46" s="365" t="s">
        <v>41</v>
      </c>
      <c r="G46" s="365" t="s">
        <v>42</v>
      </c>
      <c r="H46" s="365" t="s">
        <v>42</v>
      </c>
      <c r="I46" s="365" t="s">
        <v>43</v>
      </c>
      <c r="J46" s="365" t="s">
        <v>42</v>
      </c>
      <c r="K46" s="365" t="s">
        <v>42</v>
      </c>
      <c r="L46" s="365" t="s">
        <v>44</v>
      </c>
      <c r="M46" s="365" t="s">
        <v>41</v>
      </c>
      <c r="N46" s="365" t="s">
        <v>41</v>
      </c>
      <c r="O46" s="365" t="s">
        <v>41</v>
      </c>
      <c r="P46" s="365" t="s">
        <v>44</v>
      </c>
      <c r="Q46" s="365" t="s">
        <v>42</v>
      </c>
      <c r="R46" s="365" t="s">
        <v>43</v>
      </c>
      <c r="S46" s="365" t="s">
        <v>44</v>
      </c>
      <c r="T46" s="365" t="s">
        <v>44</v>
      </c>
      <c r="U46" s="365" t="s">
        <v>44</v>
      </c>
      <c r="V46" s="365" t="s">
        <v>41</v>
      </c>
      <c r="W46" s="365" t="s">
        <v>41</v>
      </c>
      <c r="X46" s="366" t="s">
        <v>42</v>
      </c>
      <c r="Y46" s="367" t="s">
        <v>44</v>
      </c>
      <c r="Z46" s="365" t="s">
        <v>43</v>
      </c>
      <c r="AA46" s="365" t="s">
        <v>42</v>
      </c>
      <c r="AB46" s="365" t="s">
        <v>43</v>
      </c>
      <c r="AC46" s="365" t="s">
        <v>41</v>
      </c>
      <c r="AD46" s="365" t="s">
        <v>41</v>
      </c>
      <c r="AE46" s="365" t="s">
        <v>42</v>
      </c>
      <c r="AF46" s="365" t="s">
        <v>44</v>
      </c>
      <c r="AG46" s="365" t="s">
        <v>43</v>
      </c>
      <c r="AH46" s="365" t="s">
        <v>43</v>
      </c>
      <c r="AI46" s="365" t="s">
        <v>41</v>
      </c>
      <c r="AJ46" s="365" t="s">
        <v>42</v>
      </c>
      <c r="AK46" s="365" t="s">
        <v>43</v>
      </c>
      <c r="AL46" s="365" t="s">
        <v>42</v>
      </c>
      <c r="AM46" s="365" t="s">
        <v>41</v>
      </c>
      <c r="AN46" s="365" t="s">
        <v>41</v>
      </c>
      <c r="AO46" s="365" t="s">
        <v>42</v>
      </c>
      <c r="AP46" s="365" t="s">
        <v>41</v>
      </c>
      <c r="AQ46" s="365" t="s">
        <v>43</v>
      </c>
      <c r="AR46" s="365" t="s">
        <v>41</v>
      </c>
      <c r="AS46" s="365" t="s">
        <v>41</v>
      </c>
      <c r="AT46" s="365" t="s">
        <v>42</v>
      </c>
      <c r="AU46" s="368"/>
      <c r="AV46" s="369" t="s">
        <v>44</v>
      </c>
      <c r="AW46" s="370">
        <v>4.0</v>
      </c>
      <c r="AX46" s="370">
        <v>3.0</v>
      </c>
      <c r="AY46" s="370">
        <v>2.0</v>
      </c>
      <c r="AZ46" s="370">
        <v>2.0</v>
      </c>
      <c r="BA46" s="371">
        <f t="shared" si="1"/>
        <v>68.75</v>
      </c>
      <c r="BB46" s="372" t="str">
        <f t="shared" si="2"/>
        <v>Adequado</v>
      </c>
      <c r="BC46" s="373"/>
      <c r="BD46" s="374">
        <f t="shared" si="3"/>
        <v>19</v>
      </c>
      <c r="BE46" s="374">
        <f t="shared" si="4"/>
        <v>423</v>
      </c>
      <c r="BF46" s="375" t="str">
        <f t="shared" si="5"/>
        <v>Avançado</v>
      </c>
      <c r="BG46" s="376">
        <f t="shared" si="6"/>
        <v>17</v>
      </c>
      <c r="BH46" s="374">
        <f t="shared" si="7"/>
        <v>390</v>
      </c>
      <c r="BI46" s="377" t="str">
        <f t="shared" si="8"/>
        <v>Avançado</v>
      </c>
      <c r="BJ46" s="25"/>
      <c r="BK46" s="25"/>
    </row>
    <row r="47" ht="15.75" customHeight="1">
      <c r="A47" s="82">
        <v>18.0</v>
      </c>
      <c r="B47" s="378" t="s">
        <v>393</v>
      </c>
      <c r="C47" s="363" t="s">
        <v>170</v>
      </c>
      <c r="D47" s="379" t="s">
        <v>41</v>
      </c>
      <c r="E47" s="365" t="s">
        <v>41</v>
      </c>
      <c r="F47" s="365" t="s">
        <v>41</v>
      </c>
      <c r="G47" s="365" t="s">
        <v>42</v>
      </c>
      <c r="H47" s="365" t="s">
        <v>42</v>
      </c>
      <c r="I47" s="365" t="s">
        <v>43</v>
      </c>
      <c r="J47" s="365" t="s">
        <v>43</v>
      </c>
      <c r="K47" s="365" t="s">
        <v>42</v>
      </c>
      <c r="L47" s="365" t="s">
        <v>44</v>
      </c>
      <c r="M47" s="365" t="s">
        <v>41</v>
      </c>
      <c r="N47" s="365" t="s">
        <v>41</v>
      </c>
      <c r="O47" s="365" t="s">
        <v>41</v>
      </c>
      <c r="P47" s="365" t="s">
        <v>44</v>
      </c>
      <c r="Q47" s="365" t="s">
        <v>42</v>
      </c>
      <c r="R47" s="365" t="s">
        <v>43</v>
      </c>
      <c r="S47" s="365" t="s">
        <v>44</v>
      </c>
      <c r="T47" s="365" t="s">
        <v>44</v>
      </c>
      <c r="U47" s="365" t="s">
        <v>41</v>
      </c>
      <c r="V47" s="365" t="s">
        <v>43</v>
      </c>
      <c r="W47" s="365" t="s">
        <v>42</v>
      </c>
      <c r="X47" s="366" t="s">
        <v>43</v>
      </c>
      <c r="Y47" s="367" t="s">
        <v>44</v>
      </c>
      <c r="Z47" s="365" t="s">
        <v>43</v>
      </c>
      <c r="AA47" s="365" t="s">
        <v>42</v>
      </c>
      <c r="AB47" s="365" t="s">
        <v>43</v>
      </c>
      <c r="AC47" s="365" t="s">
        <v>43</v>
      </c>
      <c r="AD47" s="365" t="s">
        <v>41</v>
      </c>
      <c r="AE47" s="365" t="s">
        <v>41</v>
      </c>
      <c r="AF47" s="365" t="s">
        <v>44</v>
      </c>
      <c r="AG47" s="365" t="s">
        <v>43</v>
      </c>
      <c r="AH47" s="365" t="s">
        <v>44</v>
      </c>
      <c r="AI47" s="365" t="s">
        <v>42</v>
      </c>
      <c r="AJ47" s="365" t="s">
        <v>42</v>
      </c>
      <c r="AK47" s="365" t="s">
        <v>43</v>
      </c>
      <c r="AL47" s="365" t="s">
        <v>42</v>
      </c>
      <c r="AM47" s="365" t="s">
        <v>41</v>
      </c>
      <c r="AN47" s="365" t="s">
        <v>44</v>
      </c>
      <c r="AO47" s="365" t="s">
        <v>42</v>
      </c>
      <c r="AP47" s="365" t="s">
        <v>41</v>
      </c>
      <c r="AQ47" s="365" t="s">
        <v>43</v>
      </c>
      <c r="AR47" s="365" t="s">
        <v>41</v>
      </c>
      <c r="AS47" s="366" t="s">
        <v>41</v>
      </c>
      <c r="AT47" s="365" t="s">
        <v>42</v>
      </c>
      <c r="AU47" s="380"/>
      <c r="AV47" s="369" t="s">
        <v>44</v>
      </c>
      <c r="AW47" s="370">
        <v>2.0</v>
      </c>
      <c r="AX47" s="370">
        <v>2.0</v>
      </c>
      <c r="AY47" s="370">
        <v>2.0</v>
      </c>
      <c r="AZ47" s="370">
        <v>2.0</v>
      </c>
      <c r="BA47" s="371">
        <f t="shared" si="1"/>
        <v>50</v>
      </c>
      <c r="BB47" s="372" t="str">
        <f t="shared" si="2"/>
        <v>Básico</v>
      </c>
      <c r="BC47" s="373"/>
      <c r="BD47" s="374">
        <f t="shared" si="3"/>
        <v>15</v>
      </c>
      <c r="BE47" s="374">
        <f t="shared" si="4"/>
        <v>396</v>
      </c>
      <c r="BF47" s="375" t="str">
        <f t="shared" si="5"/>
        <v>Avançado</v>
      </c>
      <c r="BG47" s="376">
        <f t="shared" si="6"/>
        <v>16</v>
      </c>
      <c r="BH47" s="374">
        <f t="shared" si="7"/>
        <v>382</v>
      </c>
      <c r="BI47" s="377" t="str">
        <f t="shared" si="8"/>
        <v>Avançado</v>
      </c>
      <c r="BJ47" s="25"/>
      <c r="BK47" s="25"/>
    </row>
    <row r="48" ht="15.75" customHeight="1">
      <c r="A48" s="82">
        <v>19.0</v>
      </c>
      <c r="B48" s="378" t="s">
        <v>394</v>
      </c>
      <c r="C48" s="363" t="s">
        <v>170</v>
      </c>
      <c r="D48" s="379" t="s">
        <v>41</v>
      </c>
      <c r="E48" s="365" t="s">
        <v>41</v>
      </c>
      <c r="F48" s="365" t="s">
        <v>43</v>
      </c>
      <c r="G48" s="365" t="s">
        <v>42</v>
      </c>
      <c r="H48" s="365" t="s">
        <v>42</v>
      </c>
      <c r="I48" s="365" t="s">
        <v>43</v>
      </c>
      <c r="J48" s="365" t="s">
        <v>42</v>
      </c>
      <c r="K48" s="365" t="s">
        <v>42</v>
      </c>
      <c r="L48" s="365" t="s">
        <v>44</v>
      </c>
      <c r="M48" s="365" t="s">
        <v>41</v>
      </c>
      <c r="N48" s="365" t="s">
        <v>41</v>
      </c>
      <c r="O48" s="365" t="s">
        <v>41</v>
      </c>
      <c r="P48" s="365" t="s">
        <v>44</v>
      </c>
      <c r="Q48" s="365" t="s">
        <v>42</v>
      </c>
      <c r="R48" s="365" t="s">
        <v>43</v>
      </c>
      <c r="S48" s="365" t="s">
        <v>44</v>
      </c>
      <c r="T48" s="365" t="s">
        <v>44</v>
      </c>
      <c r="U48" s="365" t="s">
        <v>44</v>
      </c>
      <c r="V48" s="365" t="s">
        <v>41</v>
      </c>
      <c r="W48" s="365" t="s">
        <v>43</v>
      </c>
      <c r="X48" s="366" t="s">
        <v>42</v>
      </c>
      <c r="Y48" s="367" t="s">
        <v>41</v>
      </c>
      <c r="Z48" s="365" t="s">
        <v>41</v>
      </c>
      <c r="AA48" s="365" t="s">
        <v>41</v>
      </c>
      <c r="AB48" s="365" t="s">
        <v>42</v>
      </c>
      <c r="AC48" s="365" t="s">
        <v>42</v>
      </c>
      <c r="AD48" s="365" t="s">
        <v>41</v>
      </c>
      <c r="AE48" s="365" t="s">
        <v>44</v>
      </c>
      <c r="AF48" s="365" t="s">
        <v>44</v>
      </c>
      <c r="AG48" s="365" t="s">
        <v>44</v>
      </c>
      <c r="AH48" s="365" t="s">
        <v>41</v>
      </c>
      <c r="AI48" s="365" t="s">
        <v>41</v>
      </c>
      <c r="AJ48" s="365" t="s">
        <v>42</v>
      </c>
      <c r="AK48" s="365" t="s">
        <v>43</v>
      </c>
      <c r="AL48" s="365" t="s">
        <v>42</v>
      </c>
      <c r="AM48" s="365" t="s">
        <v>41</v>
      </c>
      <c r="AN48" s="365" t="s">
        <v>44</v>
      </c>
      <c r="AO48" s="365" t="s">
        <v>42</v>
      </c>
      <c r="AP48" s="365" t="s">
        <v>41</v>
      </c>
      <c r="AQ48" s="365" t="s">
        <v>43</v>
      </c>
      <c r="AR48" s="365" t="s">
        <v>41</v>
      </c>
      <c r="AS48" s="365" t="s">
        <v>41</v>
      </c>
      <c r="AT48" s="365" t="s">
        <v>42</v>
      </c>
      <c r="AU48" s="368"/>
      <c r="AV48" s="369" t="s">
        <v>42</v>
      </c>
      <c r="AW48" s="370" t="s">
        <v>173</v>
      </c>
      <c r="AX48" s="370" t="s">
        <v>173</v>
      </c>
      <c r="AY48" s="370" t="s">
        <v>173</v>
      </c>
      <c r="AZ48" s="370" t="s">
        <v>173</v>
      </c>
      <c r="BA48" s="371">
        <f t="shared" si="1"/>
        <v>0</v>
      </c>
      <c r="BB48" s="372" t="str">
        <f t="shared" si="2"/>
        <v>Abaixo do Básico</v>
      </c>
      <c r="BC48" s="373"/>
      <c r="BD48" s="374">
        <f t="shared" si="3"/>
        <v>19</v>
      </c>
      <c r="BE48" s="374">
        <f t="shared" si="4"/>
        <v>459</v>
      </c>
      <c r="BF48" s="375" t="str">
        <f t="shared" si="5"/>
        <v>Avançado</v>
      </c>
      <c r="BG48" s="376">
        <f t="shared" si="6"/>
        <v>13</v>
      </c>
      <c r="BH48" s="374">
        <f t="shared" si="7"/>
        <v>316</v>
      </c>
      <c r="BI48" s="377" t="str">
        <f t="shared" si="8"/>
        <v>Adequado</v>
      </c>
      <c r="BJ48" s="25"/>
      <c r="BK48" s="25"/>
    </row>
    <row r="49" ht="15.75" customHeight="1">
      <c r="A49" s="82">
        <v>20.0</v>
      </c>
      <c r="B49" s="378" t="s">
        <v>395</v>
      </c>
      <c r="C49" s="363" t="s">
        <v>170</v>
      </c>
      <c r="D49" s="379" t="s">
        <v>41</v>
      </c>
      <c r="E49" s="365" t="s">
        <v>41</v>
      </c>
      <c r="F49" s="365" t="s">
        <v>43</v>
      </c>
      <c r="G49" s="365" t="s">
        <v>42</v>
      </c>
      <c r="H49" s="365" t="s">
        <v>42</v>
      </c>
      <c r="I49" s="365" t="s">
        <v>43</v>
      </c>
      <c r="J49" s="365" t="s">
        <v>42</v>
      </c>
      <c r="K49" s="365" t="s">
        <v>42</v>
      </c>
      <c r="L49" s="365" t="s">
        <v>44</v>
      </c>
      <c r="M49" s="365" t="s">
        <v>41</v>
      </c>
      <c r="N49" s="365" t="s">
        <v>41</v>
      </c>
      <c r="O49" s="365" t="s">
        <v>41</v>
      </c>
      <c r="P49" s="365" t="s">
        <v>44</v>
      </c>
      <c r="Q49" s="365" t="s">
        <v>42</v>
      </c>
      <c r="R49" s="365" t="s">
        <v>43</v>
      </c>
      <c r="S49" s="365" t="s">
        <v>44</v>
      </c>
      <c r="T49" s="365" t="s">
        <v>44</v>
      </c>
      <c r="U49" s="365" t="s">
        <v>44</v>
      </c>
      <c r="V49" s="365" t="s">
        <v>41</v>
      </c>
      <c r="W49" s="365" t="s">
        <v>43</v>
      </c>
      <c r="X49" s="366" t="s">
        <v>42</v>
      </c>
      <c r="Y49" s="367" t="s">
        <v>44</v>
      </c>
      <c r="Z49" s="365" t="s">
        <v>43</v>
      </c>
      <c r="AA49" s="365" t="s">
        <v>42</v>
      </c>
      <c r="AB49" s="365" t="s">
        <v>43</v>
      </c>
      <c r="AC49" s="365" t="s">
        <v>41</v>
      </c>
      <c r="AD49" s="365" t="s">
        <v>41</v>
      </c>
      <c r="AE49" s="365" t="s">
        <v>42</v>
      </c>
      <c r="AF49" s="365" t="s">
        <v>44</v>
      </c>
      <c r="AG49" s="365" t="s">
        <v>43</v>
      </c>
      <c r="AH49" s="365" t="s">
        <v>44</v>
      </c>
      <c r="AI49" s="365" t="s">
        <v>44</v>
      </c>
      <c r="AJ49" s="365" t="s">
        <v>42</v>
      </c>
      <c r="AK49" s="365" t="s">
        <v>43</v>
      </c>
      <c r="AL49" s="365" t="s">
        <v>42</v>
      </c>
      <c r="AM49" s="365" t="s">
        <v>44</v>
      </c>
      <c r="AN49" s="365" t="s">
        <v>44</v>
      </c>
      <c r="AO49" s="365" t="s">
        <v>44</v>
      </c>
      <c r="AP49" s="365" t="s">
        <v>41</v>
      </c>
      <c r="AQ49" s="365" t="s">
        <v>44</v>
      </c>
      <c r="AR49" s="365" t="s">
        <v>41</v>
      </c>
      <c r="AS49" s="365" t="s">
        <v>41</v>
      </c>
      <c r="AT49" s="365" t="s">
        <v>42</v>
      </c>
      <c r="AU49" s="368"/>
      <c r="AV49" s="369" t="s">
        <v>44</v>
      </c>
      <c r="AW49" s="370">
        <v>3.0</v>
      </c>
      <c r="AX49" s="370">
        <v>3.0</v>
      </c>
      <c r="AY49" s="370">
        <v>2.0</v>
      </c>
      <c r="AZ49" s="370">
        <v>2.0</v>
      </c>
      <c r="BA49" s="371">
        <f t="shared" si="1"/>
        <v>62.5</v>
      </c>
      <c r="BB49" s="372" t="str">
        <f t="shared" si="2"/>
        <v>Adequado</v>
      </c>
      <c r="BC49" s="373"/>
      <c r="BD49" s="374">
        <f t="shared" si="3"/>
        <v>19</v>
      </c>
      <c r="BE49" s="374">
        <f t="shared" si="4"/>
        <v>459</v>
      </c>
      <c r="BF49" s="375" t="str">
        <f t="shared" si="5"/>
        <v>Avançado</v>
      </c>
      <c r="BG49" s="376">
        <f t="shared" si="6"/>
        <v>17</v>
      </c>
      <c r="BH49" s="374">
        <f t="shared" si="7"/>
        <v>390</v>
      </c>
      <c r="BI49" s="377" t="str">
        <f t="shared" si="8"/>
        <v>Avançado</v>
      </c>
      <c r="BJ49" s="25"/>
      <c r="BK49" s="25"/>
    </row>
    <row r="50" ht="15.75" customHeight="1">
      <c r="A50" s="82">
        <v>21.0</v>
      </c>
      <c r="B50" s="378" t="s">
        <v>396</v>
      </c>
      <c r="C50" s="363" t="s">
        <v>170</v>
      </c>
      <c r="D50" s="379" t="s">
        <v>41</v>
      </c>
      <c r="E50" s="365" t="s">
        <v>41</v>
      </c>
      <c r="F50" s="365" t="s">
        <v>41</v>
      </c>
      <c r="G50" s="365" t="s">
        <v>42</v>
      </c>
      <c r="H50" s="365" t="s">
        <v>42</v>
      </c>
      <c r="I50" s="365" t="s">
        <v>43</v>
      </c>
      <c r="J50" s="365" t="s">
        <v>42</v>
      </c>
      <c r="K50" s="365" t="s">
        <v>42</v>
      </c>
      <c r="L50" s="365" t="s">
        <v>44</v>
      </c>
      <c r="M50" s="365" t="s">
        <v>41</v>
      </c>
      <c r="N50" s="365" t="s">
        <v>41</v>
      </c>
      <c r="O50" s="365" t="s">
        <v>41</v>
      </c>
      <c r="P50" s="365" t="s">
        <v>44</v>
      </c>
      <c r="Q50" s="365" t="s">
        <v>42</v>
      </c>
      <c r="R50" s="365" t="s">
        <v>43</v>
      </c>
      <c r="S50" s="365" t="s">
        <v>44</v>
      </c>
      <c r="T50" s="365" t="s">
        <v>44</v>
      </c>
      <c r="U50" s="365" t="s">
        <v>44</v>
      </c>
      <c r="V50" s="365" t="s">
        <v>41</v>
      </c>
      <c r="W50" s="365" t="s">
        <v>43</v>
      </c>
      <c r="X50" s="366" t="s">
        <v>42</v>
      </c>
      <c r="Y50" s="367" t="s">
        <v>44</v>
      </c>
      <c r="Z50" s="365" t="s">
        <v>43</v>
      </c>
      <c r="AA50" s="365" t="s">
        <v>42</v>
      </c>
      <c r="AB50" s="365" t="s">
        <v>43</v>
      </c>
      <c r="AC50" s="365" t="s">
        <v>41</v>
      </c>
      <c r="AD50" s="365" t="s">
        <v>41</v>
      </c>
      <c r="AE50" s="365" t="s">
        <v>42</v>
      </c>
      <c r="AF50" s="365" t="s">
        <v>44</v>
      </c>
      <c r="AG50" s="365" t="s">
        <v>43</v>
      </c>
      <c r="AH50" s="365" t="s">
        <v>43</v>
      </c>
      <c r="AI50" s="365" t="s">
        <v>41</v>
      </c>
      <c r="AJ50" s="365" t="s">
        <v>42</v>
      </c>
      <c r="AK50" s="365" t="s">
        <v>43</v>
      </c>
      <c r="AL50" s="365" t="s">
        <v>42</v>
      </c>
      <c r="AM50" s="365" t="s">
        <v>41</v>
      </c>
      <c r="AN50" s="365" t="s">
        <v>44</v>
      </c>
      <c r="AO50" s="365" t="s">
        <v>42</v>
      </c>
      <c r="AP50" s="365" t="s">
        <v>41</v>
      </c>
      <c r="AQ50" s="365" t="s">
        <v>43</v>
      </c>
      <c r="AR50" s="365" t="s">
        <v>41</v>
      </c>
      <c r="AS50" s="365" t="s">
        <v>41</v>
      </c>
      <c r="AT50" s="365" t="s">
        <v>42</v>
      </c>
      <c r="AU50" s="368"/>
      <c r="AV50" s="369" t="s">
        <v>44</v>
      </c>
      <c r="AW50" s="370">
        <v>3.0</v>
      </c>
      <c r="AX50" s="370">
        <v>2.0</v>
      </c>
      <c r="AY50" s="370">
        <v>2.0</v>
      </c>
      <c r="AZ50" s="370">
        <v>2.0</v>
      </c>
      <c r="BA50" s="371">
        <f t="shared" si="1"/>
        <v>56.25</v>
      </c>
      <c r="BB50" s="372" t="str">
        <f t="shared" si="2"/>
        <v>Adequado</v>
      </c>
      <c r="BC50" s="373"/>
      <c r="BD50" s="374">
        <f t="shared" si="3"/>
        <v>20</v>
      </c>
      <c r="BE50" s="374">
        <f t="shared" si="4"/>
        <v>459</v>
      </c>
      <c r="BF50" s="375" t="str">
        <f t="shared" si="5"/>
        <v>Avançado</v>
      </c>
      <c r="BG50" s="376">
        <f t="shared" si="6"/>
        <v>18</v>
      </c>
      <c r="BH50" s="374">
        <f t="shared" si="7"/>
        <v>415</v>
      </c>
      <c r="BI50" s="377" t="str">
        <f t="shared" si="8"/>
        <v>Avançado</v>
      </c>
      <c r="BJ50" s="25"/>
      <c r="BK50" s="25"/>
    </row>
    <row r="51" ht="15.75" customHeight="1">
      <c r="A51" s="82">
        <v>22.0</v>
      </c>
      <c r="B51" s="378" t="s">
        <v>397</v>
      </c>
      <c r="C51" s="363" t="s">
        <v>170</v>
      </c>
      <c r="D51" s="379" t="s">
        <v>41</v>
      </c>
      <c r="E51" s="365" t="s">
        <v>41</v>
      </c>
      <c r="F51" s="365" t="s">
        <v>41</v>
      </c>
      <c r="G51" s="365" t="s">
        <v>42</v>
      </c>
      <c r="H51" s="365" t="s">
        <v>42</v>
      </c>
      <c r="I51" s="365" t="s">
        <v>43</v>
      </c>
      <c r="J51" s="365" t="s">
        <v>42</v>
      </c>
      <c r="K51" s="365" t="s">
        <v>42</v>
      </c>
      <c r="L51" s="365" t="s">
        <v>44</v>
      </c>
      <c r="M51" s="365" t="s">
        <v>41</v>
      </c>
      <c r="N51" s="365" t="s">
        <v>41</v>
      </c>
      <c r="O51" s="365" t="s">
        <v>41</v>
      </c>
      <c r="P51" s="365" t="s">
        <v>44</v>
      </c>
      <c r="Q51" s="365" t="s">
        <v>42</v>
      </c>
      <c r="R51" s="365" t="s">
        <v>43</v>
      </c>
      <c r="S51" s="365" t="s">
        <v>44</v>
      </c>
      <c r="T51" s="365" t="s">
        <v>44</v>
      </c>
      <c r="U51" s="365" t="s">
        <v>44</v>
      </c>
      <c r="V51" s="365" t="s">
        <v>41</v>
      </c>
      <c r="W51" s="365" t="s">
        <v>43</v>
      </c>
      <c r="X51" s="366" t="s">
        <v>42</v>
      </c>
      <c r="Y51" s="367" t="s">
        <v>44</v>
      </c>
      <c r="Z51" s="365" t="s">
        <v>43</v>
      </c>
      <c r="AA51" s="365" t="s">
        <v>42</v>
      </c>
      <c r="AB51" s="365" t="s">
        <v>43</v>
      </c>
      <c r="AC51" s="365" t="s">
        <v>41</v>
      </c>
      <c r="AD51" s="365" t="s">
        <v>41</v>
      </c>
      <c r="AE51" s="365" t="s">
        <v>42</v>
      </c>
      <c r="AF51" s="365" t="s">
        <v>44</v>
      </c>
      <c r="AG51" s="365" t="s">
        <v>44</v>
      </c>
      <c r="AH51" s="365" t="s">
        <v>44</v>
      </c>
      <c r="AI51" s="365" t="s">
        <v>41</v>
      </c>
      <c r="AJ51" s="365" t="s">
        <v>42</v>
      </c>
      <c r="AK51" s="365" t="s">
        <v>43</v>
      </c>
      <c r="AL51" s="365" t="s">
        <v>42</v>
      </c>
      <c r="AM51" s="365" t="s">
        <v>41</v>
      </c>
      <c r="AN51" s="365" t="s">
        <v>44</v>
      </c>
      <c r="AO51" s="365" t="s">
        <v>42</v>
      </c>
      <c r="AP51" s="365" t="s">
        <v>41</v>
      </c>
      <c r="AQ51" s="365" t="s">
        <v>43</v>
      </c>
      <c r="AR51" s="365" t="s">
        <v>41</v>
      </c>
      <c r="AS51" s="365" t="s">
        <v>41</v>
      </c>
      <c r="AT51" s="365" t="s">
        <v>42</v>
      </c>
      <c r="AU51" s="368"/>
      <c r="AV51" s="369" t="s">
        <v>44</v>
      </c>
      <c r="AW51" s="370">
        <v>3.0</v>
      </c>
      <c r="AX51" s="370">
        <v>2.0</v>
      </c>
      <c r="AY51" s="370">
        <v>2.0</v>
      </c>
      <c r="AZ51" s="370">
        <v>2.0</v>
      </c>
      <c r="BA51" s="371">
        <f t="shared" si="1"/>
        <v>56.25</v>
      </c>
      <c r="BB51" s="372" t="str">
        <f t="shared" si="2"/>
        <v>Adequado</v>
      </c>
      <c r="BC51" s="373"/>
      <c r="BD51" s="374">
        <f t="shared" si="3"/>
        <v>20</v>
      </c>
      <c r="BE51" s="374">
        <f t="shared" si="4"/>
        <v>459</v>
      </c>
      <c r="BF51" s="375" t="str">
        <f t="shared" si="5"/>
        <v>Avançado</v>
      </c>
      <c r="BG51" s="376">
        <f t="shared" si="6"/>
        <v>18</v>
      </c>
      <c r="BH51" s="374">
        <f t="shared" si="7"/>
        <v>406</v>
      </c>
      <c r="BI51" s="377" t="str">
        <f t="shared" si="8"/>
        <v>Avançado</v>
      </c>
      <c r="BJ51" s="25"/>
      <c r="BK51" s="25"/>
    </row>
    <row r="52" ht="15.75" customHeight="1">
      <c r="A52" s="82">
        <v>23.0</v>
      </c>
      <c r="B52" s="378" t="s">
        <v>398</v>
      </c>
      <c r="C52" s="363" t="s">
        <v>170</v>
      </c>
      <c r="D52" s="379" t="s">
        <v>41</v>
      </c>
      <c r="E52" s="365" t="s">
        <v>41</v>
      </c>
      <c r="F52" s="365" t="s">
        <v>41</v>
      </c>
      <c r="G52" s="365" t="s">
        <v>43</v>
      </c>
      <c r="H52" s="365" t="s">
        <v>42</v>
      </c>
      <c r="I52" s="365" t="s">
        <v>43</v>
      </c>
      <c r="J52" s="365" t="s">
        <v>42</v>
      </c>
      <c r="K52" s="365" t="s">
        <v>42</v>
      </c>
      <c r="L52" s="365" t="s">
        <v>44</v>
      </c>
      <c r="M52" s="365" t="s">
        <v>41</v>
      </c>
      <c r="N52" s="365" t="s">
        <v>41</v>
      </c>
      <c r="O52" s="365" t="s">
        <v>41</v>
      </c>
      <c r="P52" s="365" t="s">
        <v>44</v>
      </c>
      <c r="Q52" s="365" t="s">
        <v>42</v>
      </c>
      <c r="R52" s="365" t="s">
        <v>43</v>
      </c>
      <c r="S52" s="365" t="s">
        <v>44</v>
      </c>
      <c r="T52" s="365" t="s">
        <v>44</v>
      </c>
      <c r="U52" s="365" t="s">
        <v>44</v>
      </c>
      <c r="V52" s="365" t="s">
        <v>41</v>
      </c>
      <c r="W52" s="365" t="s">
        <v>43</v>
      </c>
      <c r="X52" s="366" t="s">
        <v>42</v>
      </c>
      <c r="Y52" s="367" t="s">
        <v>44</v>
      </c>
      <c r="Z52" s="365" t="s">
        <v>43</v>
      </c>
      <c r="AA52" s="365" t="s">
        <v>42</v>
      </c>
      <c r="AB52" s="365" t="s">
        <v>43</v>
      </c>
      <c r="AC52" s="365" t="s">
        <v>44</v>
      </c>
      <c r="AD52" s="365" t="s">
        <v>41</v>
      </c>
      <c r="AE52" s="365" t="s">
        <v>42</v>
      </c>
      <c r="AF52" s="365" t="s">
        <v>44</v>
      </c>
      <c r="AG52" s="365" t="s">
        <v>43</v>
      </c>
      <c r="AH52" s="365" t="s">
        <v>44</v>
      </c>
      <c r="AI52" s="365" t="s">
        <v>41</v>
      </c>
      <c r="AJ52" s="365" t="s">
        <v>42</v>
      </c>
      <c r="AK52" s="365" t="s">
        <v>41</v>
      </c>
      <c r="AL52" s="365" t="s">
        <v>42</v>
      </c>
      <c r="AM52" s="365" t="s">
        <v>41</v>
      </c>
      <c r="AN52" s="365" t="s">
        <v>44</v>
      </c>
      <c r="AO52" s="365" t="s">
        <v>42</v>
      </c>
      <c r="AP52" s="365" t="s">
        <v>41</v>
      </c>
      <c r="AQ52" s="365" t="s">
        <v>43</v>
      </c>
      <c r="AR52" s="365" t="s">
        <v>41</v>
      </c>
      <c r="AS52" s="365" t="s">
        <v>41</v>
      </c>
      <c r="AT52" s="365" t="s">
        <v>42</v>
      </c>
      <c r="AU52" s="368"/>
      <c r="AV52" s="369" t="s">
        <v>44</v>
      </c>
      <c r="AW52" s="370">
        <v>3.0</v>
      </c>
      <c r="AX52" s="370">
        <v>2.0</v>
      </c>
      <c r="AY52" s="370">
        <v>2.0</v>
      </c>
      <c r="AZ52" s="370">
        <v>2.0</v>
      </c>
      <c r="BA52" s="371">
        <f t="shared" si="1"/>
        <v>56.25</v>
      </c>
      <c r="BB52" s="372" t="str">
        <f t="shared" si="2"/>
        <v>Adequado</v>
      </c>
      <c r="BC52" s="373"/>
      <c r="BD52" s="374">
        <f t="shared" si="3"/>
        <v>19</v>
      </c>
      <c r="BE52" s="374">
        <f t="shared" si="4"/>
        <v>423</v>
      </c>
      <c r="BF52" s="375" t="str">
        <f t="shared" si="5"/>
        <v>Avançado</v>
      </c>
      <c r="BG52" s="376">
        <f t="shared" si="6"/>
        <v>17</v>
      </c>
      <c r="BH52" s="374">
        <f t="shared" si="7"/>
        <v>390</v>
      </c>
      <c r="BI52" s="377" t="str">
        <f t="shared" si="8"/>
        <v>Avançado</v>
      </c>
      <c r="BJ52" s="25"/>
      <c r="BK52" s="25"/>
    </row>
    <row r="53" ht="15.75" customHeight="1">
      <c r="A53" s="82">
        <v>24.0</v>
      </c>
      <c r="B53" s="378"/>
      <c r="C53" s="383"/>
      <c r="D53" s="379"/>
      <c r="E53" s="365"/>
      <c r="F53" s="365"/>
      <c r="G53" s="365"/>
      <c r="H53" s="365"/>
      <c r="I53" s="365"/>
      <c r="J53" s="365"/>
      <c r="K53" s="365"/>
      <c r="L53" s="365"/>
      <c r="M53" s="365"/>
      <c r="N53" s="365"/>
      <c r="O53" s="365"/>
      <c r="P53" s="365"/>
      <c r="Q53" s="365"/>
      <c r="R53" s="365"/>
      <c r="S53" s="365"/>
      <c r="T53" s="365"/>
      <c r="U53" s="365"/>
      <c r="V53" s="365"/>
      <c r="W53" s="365"/>
      <c r="X53" s="366"/>
      <c r="Y53" s="367"/>
      <c r="Z53" s="365"/>
      <c r="AA53" s="365"/>
      <c r="AB53" s="365"/>
      <c r="AC53" s="365"/>
      <c r="AD53" s="365"/>
      <c r="AE53" s="365"/>
      <c r="AF53" s="365"/>
      <c r="AG53" s="365"/>
      <c r="AH53" s="365"/>
      <c r="AI53" s="365"/>
      <c r="AJ53" s="365"/>
      <c r="AK53" s="365"/>
      <c r="AL53" s="365"/>
      <c r="AM53" s="365"/>
      <c r="AN53" s="365"/>
      <c r="AO53" s="365"/>
      <c r="AP53" s="365"/>
      <c r="AQ53" s="365"/>
      <c r="AR53" s="365"/>
      <c r="AS53" s="365"/>
      <c r="AT53" s="365"/>
      <c r="AU53" s="368"/>
      <c r="AV53" s="369"/>
      <c r="AW53" s="370"/>
      <c r="AX53" s="370"/>
      <c r="AY53" s="370"/>
      <c r="AZ53" s="370"/>
      <c r="BA53" s="371"/>
      <c r="BB53" s="372"/>
      <c r="BC53" s="373"/>
      <c r="BD53" s="374"/>
      <c r="BE53" s="374"/>
      <c r="BF53" s="375"/>
      <c r="BG53" s="376"/>
      <c r="BH53" s="374"/>
      <c r="BI53" s="377"/>
      <c r="BJ53" s="25"/>
      <c r="BK53" s="25"/>
    </row>
    <row r="54" ht="15.75" customHeight="1">
      <c r="A54" s="82">
        <v>25.0</v>
      </c>
      <c r="B54" s="378"/>
      <c r="C54" s="383"/>
      <c r="D54" s="379"/>
      <c r="E54" s="365"/>
      <c r="F54" s="365"/>
      <c r="G54" s="365"/>
      <c r="H54" s="365"/>
      <c r="I54" s="365"/>
      <c r="J54" s="365"/>
      <c r="K54" s="365"/>
      <c r="L54" s="365"/>
      <c r="M54" s="365"/>
      <c r="N54" s="365"/>
      <c r="O54" s="365"/>
      <c r="P54" s="365"/>
      <c r="Q54" s="365"/>
      <c r="R54" s="365"/>
      <c r="S54" s="365"/>
      <c r="T54" s="365"/>
      <c r="U54" s="365"/>
      <c r="V54" s="365"/>
      <c r="W54" s="365"/>
      <c r="X54" s="366"/>
      <c r="Y54" s="367"/>
      <c r="Z54" s="365"/>
      <c r="AA54" s="365"/>
      <c r="AB54" s="365"/>
      <c r="AC54" s="365"/>
      <c r="AD54" s="365"/>
      <c r="AE54" s="365"/>
      <c r="AF54" s="365"/>
      <c r="AG54" s="365"/>
      <c r="AH54" s="365"/>
      <c r="AI54" s="365"/>
      <c r="AJ54" s="365"/>
      <c r="AK54" s="365"/>
      <c r="AL54" s="365"/>
      <c r="AM54" s="365"/>
      <c r="AN54" s="365"/>
      <c r="AO54" s="365"/>
      <c r="AP54" s="365"/>
      <c r="AQ54" s="365"/>
      <c r="AR54" s="365"/>
      <c r="AS54" s="365"/>
      <c r="AT54" s="365"/>
      <c r="AU54" s="368"/>
      <c r="AV54" s="369"/>
      <c r="AW54" s="370"/>
      <c r="AX54" s="370"/>
      <c r="AY54" s="370"/>
      <c r="AZ54" s="370"/>
      <c r="BA54" s="371"/>
      <c r="BB54" s="372"/>
      <c r="BC54" s="373"/>
      <c r="BD54" s="374"/>
      <c r="BE54" s="374"/>
      <c r="BF54" s="375"/>
      <c r="BG54" s="376"/>
      <c r="BH54" s="374"/>
      <c r="BI54" s="377"/>
      <c r="BJ54" s="25"/>
      <c r="BK54" s="25"/>
    </row>
    <row r="55" ht="15.75" customHeight="1">
      <c r="A55" s="82">
        <v>26.0</v>
      </c>
      <c r="B55" s="378"/>
      <c r="C55" s="383"/>
      <c r="D55" s="379"/>
      <c r="E55" s="365"/>
      <c r="F55" s="365"/>
      <c r="G55" s="365"/>
      <c r="H55" s="365"/>
      <c r="I55" s="365"/>
      <c r="J55" s="365"/>
      <c r="K55" s="365"/>
      <c r="L55" s="365"/>
      <c r="M55" s="365"/>
      <c r="N55" s="365"/>
      <c r="O55" s="365"/>
      <c r="P55" s="365"/>
      <c r="Q55" s="365"/>
      <c r="R55" s="365"/>
      <c r="S55" s="365"/>
      <c r="T55" s="365"/>
      <c r="U55" s="365"/>
      <c r="V55" s="365"/>
      <c r="W55" s="365"/>
      <c r="X55" s="366"/>
      <c r="Y55" s="367"/>
      <c r="Z55" s="365"/>
      <c r="AA55" s="365"/>
      <c r="AB55" s="365"/>
      <c r="AC55" s="365"/>
      <c r="AD55" s="365"/>
      <c r="AE55" s="365"/>
      <c r="AF55" s="365"/>
      <c r="AG55" s="365"/>
      <c r="AH55" s="365"/>
      <c r="AI55" s="365"/>
      <c r="AJ55" s="365"/>
      <c r="AK55" s="365"/>
      <c r="AL55" s="365"/>
      <c r="AM55" s="365"/>
      <c r="AN55" s="365"/>
      <c r="AO55" s="365"/>
      <c r="AP55" s="365"/>
      <c r="AQ55" s="365"/>
      <c r="AR55" s="365"/>
      <c r="AS55" s="365"/>
      <c r="AT55" s="365"/>
      <c r="AU55" s="368"/>
      <c r="AV55" s="369"/>
      <c r="AW55" s="370"/>
      <c r="AX55" s="370"/>
      <c r="AY55" s="370"/>
      <c r="AZ55" s="370"/>
      <c r="BA55" s="371"/>
      <c r="BB55" s="372"/>
      <c r="BC55" s="373"/>
      <c r="BD55" s="374"/>
      <c r="BE55" s="374"/>
      <c r="BF55" s="375"/>
      <c r="BG55" s="376"/>
      <c r="BH55" s="374"/>
      <c r="BI55" s="377"/>
      <c r="BJ55" s="25"/>
      <c r="BK55" s="25"/>
    </row>
    <row r="56" ht="15.75" customHeight="1">
      <c r="A56" s="82">
        <v>27.0</v>
      </c>
      <c r="B56" s="378"/>
      <c r="C56" s="383"/>
      <c r="D56" s="379"/>
      <c r="E56" s="365"/>
      <c r="F56" s="365"/>
      <c r="G56" s="365"/>
      <c r="H56" s="365"/>
      <c r="I56" s="365"/>
      <c r="J56" s="365"/>
      <c r="K56" s="365"/>
      <c r="L56" s="365"/>
      <c r="M56" s="365"/>
      <c r="N56" s="365"/>
      <c r="O56" s="365"/>
      <c r="P56" s="365"/>
      <c r="Q56" s="365"/>
      <c r="R56" s="365"/>
      <c r="S56" s="365"/>
      <c r="T56" s="365"/>
      <c r="U56" s="365"/>
      <c r="V56" s="365"/>
      <c r="W56" s="365"/>
      <c r="X56" s="366"/>
      <c r="Y56" s="367"/>
      <c r="Z56" s="365"/>
      <c r="AA56" s="365"/>
      <c r="AB56" s="365"/>
      <c r="AC56" s="365"/>
      <c r="AD56" s="365"/>
      <c r="AE56" s="365"/>
      <c r="AF56" s="365"/>
      <c r="AG56" s="365"/>
      <c r="AH56" s="365"/>
      <c r="AI56" s="365"/>
      <c r="AJ56" s="365"/>
      <c r="AK56" s="365"/>
      <c r="AL56" s="365"/>
      <c r="AM56" s="365"/>
      <c r="AN56" s="365"/>
      <c r="AO56" s="365"/>
      <c r="AP56" s="365"/>
      <c r="AQ56" s="365"/>
      <c r="AR56" s="365"/>
      <c r="AS56" s="365"/>
      <c r="AT56" s="365"/>
      <c r="AU56" s="368"/>
      <c r="AV56" s="369"/>
      <c r="AW56" s="370"/>
      <c r="AX56" s="370"/>
      <c r="AY56" s="370"/>
      <c r="AZ56" s="370"/>
      <c r="BA56" s="371"/>
      <c r="BB56" s="372"/>
      <c r="BC56" s="373"/>
      <c r="BD56" s="374"/>
      <c r="BE56" s="374"/>
      <c r="BF56" s="375"/>
      <c r="BG56" s="376"/>
      <c r="BH56" s="374"/>
      <c r="BI56" s="377"/>
      <c r="BJ56" s="25"/>
      <c r="BK56" s="25"/>
    </row>
    <row r="57" ht="15.75" customHeight="1">
      <c r="A57" s="82">
        <v>28.0</v>
      </c>
      <c r="B57" s="378"/>
      <c r="C57" s="383"/>
      <c r="D57" s="379"/>
      <c r="E57" s="365"/>
      <c r="F57" s="365"/>
      <c r="G57" s="365"/>
      <c r="H57" s="365"/>
      <c r="I57" s="365"/>
      <c r="J57" s="365"/>
      <c r="K57" s="365"/>
      <c r="L57" s="365"/>
      <c r="M57" s="365"/>
      <c r="N57" s="365"/>
      <c r="O57" s="365"/>
      <c r="P57" s="365"/>
      <c r="Q57" s="365"/>
      <c r="R57" s="365"/>
      <c r="S57" s="365"/>
      <c r="T57" s="365"/>
      <c r="U57" s="365"/>
      <c r="V57" s="365"/>
      <c r="W57" s="365"/>
      <c r="X57" s="366"/>
      <c r="Y57" s="367"/>
      <c r="Z57" s="365"/>
      <c r="AA57" s="365"/>
      <c r="AB57" s="365"/>
      <c r="AC57" s="365"/>
      <c r="AD57" s="365"/>
      <c r="AE57" s="365"/>
      <c r="AF57" s="365"/>
      <c r="AG57" s="365"/>
      <c r="AH57" s="365"/>
      <c r="AI57" s="365"/>
      <c r="AJ57" s="365"/>
      <c r="AK57" s="365"/>
      <c r="AL57" s="365"/>
      <c r="AM57" s="365"/>
      <c r="AN57" s="365"/>
      <c r="AO57" s="365"/>
      <c r="AP57" s="365"/>
      <c r="AQ57" s="365"/>
      <c r="AR57" s="365"/>
      <c r="AS57" s="365"/>
      <c r="AT57" s="365"/>
      <c r="AU57" s="368"/>
      <c r="AV57" s="369"/>
      <c r="AW57" s="370"/>
      <c r="AX57" s="370"/>
      <c r="AY57" s="370"/>
      <c r="AZ57" s="370"/>
      <c r="BA57" s="371"/>
      <c r="BB57" s="372"/>
      <c r="BC57" s="373"/>
      <c r="BD57" s="374"/>
      <c r="BE57" s="374"/>
      <c r="BF57" s="375"/>
      <c r="BG57" s="376"/>
      <c r="BH57" s="374"/>
      <c r="BI57" s="377"/>
      <c r="BJ57" s="25"/>
      <c r="BK57" s="25"/>
    </row>
    <row r="58" ht="15.75" customHeight="1">
      <c r="A58" s="82">
        <v>29.0</v>
      </c>
      <c r="B58" s="378"/>
      <c r="C58" s="383"/>
      <c r="D58" s="379"/>
      <c r="E58" s="365"/>
      <c r="F58" s="365"/>
      <c r="G58" s="365"/>
      <c r="H58" s="365"/>
      <c r="I58" s="365"/>
      <c r="J58" s="365"/>
      <c r="K58" s="365"/>
      <c r="L58" s="365"/>
      <c r="M58" s="365"/>
      <c r="N58" s="365"/>
      <c r="O58" s="365"/>
      <c r="P58" s="365"/>
      <c r="Q58" s="365"/>
      <c r="R58" s="365"/>
      <c r="S58" s="365"/>
      <c r="T58" s="365"/>
      <c r="U58" s="365"/>
      <c r="V58" s="365"/>
      <c r="W58" s="365"/>
      <c r="X58" s="366"/>
      <c r="Y58" s="367"/>
      <c r="Z58" s="365"/>
      <c r="AA58" s="365"/>
      <c r="AB58" s="365"/>
      <c r="AC58" s="365"/>
      <c r="AD58" s="365"/>
      <c r="AE58" s="365"/>
      <c r="AF58" s="365"/>
      <c r="AG58" s="365"/>
      <c r="AH58" s="365"/>
      <c r="AI58" s="365"/>
      <c r="AJ58" s="365"/>
      <c r="AK58" s="365"/>
      <c r="AL58" s="365"/>
      <c r="AM58" s="365"/>
      <c r="AN58" s="365"/>
      <c r="AO58" s="365"/>
      <c r="AP58" s="365"/>
      <c r="AQ58" s="365"/>
      <c r="AR58" s="365"/>
      <c r="AS58" s="365"/>
      <c r="AT58" s="365"/>
      <c r="AU58" s="368"/>
      <c r="AV58" s="369"/>
      <c r="AW58" s="370"/>
      <c r="AX58" s="370"/>
      <c r="AY58" s="370"/>
      <c r="AZ58" s="370"/>
      <c r="BA58" s="371"/>
      <c r="BB58" s="372"/>
      <c r="BC58" s="373"/>
      <c r="BD58" s="374"/>
      <c r="BE58" s="374"/>
      <c r="BF58" s="375"/>
      <c r="BG58" s="376"/>
      <c r="BH58" s="374"/>
      <c r="BI58" s="377"/>
      <c r="BJ58" s="25"/>
      <c r="BK58" s="25"/>
    </row>
    <row r="59" ht="15.75" customHeight="1">
      <c r="A59" s="441">
        <v>30.0</v>
      </c>
      <c r="B59" s="378"/>
      <c r="C59" s="383"/>
      <c r="D59" s="379"/>
      <c r="E59" s="365"/>
      <c r="F59" s="365"/>
      <c r="G59" s="365"/>
      <c r="H59" s="365"/>
      <c r="I59" s="365"/>
      <c r="J59" s="365"/>
      <c r="K59" s="365"/>
      <c r="L59" s="365"/>
      <c r="M59" s="365"/>
      <c r="N59" s="365"/>
      <c r="O59" s="365"/>
      <c r="P59" s="365"/>
      <c r="Q59" s="365"/>
      <c r="R59" s="365"/>
      <c r="S59" s="365"/>
      <c r="T59" s="365"/>
      <c r="U59" s="365"/>
      <c r="V59" s="365"/>
      <c r="W59" s="365"/>
      <c r="X59" s="366"/>
      <c r="Y59" s="367"/>
      <c r="Z59" s="365"/>
      <c r="AA59" s="365"/>
      <c r="AB59" s="365"/>
      <c r="AC59" s="365"/>
      <c r="AD59" s="365"/>
      <c r="AE59" s="365"/>
      <c r="AF59" s="365"/>
      <c r="AG59" s="365"/>
      <c r="AH59" s="365"/>
      <c r="AI59" s="365"/>
      <c r="AJ59" s="365"/>
      <c r="AK59" s="365"/>
      <c r="AL59" s="365"/>
      <c r="AM59" s="365"/>
      <c r="AN59" s="365"/>
      <c r="AO59" s="365"/>
      <c r="AP59" s="365"/>
      <c r="AQ59" s="365"/>
      <c r="AR59" s="365"/>
      <c r="AS59" s="365"/>
      <c r="AT59" s="365"/>
      <c r="AU59" s="368"/>
      <c r="AV59" s="369"/>
      <c r="AW59" s="370"/>
      <c r="AX59" s="370"/>
      <c r="AY59" s="370"/>
      <c r="AZ59" s="370"/>
      <c r="BA59" s="371"/>
      <c r="BB59" s="372"/>
      <c r="BC59" s="373"/>
      <c r="BD59" s="374"/>
      <c r="BE59" s="374"/>
      <c r="BF59" s="375"/>
      <c r="BG59" s="376"/>
      <c r="BH59" s="374"/>
      <c r="BI59" s="377"/>
      <c r="BJ59" s="25"/>
      <c r="BK59" s="25"/>
    </row>
    <row r="60" ht="15.75" customHeight="1">
      <c r="A60" s="441">
        <v>31.0</v>
      </c>
      <c r="B60" s="378"/>
      <c r="C60" s="383"/>
      <c r="D60" s="379"/>
      <c r="E60" s="365"/>
      <c r="F60" s="365"/>
      <c r="G60" s="365"/>
      <c r="H60" s="365"/>
      <c r="I60" s="365"/>
      <c r="J60" s="365"/>
      <c r="K60" s="365"/>
      <c r="L60" s="365"/>
      <c r="M60" s="365"/>
      <c r="N60" s="365"/>
      <c r="O60" s="365"/>
      <c r="P60" s="365"/>
      <c r="Q60" s="365"/>
      <c r="R60" s="365"/>
      <c r="S60" s="365"/>
      <c r="T60" s="365"/>
      <c r="U60" s="365"/>
      <c r="V60" s="365"/>
      <c r="W60" s="365"/>
      <c r="X60" s="366"/>
      <c r="Y60" s="367"/>
      <c r="Z60" s="365"/>
      <c r="AA60" s="365"/>
      <c r="AB60" s="365"/>
      <c r="AC60" s="365"/>
      <c r="AD60" s="365"/>
      <c r="AE60" s="365"/>
      <c r="AF60" s="365"/>
      <c r="AG60" s="365"/>
      <c r="AH60" s="365"/>
      <c r="AI60" s="365"/>
      <c r="AJ60" s="365"/>
      <c r="AK60" s="365"/>
      <c r="AL60" s="365"/>
      <c r="AM60" s="365"/>
      <c r="AN60" s="365"/>
      <c r="AO60" s="365"/>
      <c r="AP60" s="365"/>
      <c r="AQ60" s="365"/>
      <c r="AR60" s="365"/>
      <c r="AS60" s="365"/>
      <c r="AT60" s="365"/>
      <c r="AU60" s="380"/>
      <c r="AV60" s="369"/>
      <c r="AW60" s="370"/>
      <c r="AX60" s="370"/>
      <c r="AY60" s="370"/>
      <c r="AZ60" s="370"/>
      <c r="BA60" s="371"/>
      <c r="BB60" s="372"/>
      <c r="BC60" s="373"/>
      <c r="BD60" s="374"/>
      <c r="BE60" s="374"/>
      <c r="BF60" s="375"/>
      <c r="BG60" s="376"/>
      <c r="BH60" s="374"/>
      <c r="BI60" s="377"/>
      <c r="BJ60" s="25"/>
      <c r="BK60" s="25"/>
    </row>
    <row r="61" ht="15.75" customHeight="1">
      <c r="A61" s="441">
        <v>32.0</v>
      </c>
      <c r="B61" s="378"/>
      <c r="C61" s="383"/>
      <c r="D61" s="379"/>
      <c r="E61" s="365"/>
      <c r="F61" s="365"/>
      <c r="G61" s="365"/>
      <c r="H61" s="365"/>
      <c r="I61" s="365"/>
      <c r="J61" s="365"/>
      <c r="K61" s="365"/>
      <c r="L61" s="365"/>
      <c r="M61" s="365"/>
      <c r="N61" s="365"/>
      <c r="O61" s="365"/>
      <c r="P61" s="365"/>
      <c r="Q61" s="365"/>
      <c r="R61" s="365"/>
      <c r="S61" s="365"/>
      <c r="T61" s="365"/>
      <c r="U61" s="365"/>
      <c r="V61" s="365"/>
      <c r="W61" s="365"/>
      <c r="X61" s="366"/>
      <c r="Y61" s="367"/>
      <c r="Z61" s="365"/>
      <c r="AA61" s="365"/>
      <c r="AB61" s="365"/>
      <c r="AC61" s="365"/>
      <c r="AD61" s="365"/>
      <c r="AE61" s="365"/>
      <c r="AF61" s="365"/>
      <c r="AG61" s="365"/>
      <c r="AH61" s="365"/>
      <c r="AI61" s="365"/>
      <c r="AJ61" s="365"/>
      <c r="AK61" s="365"/>
      <c r="AL61" s="365"/>
      <c r="AM61" s="365"/>
      <c r="AN61" s="365"/>
      <c r="AO61" s="365"/>
      <c r="AP61" s="365"/>
      <c r="AQ61" s="365"/>
      <c r="AR61" s="365"/>
      <c r="AS61" s="365"/>
      <c r="AT61" s="365"/>
      <c r="AU61" s="368"/>
      <c r="AV61" s="369"/>
      <c r="AW61" s="370"/>
      <c r="AX61" s="370"/>
      <c r="AY61" s="370"/>
      <c r="AZ61" s="370"/>
      <c r="BA61" s="371"/>
      <c r="BB61" s="372"/>
      <c r="BC61" s="373"/>
      <c r="BD61" s="374"/>
      <c r="BE61" s="374"/>
      <c r="BF61" s="375"/>
      <c r="BG61" s="376"/>
      <c r="BH61" s="374"/>
      <c r="BI61" s="377"/>
      <c r="BJ61" s="25"/>
      <c r="BK61" s="25"/>
    </row>
    <row r="62" ht="15.75" customHeight="1">
      <c r="A62" s="441">
        <v>33.0</v>
      </c>
      <c r="B62" s="448"/>
      <c r="C62" s="383"/>
      <c r="D62" s="449"/>
      <c r="E62" s="365"/>
      <c r="F62" s="365"/>
      <c r="G62" s="365"/>
      <c r="H62" s="365"/>
      <c r="I62" s="365"/>
      <c r="J62" s="365"/>
      <c r="K62" s="365"/>
      <c r="L62" s="365"/>
      <c r="M62" s="365"/>
      <c r="N62" s="365"/>
      <c r="O62" s="365"/>
      <c r="P62" s="365"/>
      <c r="Q62" s="365"/>
      <c r="R62" s="365"/>
      <c r="S62" s="365"/>
      <c r="T62" s="365"/>
      <c r="U62" s="365"/>
      <c r="V62" s="365"/>
      <c r="W62" s="365"/>
      <c r="X62" s="366"/>
      <c r="Y62" s="367"/>
      <c r="Z62" s="365"/>
      <c r="AA62" s="365"/>
      <c r="AB62" s="365"/>
      <c r="AC62" s="365"/>
      <c r="AD62" s="365"/>
      <c r="AE62" s="365"/>
      <c r="AF62" s="365"/>
      <c r="AG62" s="365"/>
      <c r="AH62" s="365"/>
      <c r="AI62" s="365"/>
      <c r="AJ62" s="365"/>
      <c r="AK62" s="365"/>
      <c r="AL62" s="365"/>
      <c r="AM62" s="365"/>
      <c r="AN62" s="365"/>
      <c r="AO62" s="365"/>
      <c r="AP62" s="365"/>
      <c r="AQ62" s="365"/>
      <c r="AR62" s="365"/>
      <c r="AS62" s="365"/>
      <c r="AT62" s="365"/>
      <c r="AU62" s="368"/>
      <c r="AV62" s="369"/>
      <c r="AW62" s="385"/>
      <c r="AX62" s="385"/>
      <c r="AY62" s="385"/>
      <c r="AZ62" s="385"/>
      <c r="BA62" s="371"/>
      <c r="BB62" s="372"/>
      <c r="BC62" s="373"/>
      <c r="BD62" s="374"/>
      <c r="BE62" s="374"/>
      <c r="BF62" s="375"/>
      <c r="BG62" s="376"/>
      <c r="BH62" s="374"/>
      <c r="BI62" s="377"/>
      <c r="BJ62" s="25"/>
      <c r="BK62" s="25"/>
    </row>
    <row r="63" ht="15.75" customHeight="1">
      <c r="A63" s="441">
        <v>34.0</v>
      </c>
      <c r="B63" s="448"/>
      <c r="C63" s="383"/>
      <c r="D63" s="449"/>
      <c r="E63" s="365"/>
      <c r="F63" s="365"/>
      <c r="G63" s="365"/>
      <c r="H63" s="365"/>
      <c r="I63" s="365"/>
      <c r="J63" s="365"/>
      <c r="K63" s="365"/>
      <c r="L63" s="365"/>
      <c r="M63" s="365"/>
      <c r="N63" s="365"/>
      <c r="O63" s="365"/>
      <c r="P63" s="365"/>
      <c r="Q63" s="365"/>
      <c r="R63" s="365"/>
      <c r="S63" s="365"/>
      <c r="T63" s="365"/>
      <c r="U63" s="365"/>
      <c r="V63" s="365"/>
      <c r="W63" s="365"/>
      <c r="X63" s="366"/>
      <c r="Y63" s="367"/>
      <c r="Z63" s="365"/>
      <c r="AA63" s="365"/>
      <c r="AB63" s="365"/>
      <c r="AC63" s="365"/>
      <c r="AD63" s="365"/>
      <c r="AE63" s="365"/>
      <c r="AF63" s="365"/>
      <c r="AG63" s="365"/>
      <c r="AH63" s="365"/>
      <c r="AI63" s="365"/>
      <c r="AJ63" s="365"/>
      <c r="AK63" s="365"/>
      <c r="AL63" s="365"/>
      <c r="AM63" s="365"/>
      <c r="AN63" s="365"/>
      <c r="AO63" s="365"/>
      <c r="AP63" s="365"/>
      <c r="AQ63" s="365"/>
      <c r="AR63" s="365"/>
      <c r="AS63" s="365"/>
      <c r="AT63" s="365"/>
      <c r="AU63" s="368"/>
      <c r="AV63" s="369"/>
      <c r="AW63" s="385"/>
      <c r="AX63" s="385"/>
      <c r="AY63" s="385"/>
      <c r="AZ63" s="385"/>
      <c r="BA63" s="371"/>
      <c r="BB63" s="372"/>
      <c r="BC63" s="373"/>
      <c r="BD63" s="374"/>
      <c r="BE63" s="374"/>
      <c r="BF63" s="375"/>
      <c r="BG63" s="376"/>
      <c r="BH63" s="374"/>
      <c r="BI63" s="377"/>
      <c r="BJ63" s="25"/>
      <c r="BK63" s="25"/>
    </row>
    <row r="64" ht="15.75" customHeight="1">
      <c r="A64" s="441">
        <v>35.0</v>
      </c>
      <c r="B64" s="448"/>
      <c r="C64" s="383"/>
      <c r="D64" s="449"/>
      <c r="E64" s="365"/>
      <c r="F64" s="365"/>
      <c r="G64" s="365"/>
      <c r="H64" s="365"/>
      <c r="I64" s="365"/>
      <c r="J64" s="365"/>
      <c r="K64" s="365"/>
      <c r="L64" s="365"/>
      <c r="M64" s="365"/>
      <c r="N64" s="365"/>
      <c r="O64" s="365"/>
      <c r="P64" s="365"/>
      <c r="Q64" s="365"/>
      <c r="R64" s="365"/>
      <c r="S64" s="365"/>
      <c r="T64" s="365"/>
      <c r="U64" s="365"/>
      <c r="V64" s="365"/>
      <c r="W64" s="365"/>
      <c r="X64" s="366"/>
      <c r="Y64" s="367"/>
      <c r="Z64" s="365"/>
      <c r="AA64" s="365"/>
      <c r="AB64" s="365"/>
      <c r="AC64" s="365"/>
      <c r="AD64" s="365"/>
      <c r="AE64" s="365"/>
      <c r="AF64" s="365"/>
      <c r="AG64" s="365"/>
      <c r="AH64" s="365"/>
      <c r="AI64" s="365"/>
      <c r="AJ64" s="365"/>
      <c r="AK64" s="365"/>
      <c r="AL64" s="365"/>
      <c r="AM64" s="365"/>
      <c r="AN64" s="365"/>
      <c r="AO64" s="365"/>
      <c r="AP64" s="365"/>
      <c r="AQ64" s="365"/>
      <c r="AR64" s="365"/>
      <c r="AS64" s="365"/>
      <c r="AT64" s="365"/>
      <c r="AU64" s="368"/>
      <c r="AV64" s="369"/>
      <c r="AW64" s="385"/>
      <c r="AX64" s="385"/>
      <c r="AY64" s="385"/>
      <c r="AZ64" s="385"/>
      <c r="BA64" s="371"/>
      <c r="BB64" s="372"/>
      <c r="BC64" s="373"/>
      <c r="BD64" s="374"/>
      <c r="BE64" s="374"/>
      <c r="BF64" s="375"/>
      <c r="BG64" s="376"/>
      <c r="BH64" s="374"/>
      <c r="BI64" s="377"/>
      <c r="BJ64" s="25"/>
      <c r="BK64" s="25"/>
    </row>
    <row r="65" ht="15.75" customHeight="1">
      <c r="A65" s="441">
        <v>36.0</v>
      </c>
      <c r="B65" s="448"/>
      <c r="C65" s="383"/>
      <c r="D65" s="449"/>
      <c r="E65" s="365"/>
      <c r="F65" s="365"/>
      <c r="G65" s="365"/>
      <c r="H65" s="365"/>
      <c r="I65" s="365"/>
      <c r="J65" s="365"/>
      <c r="K65" s="365"/>
      <c r="L65" s="365"/>
      <c r="M65" s="365"/>
      <c r="N65" s="365"/>
      <c r="O65" s="365"/>
      <c r="P65" s="365"/>
      <c r="Q65" s="365"/>
      <c r="R65" s="365"/>
      <c r="S65" s="365"/>
      <c r="T65" s="365"/>
      <c r="U65" s="365"/>
      <c r="V65" s="365"/>
      <c r="W65" s="365"/>
      <c r="X65" s="366"/>
      <c r="Y65" s="367"/>
      <c r="Z65" s="365"/>
      <c r="AA65" s="365"/>
      <c r="AB65" s="365"/>
      <c r="AC65" s="365"/>
      <c r="AD65" s="365"/>
      <c r="AE65" s="365"/>
      <c r="AF65" s="365"/>
      <c r="AG65" s="365"/>
      <c r="AH65" s="365"/>
      <c r="AI65" s="365"/>
      <c r="AJ65" s="365"/>
      <c r="AK65" s="365"/>
      <c r="AL65" s="365"/>
      <c r="AM65" s="365"/>
      <c r="AN65" s="365"/>
      <c r="AO65" s="365"/>
      <c r="AP65" s="365"/>
      <c r="AQ65" s="365"/>
      <c r="AR65" s="365"/>
      <c r="AS65" s="365"/>
      <c r="AT65" s="365"/>
      <c r="AU65" s="368"/>
      <c r="AV65" s="369"/>
      <c r="AW65" s="385"/>
      <c r="AX65" s="385"/>
      <c r="AY65" s="385"/>
      <c r="AZ65" s="385"/>
      <c r="BA65" s="371"/>
      <c r="BB65" s="372"/>
      <c r="BC65" s="373"/>
      <c r="BD65" s="374"/>
      <c r="BE65" s="374"/>
      <c r="BF65" s="375"/>
      <c r="BG65" s="376"/>
      <c r="BH65" s="374"/>
      <c r="BI65" s="377"/>
      <c r="BJ65" s="25"/>
      <c r="BK65" s="25"/>
    </row>
    <row r="66" ht="15.75" customHeight="1">
      <c r="A66" s="441">
        <v>37.0</v>
      </c>
      <c r="B66" s="448"/>
      <c r="C66" s="383"/>
      <c r="D66" s="449"/>
      <c r="E66" s="365"/>
      <c r="F66" s="365"/>
      <c r="G66" s="365"/>
      <c r="H66" s="365"/>
      <c r="I66" s="365"/>
      <c r="J66" s="365"/>
      <c r="K66" s="365"/>
      <c r="L66" s="365"/>
      <c r="M66" s="365"/>
      <c r="N66" s="365"/>
      <c r="O66" s="365"/>
      <c r="P66" s="365"/>
      <c r="Q66" s="365"/>
      <c r="R66" s="365"/>
      <c r="S66" s="365"/>
      <c r="T66" s="365"/>
      <c r="U66" s="365"/>
      <c r="V66" s="365"/>
      <c r="W66" s="365"/>
      <c r="X66" s="366"/>
      <c r="Y66" s="367"/>
      <c r="Z66" s="365"/>
      <c r="AA66" s="365"/>
      <c r="AB66" s="365"/>
      <c r="AC66" s="365"/>
      <c r="AD66" s="365"/>
      <c r="AE66" s="365"/>
      <c r="AF66" s="365"/>
      <c r="AG66" s="365"/>
      <c r="AH66" s="365"/>
      <c r="AI66" s="365"/>
      <c r="AJ66" s="365"/>
      <c r="AK66" s="365"/>
      <c r="AL66" s="365"/>
      <c r="AM66" s="365"/>
      <c r="AN66" s="365"/>
      <c r="AO66" s="365"/>
      <c r="AP66" s="365"/>
      <c r="AQ66" s="365"/>
      <c r="AR66" s="365"/>
      <c r="AS66" s="365"/>
      <c r="AT66" s="365"/>
      <c r="AU66" s="368"/>
      <c r="AV66" s="369"/>
      <c r="AW66" s="385"/>
      <c r="AX66" s="385"/>
      <c r="AY66" s="385"/>
      <c r="AZ66" s="385"/>
      <c r="BA66" s="371"/>
      <c r="BB66" s="372"/>
      <c r="BC66" s="373"/>
      <c r="BD66" s="374"/>
      <c r="BE66" s="374"/>
      <c r="BF66" s="375"/>
      <c r="BG66" s="376"/>
      <c r="BH66" s="374"/>
      <c r="BI66" s="377"/>
      <c r="BJ66" s="25"/>
      <c r="BK66" s="25"/>
    </row>
    <row r="67" ht="15.75" customHeight="1">
      <c r="A67" s="441">
        <v>38.0</v>
      </c>
      <c r="B67" s="448"/>
      <c r="C67" s="383"/>
      <c r="D67" s="449"/>
      <c r="E67" s="365"/>
      <c r="F67" s="365"/>
      <c r="G67" s="365"/>
      <c r="H67" s="365"/>
      <c r="I67" s="365"/>
      <c r="J67" s="365"/>
      <c r="K67" s="365"/>
      <c r="L67" s="365"/>
      <c r="M67" s="365"/>
      <c r="N67" s="365"/>
      <c r="O67" s="365"/>
      <c r="P67" s="365"/>
      <c r="Q67" s="365"/>
      <c r="R67" s="365"/>
      <c r="S67" s="365"/>
      <c r="T67" s="365"/>
      <c r="U67" s="365"/>
      <c r="V67" s="365"/>
      <c r="W67" s="365"/>
      <c r="X67" s="366"/>
      <c r="Y67" s="367"/>
      <c r="Z67" s="365"/>
      <c r="AA67" s="365"/>
      <c r="AB67" s="365"/>
      <c r="AC67" s="365"/>
      <c r="AD67" s="365"/>
      <c r="AE67" s="365"/>
      <c r="AF67" s="365"/>
      <c r="AG67" s="365"/>
      <c r="AH67" s="365"/>
      <c r="AI67" s="365"/>
      <c r="AJ67" s="365"/>
      <c r="AK67" s="365"/>
      <c r="AL67" s="365"/>
      <c r="AM67" s="365"/>
      <c r="AN67" s="365"/>
      <c r="AO67" s="365"/>
      <c r="AP67" s="365"/>
      <c r="AQ67" s="365"/>
      <c r="AR67" s="365"/>
      <c r="AS67" s="365"/>
      <c r="AT67" s="365"/>
      <c r="AU67" s="368"/>
      <c r="AV67" s="369"/>
      <c r="AW67" s="385"/>
      <c r="AX67" s="385"/>
      <c r="AY67" s="385"/>
      <c r="AZ67" s="385"/>
      <c r="BA67" s="371"/>
      <c r="BB67" s="372"/>
      <c r="BC67" s="373"/>
      <c r="BD67" s="374"/>
      <c r="BE67" s="374"/>
      <c r="BF67" s="375"/>
      <c r="BG67" s="376"/>
      <c r="BH67" s="374"/>
      <c r="BI67" s="377"/>
      <c r="BJ67" s="25"/>
      <c r="BK67" s="25"/>
    </row>
    <row r="68" ht="15.75" customHeight="1">
      <c r="A68" s="441">
        <v>39.0</v>
      </c>
      <c r="B68" s="448"/>
      <c r="C68" s="383"/>
      <c r="D68" s="449"/>
      <c r="E68" s="365"/>
      <c r="F68" s="365"/>
      <c r="G68" s="365"/>
      <c r="H68" s="365"/>
      <c r="I68" s="365"/>
      <c r="J68" s="365"/>
      <c r="K68" s="365"/>
      <c r="L68" s="365"/>
      <c r="M68" s="365"/>
      <c r="N68" s="365"/>
      <c r="O68" s="365"/>
      <c r="P68" s="365"/>
      <c r="Q68" s="365"/>
      <c r="R68" s="365"/>
      <c r="S68" s="365"/>
      <c r="T68" s="365"/>
      <c r="U68" s="365"/>
      <c r="V68" s="365"/>
      <c r="W68" s="365"/>
      <c r="X68" s="366"/>
      <c r="Y68" s="367"/>
      <c r="Z68" s="365"/>
      <c r="AA68" s="365"/>
      <c r="AB68" s="365"/>
      <c r="AC68" s="365"/>
      <c r="AD68" s="365"/>
      <c r="AE68" s="365"/>
      <c r="AF68" s="365"/>
      <c r="AG68" s="365"/>
      <c r="AH68" s="365"/>
      <c r="AI68" s="365"/>
      <c r="AJ68" s="365"/>
      <c r="AK68" s="365"/>
      <c r="AL68" s="365"/>
      <c r="AM68" s="365"/>
      <c r="AN68" s="365"/>
      <c r="AO68" s="365"/>
      <c r="AP68" s="365"/>
      <c r="AQ68" s="365"/>
      <c r="AR68" s="365"/>
      <c r="AS68" s="365"/>
      <c r="AT68" s="365"/>
      <c r="AU68" s="368"/>
      <c r="AV68" s="369"/>
      <c r="AW68" s="385"/>
      <c r="AX68" s="385"/>
      <c r="AY68" s="385"/>
      <c r="AZ68" s="385"/>
      <c r="BA68" s="371"/>
      <c r="BB68" s="372"/>
      <c r="BC68" s="373"/>
      <c r="BD68" s="374"/>
      <c r="BE68" s="374"/>
      <c r="BF68" s="375"/>
      <c r="BG68" s="376"/>
      <c r="BH68" s="374"/>
      <c r="BI68" s="377"/>
      <c r="BJ68" s="25"/>
      <c r="BK68" s="25"/>
    </row>
    <row r="69" ht="15.75" customHeight="1">
      <c r="A69" s="441">
        <v>40.0</v>
      </c>
      <c r="B69" s="448"/>
      <c r="C69" s="383"/>
      <c r="D69" s="449"/>
      <c r="E69" s="365"/>
      <c r="F69" s="365"/>
      <c r="G69" s="365"/>
      <c r="H69" s="365"/>
      <c r="I69" s="365"/>
      <c r="J69" s="365"/>
      <c r="K69" s="365"/>
      <c r="L69" s="365"/>
      <c r="M69" s="365"/>
      <c r="N69" s="365"/>
      <c r="O69" s="365"/>
      <c r="P69" s="365"/>
      <c r="Q69" s="365"/>
      <c r="R69" s="365"/>
      <c r="S69" s="365"/>
      <c r="T69" s="365"/>
      <c r="U69" s="365"/>
      <c r="V69" s="365"/>
      <c r="W69" s="365"/>
      <c r="X69" s="366"/>
      <c r="Y69" s="367"/>
      <c r="Z69" s="365"/>
      <c r="AA69" s="365"/>
      <c r="AB69" s="365"/>
      <c r="AC69" s="365"/>
      <c r="AD69" s="365"/>
      <c r="AE69" s="365"/>
      <c r="AF69" s="365"/>
      <c r="AG69" s="365"/>
      <c r="AH69" s="365"/>
      <c r="AI69" s="365"/>
      <c r="AJ69" s="365"/>
      <c r="AK69" s="365"/>
      <c r="AL69" s="365"/>
      <c r="AM69" s="365"/>
      <c r="AN69" s="365"/>
      <c r="AO69" s="365"/>
      <c r="AP69" s="365"/>
      <c r="AQ69" s="365"/>
      <c r="AR69" s="365"/>
      <c r="AS69" s="365"/>
      <c r="AT69" s="365"/>
      <c r="AU69" s="368"/>
      <c r="AV69" s="369"/>
      <c r="AW69" s="385"/>
      <c r="AX69" s="385"/>
      <c r="AY69" s="385"/>
      <c r="AZ69" s="385"/>
      <c r="BA69" s="371"/>
      <c r="BB69" s="372"/>
      <c r="BC69" s="373"/>
      <c r="BD69" s="374"/>
      <c r="BE69" s="374"/>
      <c r="BF69" s="375"/>
      <c r="BG69" s="376"/>
      <c r="BH69" s="374"/>
      <c r="BI69" s="377"/>
      <c r="BJ69" s="25"/>
      <c r="BK69" s="25"/>
    </row>
    <row r="70" ht="15.75" customHeight="1">
      <c r="A70" s="442" t="s">
        <v>202</v>
      </c>
      <c r="B70" s="29"/>
      <c r="C70" s="41"/>
      <c r="D70" s="387">
        <f>COUNTIF(D30:D69,"D")</f>
        <v>1</v>
      </c>
      <c r="E70" s="387">
        <f>COUNTIF(E30:E69,"C")</f>
        <v>21</v>
      </c>
      <c r="F70" s="387">
        <f>COUNTIF(F30:F69,"D")</f>
        <v>3</v>
      </c>
      <c r="G70" s="387">
        <f>COUNTIF(G30:G69,"A")</f>
        <v>1</v>
      </c>
      <c r="H70" s="387">
        <f>COUNTIF(H30:H69,"B")</f>
        <v>19</v>
      </c>
      <c r="I70" s="387">
        <f>COUNTIF(I30:I69,"A")</f>
        <v>1</v>
      </c>
      <c r="J70" s="387">
        <f>COUNTIF(J30:J69,"C")</f>
        <v>0</v>
      </c>
      <c r="K70" s="387">
        <f t="shared" ref="K70:L70" si="9">COUNTIF(K30:K69,"D")</f>
        <v>0</v>
      </c>
      <c r="L70" s="387">
        <f t="shared" si="9"/>
        <v>1</v>
      </c>
      <c r="M70" s="387">
        <f>COUNTIF(M30:M69,"C")</f>
        <v>20</v>
      </c>
      <c r="N70" s="387">
        <f>COUNTIF(N30:N69,"B")</f>
        <v>1</v>
      </c>
      <c r="O70" s="387">
        <f>COUNTIF(O30:O69,"C")</f>
        <v>19</v>
      </c>
      <c r="P70" s="387">
        <f>COUNTIF(P30:P69,"B")</f>
        <v>2</v>
      </c>
      <c r="Q70" s="387">
        <f>COUNTIF(Q30:Q69,"C")</f>
        <v>0</v>
      </c>
      <c r="R70" s="387">
        <f>COUNTIF(R30:R69,"B")</f>
        <v>2</v>
      </c>
      <c r="S70" s="387">
        <f>COUNTIF(S30:S69,"D")</f>
        <v>1</v>
      </c>
      <c r="T70" s="387">
        <f t="shared" ref="T70:U70" si="10">COUNTIF(T30:T69,"C")</f>
        <v>0</v>
      </c>
      <c r="U70" s="387">
        <f t="shared" si="10"/>
        <v>3</v>
      </c>
      <c r="V70" s="387">
        <f t="shared" ref="V70:W70" si="11">COUNTIF(V30:V69,"A")</f>
        <v>0</v>
      </c>
      <c r="W70" s="387">
        <f t="shared" si="11"/>
        <v>0</v>
      </c>
      <c r="X70" s="388">
        <f>COUNTIF(X30:X69,"B")</f>
        <v>19</v>
      </c>
      <c r="Y70" s="389">
        <f>COUNTIF(Y30:Y69,"C")</f>
        <v>2</v>
      </c>
      <c r="Z70" s="390">
        <f>COUNTIF(Z30:Z69,"A")</f>
        <v>0</v>
      </c>
      <c r="AA70" s="390">
        <f>COUNTIF(AA30:AA69,"B")</f>
        <v>21</v>
      </c>
      <c r="AB70" s="390">
        <f>COUNTIF(AB30:AB69,"D")</f>
        <v>19</v>
      </c>
      <c r="AC70" s="390">
        <f>COUNTIF(AC30:AC69,"A")</f>
        <v>2</v>
      </c>
      <c r="AD70" s="390">
        <f>COUNTIF(AD30:AD69,"D")</f>
        <v>0</v>
      </c>
      <c r="AE70" s="390">
        <f>COUNTIF(AE30:AE69,"B")</f>
        <v>18</v>
      </c>
      <c r="AF70" s="390">
        <f>COUNTIF(AF30:AF69,"C")</f>
        <v>3</v>
      </c>
      <c r="AG70" s="390">
        <f>COUNTIF(AG30:AG69,"A")</f>
        <v>3</v>
      </c>
      <c r="AH70" s="390">
        <f>COUNTIF(AH30:AH69,"C")</f>
        <v>2</v>
      </c>
      <c r="AI70" s="390">
        <f>COUNTIF(AI30:AI69,"B")</f>
        <v>2</v>
      </c>
      <c r="AJ70" s="390">
        <f>COUNTIF(AJ30:AJ69,"C")</f>
        <v>1</v>
      </c>
      <c r="AK70" s="390">
        <f>COUNTIF(AK30:AK69,"A")</f>
        <v>2</v>
      </c>
      <c r="AL70" s="390">
        <f t="shared" ref="AL70:AM70" si="12">COUNTIF(AL30:AL69,"D")</f>
        <v>2</v>
      </c>
      <c r="AM70" s="390">
        <f t="shared" si="12"/>
        <v>1</v>
      </c>
      <c r="AN70" s="390">
        <f t="shared" ref="AN70:AO70" si="13">COUNTIF(AN30:AN69,"C")</f>
        <v>1</v>
      </c>
      <c r="AO70" s="390">
        <f t="shared" si="13"/>
        <v>3</v>
      </c>
      <c r="AP70" s="390">
        <f>COUNTIF(AP30:AP69,"A")</f>
        <v>1</v>
      </c>
      <c r="AQ70" s="390">
        <f>COUNTIF(AQ30:AQ69,"D")</f>
        <v>17</v>
      </c>
      <c r="AR70" s="390">
        <f>COUNTIF(AR30:AR69,"B")</f>
        <v>2</v>
      </c>
      <c r="AS70" s="390">
        <f>COUNTIF(AS30:AS69,"D")</f>
        <v>1</v>
      </c>
      <c r="AT70" s="390">
        <f>COUNTIF(AT30:AT69,"A")</f>
        <v>1</v>
      </c>
      <c r="AU70" s="368"/>
      <c r="AV70" s="368"/>
      <c r="AW70" s="368"/>
      <c r="AX70" s="368"/>
      <c r="AY70" s="368"/>
      <c r="AZ70" s="368"/>
      <c r="BA70" s="368"/>
      <c r="BB70" s="368"/>
      <c r="BC70" s="368"/>
      <c r="BD70" s="368"/>
      <c r="BE70" s="368"/>
      <c r="BF70" s="368"/>
      <c r="BG70" s="368"/>
      <c r="BH70" s="368"/>
      <c r="BI70" s="368"/>
    </row>
    <row r="71" ht="64.5" customHeight="1">
      <c r="AU71" s="88"/>
    </row>
    <row r="72" ht="12.0" customHeight="1">
      <c r="A72" s="89"/>
      <c r="B72" s="90"/>
      <c r="C72" s="90"/>
      <c r="D72" s="391" t="s">
        <v>51</v>
      </c>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c r="AE72" s="392"/>
      <c r="AF72" s="392"/>
      <c r="AG72" s="392"/>
      <c r="AH72" s="392"/>
      <c r="AI72" s="393"/>
      <c r="AJ72" s="93"/>
      <c r="AK72" s="394" t="s">
        <v>87</v>
      </c>
      <c r="AL72" s="395"/>
      <c r="AM72" s="395"/>
      <c r="AN72" s="395"/>
      <c r="AO72" s="395"/>
      <c r="AP72" s="395"/>
      <c r="AQ72" s="395"/>
      <c r="AR72" s="395"/>
      <c r="AS72" s="395"/>
      <c r="AT72" s="396"/>
    </row>
    <row r="73" ht="12.0" customHeight="1">
      <c r="A73" s="94"/>
      <c r="B73" s="95"/>
      <c r="C73" s="95"/>
      <c r="D73" s="397" t="s">
        <v>52</v>
      </c>
      <c r="E73" s="14"/>
      <c r="F73" s="398" t="s">
        <v>53</v>
      </c>
      <c r="G73" s="399" t="s">
        <v>54</v>
      </c>
      <c r="H73" s="400" t="s">
        <v>55</v>
      </c>
      <c r="AI73" s="14"/>
      <c r="AJ73" s="101"/>
      <c r="AK73" s="401"/>
      <c r="AL73" s="402"/>
      <c r="AM73" s="402"/>
      <c r="AN73" s="402"/>
      <c r="AO73" s="402"/>
      <c r="AP73" s="402"/>
      <c r="AQ73" s="402"/>
      <c r="AR73" s="402"/>
      <c r="AS73" s="402"/>
      <c r="AT73" s="403"/>
    </row>
    <row r="74">
      <c r="A74" s="94"/>
      <c r="B74" s="95"/>
      <c r="C74" s="95"/>
      <c r="D74" s="102"/>
      <c r="E74" s="24"/>
      <c r="F74" s="65"/>
      <c r="G74" s="65"/>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4"/>
      <c r="AJ74" s="101"/>
      <c r="AK74" s="404"/>
      <c r="AL74" s="405"/>
      <c r="AM74" s="406" t="s">
        <v>10</v>
      </c>
      <c r="AN74" s="407" t="s">
        <v>44</v>
      </c>
      <c r="AO74" s="408" t="s">
        <v>10</v>
      </c>
      <c r="AP74" s="409" t="s">
        <v>42</v>
      </c>
      <c r="AQ74" s="408" t="s">
        <v>10</v>
      </c>
      <c r="AR74" s="409" t="s">
        <v>41</v>
      </c>
      <c r="AS74" s="408" t="s">
        <v>10</v>
      </c>
      <c r="AT74" s="409" t="s">
        <v>43</v>
      </c>
    </row>
    <row r="75">
      <c r="A75" s="94"/>
      <c r="B75" s="95"/>
      <c r="C75" s="103"/>
      <c r="D75" s="104" t="s">
        <v>16</v>
      </c>
      <c r="E75" s="105">
        <v>1.0</v>
      </c>
      <c r="F75" s="106">
        <f>D70</f>
        <v>1</v>
      </c>
      <c r="G75" s="107">
        <f t="shared" ref="G75:G117" si="14">SUM(F75/C$18*100)</f>
        <v>4.347826087</v>
      </c>
      <c r="H75" s="108" t="s">
        <v>56</v>
      </c>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10"/>
      <c r="AJ75" s="111"/>
      <c r="AK75" s="156" t="s">
        <v>16</v>
      </c>
      <c r="AL75" s="112">
        <v>1.0</v>
      </c>
      <c r="AM75" s="113">
        <f>COUNTIF(D30:D69,"A")</f>
        <v>2</v>
      </c>
      <c r="AN75" s="410">
        <f>SUM(AM75/C18*100)</f>
        <v>8.695652174</v>
      </c>
      <c r="AO75" s="208">
        <f>COUNTIF(D30:D69,"B")</f>
        <v>1</v>
      </c>
      <c r="AP75" s="410">
        <f>SUM(AO75/C18*100)</f>
        <v>4.347826087</v>
      </c>
      <c r="AQ75" s="208">
        <f>COUNTIF(D30:D69,"C")</f>
        <v>18</v>
      </c>
      <c r="AR75" s="410">
        <f>SUM(AQ75/C18*100)</f>
        <v>78.26086957</v>
      </c>
      <c r="AS75" s="208">
        <f>COUNTIF(D30:D69,"D")</f>
        <v>1</v>
      </c>
      <c r="AT75" s="411">
        <f>SUM(AS75/C18*100)</f>
        <v>4.347826087</v>
      </c>
    </row>
    <row r="76">
      <c r="A76" s="94"/>
      <c r="B76" s="95"/>
      <c r="C76" s="103"/>
      <c r="D76" s="47"/>
      <c r="E76" s="112">
        <v>2.0</v>
      </c>
      <c r="F76" s="113">
        <f>E70</f>
        <v>21</v>
      </c>
      <c r="G76" s="107">
        <f t="shared" si="14"/>
        <v>91.30434783</v>
      </c>
      <c r="H76" s="108" t="s">
        <v>57</v>
      </c>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10"/>
      <c r="AJ76" s="111"/>
      <c r="AL76" s="112">
        <v>2.0</v>
      </c>
      <c r="AM76" s="113">
        <f>COUNTIF(E30:E69,"A")</f>
        <v>0</v>
      </c>
      <c r="AN76" s="410">
        <f>SUM(AM76/C18*100)</f>
        <v>0</v>
      </c>
      <c r="AO76" s="208">
        <f>COUNTIF(E30:E69,"B")</f>
        <v>0</v>
      </c>
      <c r="AP76" s="410">
        <f>SUM(AO76/C18*100)</f>
        <v>0</v>
      </c>
      <c r="AQ76" s="208">
        <f>COUNTIF(E30:E69,"C")</f>
        <v>21</v>
      </c>
      <c r="AR76" s="410">
        <f>SUM(AQ76/C18*100)</f>
        <v>91.30434783</v>
      </c>
      <c r="AS76" s="208">
        <f>COUNTIF(E30:E69,"D")</f>
        <v>1</v>
      </c>
      <c r="AT76" s="411">
        <f>SUM(AS76/C18*100)</f>
        <v>4.347826087</v>
      </c>
    </row>
    <row r="77">
      <c r="A77" s="94"/>
      <c r="B77" s="95"/>
      <c r="C77" s="103"/>
      <c r="D77" s="47"/>
      <c r="E77" s="112">
        <v>3.0</v>
      </c>
      <c r="F77" s="114">
        <f>F70</f>
        <v>3</v>
      </c>
      <c r="G77" s="107">
        <f t="shared" si="14"/>
        <v>13.04347826</v>
      </c>
      <c r="H77" s="108" t="s">
        <v>58</v>
      </c>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10"/>
      <c r="AJ77" s="111"/>
      <c r="AL77" s="112">
        <v>3.0</v>
      </c>
      <c r="AM77" s="113">
        <f>COUNTIF(F30:F69,"A")</f>
        <v>0</v>
      </c>
      <c r="AN77" s="410">
        <f>SUM(AM77/C18*100)</f>
        <v>0</v>
      </c>
      <c r="AO77" s="208">
        <f>COUNTIF(F30:F69,"B")</f>
        <v>2</v>
      </c>
      <c r="AP77" s="410">
        <f>SUM(AO77/C18*100)</f>
        <v>8.695652174</v>
      </c>
      <c r="AQ77" s="208">
        <f>COUNTIF(F30:F69,"C")</f>
        <v>17</v>
      </c>
      <c r="AR77" s="410">
        <f>SUM(AQ77/C18*100)</f>
        <v>73.91304348</v>
      </c>
      <c r="AS77" s="208">
        <f>COUNTIF(F30:F69,"D")</f>
        <v>3</v>
      </c>
      <c r="AT77" s="411">
        <f>SUM(AS77/C18*100)</f>
        <v>13.04347826</v>
      </c>
    </row>
    <row r="78">
      <c r="A78" s="94"/>
      <c r="B78" s="95"/>
      <c r="C78" s="103"/>
      <c r="D78" s="47"/>
      <c r="E78" s="112">
        <v>4.0</v>
      </c>
      <c r="F78" s="113">
        <f>G70</f>
        <v>1</v>
      </c>
      <c r="G78" s="107">
        <f t="shared" si="14"/>
        <v>4.347826087</v>
      </c>
      <c r="H78" s="412" t="s">
        <v>57</v>
      </c>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10"/>
      <c r="AJ78" s="111"/>
      <c r="AL78" s="112">
        <v>4.0</v>
      </c>
      <c r="AM78" s="113">
        <f>COUNTIF(G30:G69,"A")</f>
        <v>1</v>
      </c>
      <c r="AN78" s="410">
        <f>SUM(AM78/C18*100)</f>
        <v>4.347826087</v>
      </c>
      <c r="AO78" s="208">
        <f>COUNTIF(G30:G69,"B")</f>
        <v>20</v>
      </c>
      <c r="AP78" s="410">
        <f>SUM(AO78/C18*100)</f>
        <v>86.95652174</v>
      </c>
      <c r="AQ78" s="208">
        <f>COUNTIF(G30:G69,"C")</f>
        <v>0</v>
      </c>
      <c r="AR78" s="410">
        <f>SUM(AQ78/C18*100)</f>
        <v>0</v>
      </c>
      <c r="AS78" s="208">
        <f>COUNTIF(G30:G69,"D")</f>
        <v>2</v>
      </c>
      <c r="AT78" s="411">
        <f>SUM(AS78/C18*100)</f>
        <v>8.695652174</v>
      </c>
    </row>
    <row r="79">
      <c r="A79" s="94"/>
      <c r="B79" s="95"/>
      <c r="C79" s="103"/>
      <c r="D79" s="47"/>
      <c r="E79" s="112">
        <v>5.0</v>
      </c>
      <c r="F79" s="113">
        <f>H70</f>
        <v>19</v>
      </c>
      <c r="G79" s="107">
        <f t="shared" si="14"/>
        <v>82.60869565</v>
      </c>
      <c r="H79" s="412" t="s">
        <v>59</v>
      </c>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10"/>
      <c r="AJ79" s="111"/>
      <c r="AL79" s="112">
        <v>5.0</v>
      </c>
      <c r="AM79" s="113">
        <f>COUNTIF(H30:H69,"A")</f>
        <v>0</v>
      </c>
      <c r="AN79" s="410">
        <f>SUM(AM79/C18*100)</f>
        <v>0</v>
      </c>
      <c r="AO79" s="208">
        <f>COUNTIF(H30:H69,"B")</f>
        <v>19</v>
      </c>
      <c r="AP79" s="410">
        <f>SUM(AO79/C18*100)</f>
        <v>82.60869565</v>
      </c>
      <c r="AQ79" s="208">
        <f>COUNTIF(H30:H69,"C")</f>
        <v>2</v>
      </c>
      <c r="AR79" s="410">
        <f>SUM(AQ79/C18*100)</f>
        <v>8.695652174</v>
      </c>
      <c r="AS79" s="208">
        <f>COUNTIF(H30:H69,"D")</f>
        <v>2</v>
      </c>
      <c r="AT79" s="411">
        <f>SUM(AS79/C18*100)</f>
        <v>8.695652174</v>
      </c>
    </row>
    <row r="80">
      <c r="A80" s="94"/>
      <c r="B80" s="95"/>
      <c r="C80" s="103"/>
      <c r="D80" s="47"/>
      <c r="E80" s="112">
        <v>6.0</v>
      </c>
      <c r="F80" s="113">
        <f>I70</f>
        <v>1</v>
      </c>
      <c r="G80" s="107">
        <f t="shared" si="14"/>
        <v>4.347826087</v>
      </c>
      <c r="H80" s="412" t="s">
        <v>57</v>
      </c>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10"/>
      <c r="AJ80" s="111"/>
      <c r="AL80" s="112">
        <v>6.0</v>
      </c>
      <c r="AM80" s="113">
        <f>COUNTIF(I30:I69,"A")</f>
        <v>1</v>
      </c>
      <c r="AN80" s="410">
        <f>SUM(AM80/C18*100)</f>
        <v>4.347826087</v>
      </c>
      <c r="AO80" s="208">
        <f>COUNTIF(I30:I69,"B")</f>
        <v>0</v>
      </c>
      <c r="AP80" s="410">
        <f>SUM(AO80/C18*100)</f>
        <v>0</v>
      </c>
      <c r="AQ80" s="208">
        <f>COUNTIF(I30:I69,"C")</f>
        <v>1</v>
      </c>
      <c r="AR80" s="410">
        <f>SUM(AQ80/C18*100)</f>
        <v>4.347826087</v>
      </c>
      <c r="AS80" s="208">
        <f>COUNTIF(I30:I69,"D")</f>
        <v>20</v>
      </c>
      <c r="AT80" s="411">
        <f>SUM(AS80/C18*100)</f>
        <v>86.95652174</v>
      </c>
    </row>
    <row r="81">
      <c r="A81" s="94"/>
      <c r="B81" s="95"/>
      <c r="C81" s="103"/>
      <c r="D81" s="47"/>
      <c r="E81" s="112">
        <v>7.0</v>
      </c>
      <c r="F81" s="113">
        <f>J70</f>
        <v>0</v>
      </c>
      <c r="G81" s="107">
        <f t="shared" si="14"/>
        <v>0</v>
      </c>
      <c r="H81" s="412" t="s">
        <v>60</v>
      </c>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10"/>
      <c r="AJ81" s="111"/>
      <c r="AL81" s="112">
        <v>7.0</v>
      </c>
      <c r="AM81" s="113">
        <f>COUNTIF(J30:J69,"A")</f>
        <v>1</v>
      </c>
      <c r="AN81" s="410">
        <f>SUM(AM81/C18*100)</f>
        <v>4.347826087</v>
      </c>
      <c r="AO81" s="208">
        <f>COUNTIF(J30:J69,"B")</f>
        <v>18</v>
      </c>
      <c r="AP81" s="410">
        <f>SUM(AO81/C18*100)</f>
        <v>78.26086957</v>
      </c>
      <c r="AQ81" s="208">
        <f>COUNTIF(J30:J69,"C")</f>
        <v>0</v>
      </c>
      <c r="AR81" s="410">
        <f>SUM(AQ81/C18*100)</f>
        <v>0</v>
      </c>
      <c r="AS81" s="208">
        <f>COUNTIF(J30:J69,"D")</f>
        <v>3</v>
      </c>
      <c r="AT81" s="411">
        <f>SUM(AS81/C18*100)</f>
        <v>13.04347826</v>
      </c>
    </row>
    <row r="82">
      <c r="A82" s="94"/>
      <c r="B82" s="95"/>
      <c r="C82" s="103"/>
      <c r="D82" s="47"/>
      <c r="E82" s="112">
        <v>8.0</v>
      </c>
      <c r="F82" s="113">
        <f>K70</f>
        <v>0</v>
      </c>
      <c r="G82" s="107">
        <f t="shared" si="14"/>
        <v>0</v>
      </c>
      <c r="H82" s="412" t="s">
        <v>61</v>
      </c>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10"/>
      <c r="AJ82" s="115"/>
      <c r="AL82" s="112">
        <v>8.0</v>
      </c>
      <c r="AM82" s="113">
        <f>COUNTIF(K30:K69,"A")</f>
        <v>2</v>
      </c>
      <c r="AN82" s="410">
        <f>SUM(AM82/C18*100)</f>
        <v>8.695652174</v>
      </c>
      <c r="AO82" s="208">
        <f>COUNTIF(K30:K69,"B")</f>
        <v>19</v>
      </c>
      <c r="AP82" s="410">
        <f>SUM(AO82/C18*100)</f>
        <v>82.60869565</v>
      </c>
      <c r="AQ82" s="208">
        <f>COUNTIF(K30:K69,"C")</f>
        <v>2</v>
      </c>
      <c r="AR82" s="410">
        <f>SUM(AQ82/C18*100)</f>
        <v>8.695652174</v>
      </c>
      <c r="AS82" s="208">
        <f>COUNTIF(K30:K69,"D")</f>
        <v>0</v>
      </c>
      <c r="AT82" s="411">
        <f>SUM(AS82/C18*100)</f>
        <v>0</v>
      </c>
    </row>
    <row r="83">
      <c r="A83" s="94"/>
      <c r="B83" s="95"/>
      <c r="C83" s="103"/>
      <c r="D83" s="47"/>
      <c r="E83" s="112">
        <v>9.0</v>
      </c>
      <c r="F83" s="113">
        <f>L70</f>
        <v>1</v>
      </c>
      <c r="G83" s="107">
        <f t="shared" si="14"/>
        <v>4.347826087</v>
      </c>
      <c r="H83" s="412" t="s">
        <v>62</v>
      </c>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10"/>
      <c r="AJ83" s="111"/>
      <c r="AL83" s="112">
        <v>9.0</v>
      </c>
      <c r="AM83" s="413">
        <f>COUNTIF(L30:L69,"A")</f>
        <v>19</v>
      </c>
      <c r="AN83" s="410">
        <f>SUM(AM83/C18*100)</f>
        <v>82.60869565</v>
      </c>
      <c r="AO83" s="414">
        <f>COUNTIF(L30:L69,"B")</f>
        <v>2</v>
      </c>
      <c r="AP83" s="410">
        <f>SUM(AO83/C18*100)</f>
        <v>8.695652174</v>
      </c>
      <c r="AQ83" s="414">
        <f>COUNTIF(L30:L69,"C")</f>
        <v>1</v>
      </c>
      <c r="AR83" s="410">
        <f>SUM(AQ83/C18*100)</f>
        <v>4.347826087</v>
      </c>
      <c r="AS83" s="414">
        <f>COUNTIF(L30:L69,"D")</f>
        <v>1</v>
      </c>
      <c r="AT83" s="411">
        <f>SUM(AS83/C18*100)</f>
        <v>4.347826087</v>
      </c>
    </row>
    <row r="84">
      <c r="A84" s="94"/>
      <c r="B84" s="95"/>
      <c r="C84" s="103"/>
      <c r="D84" s="47"/>
      <c r="E84" s="112">
        <v>10.0</v>
      </c>
      <c r="F84" s="113">
        <f>M70</f>
        <v>20</v>
      </c>
      <c r="G84" s="107">
        <f t="shared" si="14"/>
        <v>86.95652174</v>
      </c>
      <c r="H84" s="412" t="s">
        <v>58</v>
      </c>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10"/>
      <c r="AJ84" s="111"/>
      <c r="AL84" s="112">
        <v>10.0</v>
      </c>
      <c r="AM84" s="113">
        <f>COUNTIF(M30:M69,"A")</f>
        <v>1</v>
      </c>
      <c r="AN84" s="410">
        <f>SUM(AM84/C18*100)</f>
        <v>4.347826087</v>
      </c>
      <c r="AO84" s="208">
        <f>COUNTIF(M30:M69,"B")</f>
        <v>1</v>
      </c>
      <c r="AP84" s="410">
        <f>SUM(AO84/C18*100)</f>
        <v>4.347826087</v>
      </c>
      <c r="AQ84" s="208">
        <f>COUNTIF(M30:M69,"C")</f>
        <v>20</v>
      </c>
      <c r="AR84" s="410">
        <f>SUM(AQ84/C18*100)</f>
        <v>86.95652174</v>
      </c>
      <c r="AS84" s="208">
        <f>COUNTIF(M30:M69,"D")</f>
        <v>1</v>
      </c>
      <c r="AT84" s="411">
        <f>SUM(AS84/C18*100)</f>
        <v>4.347826087</v>
      </c>
    </row>
    <row r="85">
      <c r="A85" s="94"/>
      <c r="B85" s="95"/>
      <c r="C85" s="103"/>
      <c r="D85" s="47"/>
      <c r="E85" s="112">
        <v>11.0</v>
      </c>
      <c r="F85" s="113">
        <f>N70</f>
        <v>1</v>
      </c>
      <c r="G85" s="107">
        <f t="shared" si="14"/>
        <v>4.347826087</v>
      </c>
      <c r="H85" s="412" t="s">
        <v>63</v>
      </c>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10"/>
      <c r="AJ85" s="111"/>
      <c r="AL85" s="112">
        <v>11.0</v>
      </c>
      <c r="AM85" s="113">
        <f>COUNTIF(N30:N69,"A")</f>
        <v>0</v>
      </c>
      <c r="AN85" s="410">
        <f>SUM(AM85/C18*100)</f>
        <v>0</v>
      </c>
      <c r="AO85" s="208">
        <f>COUNTIF(N30:N69,"B")</f>
        <v>1</v>
      </c>
      <c r="AP85" s="410">
        <f>SUM(AO85/C18*100)</f>
        <v>4.347826087</v>
      </c>
      <c r="AQ85" s="208">
        <f>COUNTIF(N30:N69,"C")</f>
        <v>22</v>
      </c>
      <c r="AR85" s="410">
        <f>SUM(AQ85/C18*100)</f>
        <v>95.65217391</v>
      </c>
      <c r="AS85" s="208">
        <f>COUNTIF(N30:N69,"D")</f>
        <v>0</v>
      </c>
      <c r="AT85" s="411">
        <f>SUM(AS85/C18*100)</f>
        <v>0</v>
      </c>
    </row>
    <row r="86">
      <c r="A86" s="94"/>
      <c r="B86" s="95"/>
      <c r="C86" s="103"/>
      <c r="D86" s="47"/>
      <c r="E86" s="112">
        <v>12.0</v>
      </c>
      <c r="F86" s="113">
        <f>O70</f>
        <v>19</v>
      </c>
      <c r="G86" s="107">
        <f t="shared" si="14"/>
        <v>82.60869565</v>
      </c>
      <c r="H86" s="108" t="s">
        <v>64</v>
      </c>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10"/>
      <c r="AJ86" s="116"/>
      <c r="AL86" s="112">
        <v>12.0</v>
      </c>
      <c r="AM86" s="113">
        <f>COUNTIF(O30:O69,"A")</f>
        <v>1</v>
      </c>
      <c r="AN86" s="410">
        <f>SUM(AM86/C18*100)</f>
        <v>4.347826087</v>
      </c>
      <c r="AO86" s="208">
        <f>COUNTIF(O30:O69,"B")</f>
        <v>2</v>
      </c>
      <c r="AP86" s="410">
        <f>SUM(AO86/C18*100)</f>
        <v>8.695652174</v>
      </c>
      <c r="AQ86" s="208">
        <f>COUNTIF(O30:O69,"C")</f>
        <v>19</v>
      </c>
      <c r="AR86" s="410">
        <f>SUM(AQ86/C18*100)</f>
        <v>82.60869565</v>
      </c>
      <c r="AS86" s="208">
        <f>COUNTIF(O30:O69,"D")</f>
        <v>1</v>
      </c>
      <c r="AT86" s="411">
        <f>SUM(AS86/C18*100)</f>
        <v>4.347826087</v>
      </c>
    </row>
    <row r="87">
      <c r="A87" s="94"/>
      <c r="B87" s="95"/>
      <c r="C87" s="103"/>
      <c r="D87" s="47"/>
      <c r="E87" s="112">
        <v>13.0</v>
      </c>
      <c r="F87" s="113">
        <f>P70</f>
        <v>2</v>
      </c>
      <c r="G87" s="107">
        <f t="shared" si="14"/>
        <v>8.695652174</v>
      </c>
      <c r="H87" s="412" t="s">
        <v>63</v>
      </c>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10"/>
      <c r="AJ87" s="111"/>
      <c r="AL87" s="112">
        <v>13.0</v>
      </c>
      <c r="AM87" s="113">
        <f>COUNTIF(P30:P69,"A")</f>
        <v>20</v>
      </c>
      <c r="AN87" s="410">
        <f>SUM(AM87/C18*100)</f>
        <v>86.95652174</v>
      </c>
      <c r="AO87" s="208">
        <f>COUNTIF(P30:P69,"B")</f>
        <v>2</v>
      </c>
      <c r="AP87" s="410">
        <f>SUM(AO87/C18*100)</f>
        <v>8.695652174</v>
      </c>
      <c r="AQ87" s="208">
        <f>COUNTIF(P30:P69,"C")</f>
        <v>0</v>
      </c>
      <c r="AR87" s="410">
        <f>SUM(AQ87/C18*100)</f>
        <v>0</v>
      </c>
      <c r="AS87" s="208">
        <f>COUNTIF(P30:P69,"D")</f>
        <v>1</v>
      </c>
      <c r="AT87" s="411">
        <f>SUM(AS87/C18*100)</f>
        <v>4.347826087</v>
      </c>
    </row>
    <row r="88">
      <c r="A88" s="94"/>
      <c r="B88" s="95"/>
      <c r="C88" s="103"/>
      <c r="D88" s="47"/>
      <c r="E88" s="112">
        <v>14.0</v>
      </c>
      <c r="F88" s="113">
        <f>Q70</f>
        <v>0</v>
      </c>
      <c r="G88" s="107">
        <f t="shared" si="14"/>
        <v>0</v>
      </c>
      <c r="H88" s="108" t="s">
        <v>65</v>
      </c>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10"/>
      <c r="AJ88" s="111"/>
      <c r="AL88" s="112">
        <v>14.0</v>
      </c>
      <c r="AM88" s="113">
        <f>COUNTIF(Q30:Q69,"A")</f>
        <v>0</v>
      </c>
      <c r="AN88" s="410">
        <f>SUM(AM88/C18*100)</f>
        <v>0</v>
      </c>
      <c r="AO88" s="208">
        <f>COUNTIF(Q30:Q69,"B")</f>
        <v>21</v>
      </c>
      <c r="AP88" s="410">
        <f>SUM(AO88/C18*100)</f>
        <v>91.30434783</v>
      </c>
      <c r="AQ88" s="208">
        <f>COUNTIF(Q30:Q69,"C")</f>
        <v>0</v>
      </c>
      <c r="AR88" s="410">
        <f>SUM(AQ88/C18*100)</f>
        <v>0</v>
      </c>
      <c r="AS88" s="208">
        <f>COUNTIF(Q30:Q69,"D")</f>
        <v>2</v>
      </c>
      <c r="AT88" s="411">
        <f>SUM(AS88/C18*100)</f>
        <v>8.695652174</v>
      </c>
    </row>
    <row r="89">
      <c r="A89" s="94"/>
      <c r="B89" s="95"/>
      <c r="C89" s="103"/>
      <c r="D89" s="47"/>
      <c r="E89" s="112">
        <v>15.0</v>
      </c>
      <c r="F89" s="113">
        <f>R70</f>
        <v>2</v>
      </c>
      <c r="G89" s="107">
        <f t="shared" si="14"/>
        <v>8.695652174</v>
      </c>
      <c r="H89" s="412" t="s">
        <v>66</v>
      </c>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10"/>
      <c r="AJ89" s="111"/>
      <c r="AL89" s="112">
        <v>15.0</v>
      </c>
      <c r="AM89" s="113">
        <f>COUNTIF(R30:R69,"A")</f>
        <v>1</v>
      </c>
      <c r="AN89" s="410">
        <f>SUM(AM89/C18*100)</f>
        <v>4.347826087</v>
      </c>
      <c r="AO89" s="208">
        <f>COUNTIF(R30:R69,"B")</f>
        <v>2</v>
      </c>
      <c r="AP89" s="410">
        <f>SUM(AO89/C18*100)</f>
        <v>8.695652174</v>
      </c>
      <c r="AQ89" s="208">
        <f>COUNTIF(R30:R69,"C")</f>
        <v>3</v>
      </c>
      <c r="AR89" s="410">
        <f>SUM(AQ89/C18*100)</f>
        <v>13.04347826</v>
      </c>
      <c r="AS89" s="208">
        <f>COUNTIF(R30:R69,"D")</f>
        <v>17</v>
      </c>
      <c r="AT89" s="411">
        <f>SUM(AS89/C18*100)</f>
        <v>73.91304348</v>
      </c>
    </row>
    <row r="90">
      <c r="A90" s="94"/>
      <c r="B90" s="95"/>
      <c r="C90" s="103"/>
      <c r="D90" s="47"/>
      <c r="E90" s="112">
        <v>16.0</v>
      </c>
      <c r="F90" s="113">
        <f>S70</f>
        <v>1</v>
      </c>
      <c r="G90" s="107">
        <f t="shared" si="14"/>
        <v>4.347826087</v>
      </c>
      <c r="H90" s="412" t="s">
        <v>66</v>
      </c>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10"/>
      <c r="AJ90" s="111"/>
      <c r="AL90" s="112">
        <v>16.0</v>
      </c>
      <c r="AM90" s="113">
        <f>COUNTIF(S30:S69,"A")</f>
        <v>20</v>
      </c>
      <c r="AN90" s="410">
        <f>SUM(AM90/C18*100)</f>
        <v>86.95652174</v>
      </c>
      <c r="AO90" s="208">
        <f>COUNTIF(S30:S69,"B")</f>
        <v>1</v>
      </c>
      <c r="AP90" s="410">
        <f>SUM(AO90/C18*100)</f>
        <v>4.347826087</v>
      </c>
      <c r="AQ90" s="208">
        <f>COUNTIF(S30:S69,"C")</f>
        <v>1</v>
      </c>
      <c r="AR90" s="410">
        <f>SUM(AQ90/C18*100)</f>
        <v>4.347826087</v>
      </c>
      <c r="AS90" s="208">
        <f>COUNTIF(S30:S69,"D")</f>
        <v>1</v>
      </c>
      <c r="AT90" s="411">
        <f>SUM(AS90/C18*100)</f>
        <v>4.347826087</v>
      </c>
    </row>
    <row r="91">
      <c r="A91" s="94"/>
      <c r="B91" s="95"/>
      <c r="C91" s="103"/>
      <c r="D91" s="47"/>
      <c r="E91" s="112">
        <v>17.0</v>
      </c>
      <c r="F91" s="113">
        <f>T70</f>
        <v>0</v>
      </c>
      <c r="G91" s="107">
        <f t="shared" si="14"/>
        <v>0</v>
      </c>
      <c r="H91" s="108" t="s">
        <v>67</v>
      </c>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10"/>
      <c r="AJ91" s="111"/>
      <c r="AL91" s="112">
        <v>17.0</v>
      </c>
      <c r="AM91" s="113">
        <f>COUNTIF(T30:T69,"A")</f>
        <v>22</v>
      </c>
      <c r="AN91" s="410">
        <f>SUM(AM91/C18*100)</f>
        <v>95.65217391</v>
      </c>
      <c r="AO91" s="208">
        <f>COUNTIF(T30:T69,"B")</f>
        <v>0</v>
      </c>
      <c r="AP91" s="410">
        <f>SUM(AO91/C18*100)</f>
        <v>0</v>
      </c>
      <c r="AQ91" s="208">
        <f>COUNTIF(T30:T69,"C")</f>
        <v>0</v>
      </c>
      <c r="AR91" s="410">
        <f>SUM(AQ91/C18*100)</f>
        <v>0</v>
      </c>
      <c r="AS91" s="208">
        <f>COUNTIF(T30:T69,"D")</f>
        <v>1</v>
      </c>
      <c r="AT91" s="411">
        <f>SUM(AS91/C18*100)</f>
        <v>4.347826087</v>
      </c>
    </row>
    <row r="92">
      <c r="A92" s="94"/>
      <c r="B92" s="95"/>
      <c r="C92" s="103"/>
      <c r="D92" s="47"/>
      <c r="E92" s="112">
        <v>18.0</v>
      </c>
      <c r="F92" s="113">
        <f>U70</f>
        <v>3</v>
      </c>
      <c r="G92" s="107">
        <f t="shared" si="14"/>
        <v>13.04347826</v>
      </c>
      <c r="H92" s="412" t="s">
        <v>68</v>
      </c>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10"/>
      <c r="AJ92" s="111"/>
      <c r="AL92" s="112">
        <v>18.0</v>
      </c>
      <c r="AM92" s="113">
        <f>COUNTIF(U30:U69,"A")</f>
        <v>20</v>
      </c>
      <c r="AN92" s="410">
        <f>SUM(AM92/C18*100)</f>
        <v>86.95652174</v>
      </c>
      <c r="AO92" s="208">
        <f>COUNTIF(U30:U69,"B")</f>
        <v>0</v>
      </c>
      <c r="AP92" s="410">
        <f>SUM(AO92/C18*100)</f>
        <v>0</v>
      </c>
      <c r="AQ92" s="208">
        <f>COUNTIF(U30:U69,"C")</f>
        <v>3</v>
      </c>
      <c r="AR92" s="410">
        <f>SUM(AQ92/C18*100)</f>
        <v>13.04347826</v>
      </c>
      <c r="AS92" s="208">
        <f>COUNTIF(U30:U69,"D")</f>
        <v>0</v>
      </c>
      <c r="AT92" s="411">
        <f>SUM(AS92/C18*100)</f>
        <v>0</v>
      </c>
    </row>
    <row r="93">
      <c r="A93" s="94"/>
      <c r="B93" s="95"/>
      <c r="C93" s="103"/>
      <c r="D93" s="47"/>
      <c r="E93" s="112">
        <v>19.0</v>
      </c>
      <c r="F93" s="113">
        <f>V70</f>
        <v>0</v>
      </c>
      <c r="G93" s="107">
        <f t="shared" si="14"/>
        <v>0</v>
      </c>
      <c r="H93" s="412" t="s">
        <v>67</v>
      </c>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10"/>
      <c r="AJ93" s="111"/>
      <c r="AL93" s="112">
        <v>19.0</v>
      </c>
      <c r="AM93" s="113">
        <f>COUNTIF(V30:V69,"A")</f>
        <v>0</v>
      </c>
      <c r="AN93" s="410">
        <f>SUM(AM93/C18*100)</f>
        <v>0</v>
      </c>
      <c r="AO93" s="208">
        <f>COUNTIF(V30:V69,"B")</f>
        <v>0</v>
      </c>
      <c r="AP93" s="410">
        <f>SUM(AO93/C18*100)</f>
        <v>0</v>
      </c>
      <c r="AQ93" s="208">
        <f>COUNTIF(V30:V69,"C")</f>
        <v>19</v>
      </c>
      <c r="AR93" s="410">
        <f>SUM(AQ93/C18*100)</f>
        <v>82.60869565</v>
      </c>
      <c r="AS93" s="208">
        <f>COUNTIF(V30:V69,"D")</f>
        <v>4</v>
      </c>
      <c r="AT93" s="411">
        <f>SUM(AS93/C18*100)</f>
        <v>17.39130435</v>
      </c>
    </row>
    <row r="94">
      <c r="A94" s="94"/>
      <c r="B94" s="95"/>
      <c r="C94" s="103"/>
      <c r="D94" s="47"/>
      <c r="E94" s="112">
        <v>20.0</v>
      </c>
      <c r="F94" s="113">
        <f>W70</f>
        <v>0</v>
      </c>
      <c r="G94" s="107">
        <f t="shared" si="14"/>
        <v>0</v>
      </c>
      <c r="H94" s="412" t="s">
        <v>69</v>
      </c>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10"/>
      <c r="AJ94" s="111"/>
      <c r="AL94" s="112">
        <v>20.0</v>
      </c>
      <c r="AM94" s="113">
        <f>COUNTIF(W30:W69,"A")</f>
        <v>0</v>
      </c>
      <c r="AN94" s="410">
        <f>SUM(AM94/C18*100)</f>
        <v>0</v>
      </c>
      <c r="AO94" s="208">
        <f>COUNTIF(W30:W69,"B")</f>
        <v>3</v>
      </c>
      <c r="AP94" s="410">
        <f>SUM(AO94/C18*100)</f>
        <v>13.04347826</v>
      </c>
      <c r="AQ94" s="208">
        <f>COUNTIF(W30:W69,"C")</f>
        <v>2</v>
      </c>
      <c r="AR94" s="410">
        <f>SUM(AQ94/C18*100)</f>
        <v>8.695652174</v>
      </c>
      <c r="AS94" s="208">
        <f>COUNTIF(W30:W69,"D")</f>
        <v>18</v>
      </c>
      <c r="AT94" s="411">
        <f>SUM(AS94/C18*100)</f>
        <v>78.26086957</v>
      </c>
    </row>
    <row r="95">
      <c r="A95" s="94"/>
      <c r="B95" s="95"/>
      <c r="C95" s="103"/>
      <c r="D95" s="117"/>
      <c r="E95" s="118">
        <v>21.0</v>
      </c>
      <c r="F95" s="119">
        <f>X70</f>
        <v>19</v>
      </c>
      <c r="G95" s="120">
        <f t="shared" si="14"/>
        <v>82.60869565</v>
      </c>
      <c r="H95" s="415" t="s">
        <v>70</v>
      </c>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3"/>
      <c r="AJ95" s="111"/>
      <c r="AL95" s="112">
        <v>21.0</v>
      </c>
      <c r="AM95" s="113">
        <f>COUNTIF(X30:X69,"A")</f>
        <v>1</v>
      </c>
      <c r="AN95" s="410">
        <f>SUM(AM95/C18*100)</f>
        <v>4.347826087</v>
      </c>
      <c r="AO95" s="208">
        <f>COUNTIF(X30:X69,"B")</f>
        <v>19</v>
      </c>
      <c r="AP95" s="410">
        <f>SUM(AO95/C18*100)</f>
        <v>82.60869565</v>
      </c>
      <c r="AQ95" s="208">
        <f>COUNTIF(X30:X69,"C")</f>
        <v>1</v>
      </c>
      <c r="AR95" s="410">
        <f>SUM(AQ95/C18*100)</f>
        <v>4.347826087</v>
      </c>
      <c r="AS95" s="208">
        <f>COUNTIF(X30:X69,"D")</f>
        <v>2</v>
      </c>
      <c r="AT95" s="411">
        <f>SUM(AS95/C18*100)</f>
        <v>8.695652174</v>
      </c>
    </row>
    <row r="96">
      <c r="A96" s="94"/>
      <c r="B96" s="95"/>
      <c r="C96" s="103"/>
      <c r="D96" s="124" t="s">
        <v>17</v>
      </c>
      <c r="E96" s="125">
        <v>1.0</v>
      </c>
      <c r="F96" s="106">
        <f>Y70</f>
        <v>2</v>
      </c>
      <c r="G96" s="107">
        <f t="shared" si="14"/>
        <v>8.695652174</v>
      </c>
      <c r="H96" s="126" t="s">
        <v>71</v>
      </c>
      <c r="I96" s="416"/>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8"/>
      <c r="AJ96" s="129"/>
      <c r="AK96" s="164" t="s">
        <v>17</v>
      </c>
      <c r="AL96" s="130">
        <v>1.0</v>
      </c>
      <c r="AM96" s="113">
        <f>COUNTIF(Y30:Y69,"A")</f>
        <v>19</v>
      </c>
      <c r="AN96" s="410">
        <f>SUM(AM96/C18*100)</f>
        <v>82.60869565</v>
      </c>
      <c r="AO96" s="208">
        <f>COUNTIF(Y30:Y69,"B")</f>
        <v>1</v>
      </c>
      <c r="AP96" s="410">
        <f>SUM(AO96/C18*100)</f>
        <v>4.347826087</v>
      </c>
      <c r="AQ96" s="208">
        <f>COUNTIF(Y30:Y69,"C")</f>
        <v>2</v>
      </c>
      <c r="AR96" s="410">
        <f>SUM(AQ96/C18*100)</f>
        <v>8.695652174</v>
      </c>
      <c r="AS96" s="208">
        <f>COUNTIF(Y30:Y69,"D")</f>
        <v>0</v>
      </c>
      <c r="AT96" s="411">
        <f>SUM(AS96/C18*100)</f>
        <v>0</v>
      </c>
    </row>
    <row r="97">
      <c r="A97" s="94"/>
      <c r="B97" s="95"/>
      <c r="C97" s="103"/>
      <c r="D97" s="47"/>
      <c r="E97" s="130">
        <v>2.0</v>
      </c>
      <c r="F97" s="113">
        <f>Z70</f>
        <v>0</v>
      </c>
      <c r="G97" s="107">
        <f t="shared" si="14"/>
        <v>0</v>
      </c>
      <c r="H97" s="131" t="s">
        <v>72</v>
      </c>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3"/>
      <c r="AJ97" s="134"/>
      <c r="AL97" s="130">
        <v>2.0</v>
      </c>
      <c r="AM97" s="113">
        <f>COUNTIF(Z30:Z69,"A")</f>
        <v>0</v>
      </c>
      <c r="AN97" s="410">
        <f>SUM(AM97/C18*100)</f>
        <v>0</v>
      </c>
      <c r="AO97" s="208">
        <f>COUNTIF(Z30:Z69,"B")</f>
        <v>0</v>
      </c>
      <c r="AP97" s="410">
        <f>SUM(AO97/C18*100)</f>
        <v>0</v>
      </c>
      <c r="AQ97" s="208">
        <f>COUNTIF(Z30:Z69,"C")</f>
        <v>4</v>
      </c>
      <c r="AR97" s="410">
        <f>SUM(AQ97/C18*100)</f>
        <v>17.39130435</v>
      </c>
      <c r="AS97" s="208">
        <f>COUNTIF(Z30:Z69,"D")</f>
        <v>19</v>
      </c>
      <c r="AT97" s="411">
        <f>SUM(AS97/C18*100)</f>
        <v>82.60869565</v>
      </c>
    </row>
    <row r="98">
      <c r="A98" s="94"/>
      <c r="B98" s="95"/>
      <c r="C98" s="103"/>
      <c r="D98" s="47"/>
      <c r="E98" s="130">
        <v>3.0</v>
      </c>
      <c r="F98" s="113">
        <f>AA70</f>
        <v>21</v>
      </c>
      <c r="G98" s="107">
        <f t="shared" si="14"/>
        <v>91.30434783</v>
      </c>
      <c r="H98" s="131" t="s">
        <v>73</v>
      </c>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3"/>
      <c r="AJ98" s="134"/>
      <c r="AL98" s="130">
        <v>3.0</v>
      </c>
      <c r="AM98" s="113">
        <f>COUNTIF(AA30:AA69,"A")</f>
        <v>0</v>
      </c>
      <c r="AN98" s="410">
        <f>SUM(AM98/C18*100)</f>
        <v>0</v>
      </c>
      <c r="AO98" s="208">
        <f>COUNTIF(AA30:AA69,"B")</f>
        <v>21</v>
      </c>
      <c r="AP98" s="410">
        <f>SUM(AO98/C18*100)</f>
        <v>91.30434783</v>
      </c>
      <c r="AQ98" s="208">
        <f>COUNTIF(AA30:AA69,"C")</f>
        <v>2</v>
      </c>
      <c r="AR98" s="410">
        <f>SUM(AQ98/C18*100)</f>
        <v>8.695652174</v>
      </c>
      <c r="AS98" s="208">
        <f>COUNTIF(AA30:AA69,"D")</f>
        <v>0</v>
      </c>
      <c r="AT98" s="411">
        <f>SUM(AS98/C18*100)</f>
        <v>0</v>
      </c>
    </row>
    <row r="99">
      <c r="A99" s="94"/>
      <c r="B99" s="95"/>
      <c r="C99" s="103"/>
      <c r="D99" s="47"/>
      <c r="E99" s="130">
        <v>4.0</v>
      </c>
      <c r="F99" s="113">
        <f>AB70</f>
        <v>19</v>
      </c>
      <c r="G99" s="107">
        <f t="shared" si="14"/>
        <v>82.60869565</v>
      </c>
      <c r="H99" s="135" t="s">
        <v>74</v>
      </c>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3"/>
      <c r="AJ99" s="134"/>
      <c r="AL99" s="130">
        <v>4.0</v>
      </c>
      <c r="AM99" s="113">
        <f>COUNTIF(AB30:AB69,"A")</f>
        <v>0</v>
      </c>
      <c r="AN99" s="410">
        <f>SUM(AM99/C18*100)</f>
        <v>0</v>
      </c>
      <c r="AO99" s="208">
        <f>COUNTIF(AB30:AB69,"B")</f>
        <v>4</v>
      </c>
      <c r="AP99" s="410">
        <f>SUM(AO99/C18*100)</f>
        <v>17.39130435</v>
      </c>
      <c r="AQ99" s="208">
        <f>COUNTIF(AB30:AB69,"C")</f>
        <v>0</v>
      </c>
      <c r="AR99" s="410">
        <f>SUM(AQ99/C18*100)</f>
        <v>0</v>
      </c>
      <c r="AS99" s="208">
        <f>COUNTIF(AB30:AB69,"D")</f>
        <v>19</v>
      </c>
      <c r="AT99" s="411">
        <f>SUM(AS99/C18*100)</f>
        <v>82.60869565</v>
      </c>
    </row>
    <row r="100">
      <c r="A100" s="94"/>
      <c r="B100" s="95"/>
      <c r="C100" s="103"/>
      <c r="D100" s="47"/>
      <c r="E100" s="130">
        <v>5.0</v>
      </c>
      <c r="F100" s="113">
        <f>AC70</f>
        <v>2</v>
      </c>
      <c r="G100" s="107">
        <f t="shared" si="14"/>
        <v>8.695652174</v>
      </c>
      <c r="H100" s="136" t="s">
        <v>71</v>
      </c>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3"/>
      <c r="AJ100" s="134"/>
      <c r="AL100" s="130">
        <v>5.0</v>
      </c>
      <c r="AM100" s="113">
        <f>COUNTIF(AC30:AC69,"A")</f>
        <v>2</v>
      </c>
      <c r="AN100" s="410">
        <f>SUM(AM100/C18*100)</f>
        <v>8.695652174</v>
      </c>
      <c r="AO100" s="208">
        <f>COUNTIF(AC30:AC69,"B")</f>
        <v>2</v>
      </c>
      <c r="AP100" s="410">
        <f>SUM(AO100/C18*100)</f>
        <v>8.695652174</v>
      </c>
      <c r="AQ100" s="208">
        <f>COUNTIF(AC30:AC69,"C")</f>
        <v>18</v>
      </c>
      <c r="AR100" s="410">
        <f>SUM(AQ100/C18*100)</f>
        <v>78.26086957</v>
      </c>
      <c r="AS100" s="208">
        <f>COUNTIF(AC30:AC69,"D")</f>
        <v>1</v>
      </c>
      <c r="AT100" s="411">
        <f>SUM(AS100/C18*100)</f>
        <v>4.347826087</v>
      </c>
    </row>
    <row r="101">
      <c r="A101" s="94"/>
      <c r="B101" s="95"/>
      <c r="C101" s="103"/>
      <c r="D101" s="47"/>
      <c r="E101" s="130">
        <v>6.0</v>
      </c>
      <c r="F101" s="113">
        <f>AD70</f>
        <v>0</v>
      </c>
      <c r="G101" s="107">
        <f t="shared" si="14"/>
        <v>0</v>
      </c>
      <c r="H101" s="137" t="s">
        <v>75</v>
      </c>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3"/>
      <c r="AJ101" s="134"/>
      <c r="AL101" s="130">
        <v>6.0</v>
      </c>
      <c r="AM101" s="113">
        <f>COUNTIF(AD30:AD69,"A")</f>
        <v>0</v>
      </c>
      <c r="AN101" s="410">
        <f>SUM(AM101/C18*100)</f>
        <v>0</v>
      </c>
      <c r="AO101" s="208">
        <f>COUNTIF(AD30:AD69,"B")</f>
        <v>0</v>
      </c>
      <c r="AP101" s="410">
        <f>SUM(AO101/C18*100)</f>
        <v>0</v>
      </c>
      <c r="AQ101" s="208">
        <f>COUNTIF(AD30:AD69,"C")</f>
        <v>22</v>
      </c>
      <c r="AR101" s="410">
        <f>SUM(AQ101/C18*100)</f>
        <v>95.65217391</v>
      </c>
      <c r="AS101" s="208">
        <f>COUNTIF(AD30:AD69,"D")</f>
        <v>0</v>
      </c>
      <c r="AT101" s="411">
        <f>SUM(AS101/C18*100)</f>
        <v>0</v>
      </c>
    </row>
    <row r="102">
      <c r="A102" s="94"/>
      <c r="B102" s="95"/>
      <c r="C102" s="103"/>
      <c r="D102" s="47"/>
      <c r="E102" s="130">
        <v>7.0</v>
      </c>
      <c r="F102" s="113">
        <f>AE70</f>
        <v>18</v>
      </c>
      <c r="G102" s="107">
        <f t="shared" si="14"/>
        <v>78.26086957</v>
      </c>
      <c r="H102" s="135" t="s">
        <v>76</v>
      </c>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3"/>
      <c r="AJ102" s="134"/>
      <c r="AL102" s="130">
        <v>7.0</v>
      </c>
      <c r="AM102" s="113">
        <f>COUNTIF(AE30:AE69,"A")</f>
        <v>1</v>
      </c>
      <c r="AN102" s="410">
        <f>SUM(AM102/C18*100)</f>
        <v>4.347826087</v>
      </c>
      <c r="AO102" s="208">
        <f>COUNTIF(AE30:AE69,"B")</f>
        <v>18</v>
      </c>
      <c r="AP102" s="410">
        <f>SUM(AO102/C18*100)</f>
        <v>78.26086957</v>
      </c>
      <c r="AQ102" s="208">
        <f>COUNTIF(AE30:AE69,"C")</f>
        <v>3</v>
      </c>
      <c r="AR102" s="410">
        <f>SUM(AQ102/C18*100)</f>
        <v>13.04347826</v>
      </c>
      <c r="AS102" s="208">
        <f>COUNTIF(AE30:AE69,"D")</f>
        <v>0</v>
      </c>
      <c r="AT102" s="411">
        <f>SUM(AS102/C18*100)</f>
        <v>0</v>
      </c>
    </row>
    <row r="103">
      <c r="A103" s="94"/>
      <c r="B103" s="95"/>
      <c r="C103" s="103"/>
      <c r="D103" s="47"/>
      <c r="E103" s="130">
        <v>8.0</v>
      </c>
      <c r="F103" s="113">
        <f>AF70</f>
        <v>3</v>
      </c>
      <c r="G103" s="107">
        <f t="shared" si="14"/>
        <v>13.04347826</v>
      </c>
      <c r="H103" s="131" t="s">
        <v>77</v>
      </c>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9"/>
      <c r="AJ103" s="134"/>
      <c r="AL103" s="130">
        <v>8.0</v>
      </c>
      <c r="AM103" s="113">
        <f>COUNTIF(AF30:AF69,"A")</f>
        <v>20</v>
      </c>
      <c r="AN103" s="410">
        <f>SUM(AM103/C18*100)</f>
        <v>86.95652174</v>
      </c>
      <c r="AO103" s="208">
        <f>COUNTIF(AF30:AF69,"B")</f>
        <v>0</v>
      </c>
      <c r="AP103" s="410">
        <f>SUM(AO103/C18*100)</f>
        <v>0</v>
      </c>
      <c r="AQ103" s="208">
        <f>COUNTIF(AF30:AF69,"C")</f>
        <v>3</v>
      </c>
      <c r="AR103" s="410">
        <f>SUM(AQ103/C18*100)</f>
        <v>13.04347826</v>
      </c>
      <c r="AS103" s="208">
        <f>COUNTIF(AF30:AF69,"D")</f>
        <v>0</v>
      </c>
      <c r="AT103" s="411">
        <f>SUM(AS103/C18*100)</f>
        <v>0</v>
      </c>
    </row>
    <row r="104">
      <c r="A104" s="94"/>
      <c r="B104" s="95"/>
      <c r="C104" s="103"/>
      <c r="D104" s="47"/>
      <c r="E104" s="130">
        <v>9.0</v>
      </c>
      <c r="F104" s="113">
        <f>AG70</f>
        <v>3</v>
      </c>
      <c r="G104" s="107">
        <f t="shared" si="14"/>
        <v>13.04347826</v>
      </c>
      <c r="H104" s="135" t="s">
        <v>78</v>
      </c>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3"/>
      <c r="AJ104" s="134"/>
      <c r="AL104" s="130">
        <v>9.0</v>
      </c>
      <c r="AM104" s="113">
        <f>COUNTIF(AG30:AG69,"A")</f>
        <v>3</v>
      </c>
      <c r="AN104" s="410">
        <f>SUM(AM104/C18*100)</f>
        <v>13.04347826</v>
      </c>
      <c r="AO104" s="208">
        <f>COUNTIF(AG30:AG69,"B")</f>
        <v>0</v>
      </c>
      <c r="AP104" s="410">
        <f>SUM(AO104/C18*100)</f>
        <v>0</v>
      </c>
      <c r="AQ104" s="208">
        <f>COUNTIF(AG30:AG69,"C")</f>
        <v>1</v>
      </c>
      <c r="AR104" s="410">
        <f>SUM(AQ104/C18*100)</f>
        <v>4.347826087</v>
      </c>
      <c r="AS104" s="208">
        <f>COUNTIF(AG30:AG69,"D")</f>
        <v>18</v>
      </c>
      <c r="AT104" s="411">
        <f>SUM(AS104/C18*100)</f>
        <v>78.26086957</v>
      </c>
    </row>
    <row r="105" ht="15.75" customHeight="1">
      <c r="A105" s="94"/>
      <c r="B105" s="95"/>
      <c r="C105" s="103"/>
      <c r="D105" s="47"/>
      <c r="E105" s="130">
        <v>10.0</v>
      </c>
      <c r="F105" s="113">
        <f>AH70</f>
        <v>2</v>
      </c>
      <c r="G105" s="107">
        <f t="shared" si="14"/>
        <v>8.695652174</v>
      </c>
      <c r="H105" s="137" t="s">
        <v>75</v>
      </c>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3"/>
      <c r="AJ105" s="134"/>
      <c r="AL105" s="130">
        <v>10.0</v>
      </c>
      <c r="AM105" s="113">
        <f>COUNTIF(AH30:AH69,"A")</f>
        <v>17</v>
      </c>
      <c r="AN105" s="410">
        <f>SUM(AM105/C18*100)</f>
        <v>73.91304348</v>
      </c>
      <c r="AO105" s="208">
        <f>COUNTIF(AH30:AH69,"B")</f>
        <v>1</v>
      </c>
      <c r="AP105" s="410">
        <f>SUM(AO105/C18*100)</f>
        <v>4.347826087</v>
      </c>
      <c r="AQ105" s="208">
        <f>COUNTIF(AH30:AH69,"C")</f>
        <v>2</v>
      </c>
      <c r="AR105" s="410">
        <f>SUM(AQ105/C18*100)</f>
        <v>8.695652174</v>
      </c>
      <c r="AS105" s="208">
        <f>COUNTIF(AH30:AH69,"D")</f>
        <v>2</v>
      </c>
      <c r="AT105" s="411">
        <f>SUM(AS105/C18*100)</f>
        <v>8.695652174</v>
      </c>
    </row>
    <row r="106">
      <c r="A106" s="94"/>
      <c r="B106" s="95"/>
      <c r="C106" s="103"/>
      <c r="D106" s="47"/>
      <c r="E106" s="130">
        <v>11.0</v>
      </c>
      <c r="F106" s="113">
        <f>AI70</f>
        <v>2</v>
      </c>
      <c r="G106" s="107">
        <f t="shared" si="14"/>
        <v>8.695652174</v>
      </c>
      <c r="H106" s="135" t="s">
        <v>79</v>
      </c>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3"/>
      <c r="AJ106" s="134"/>
      <c r="AL106" s="130">
        <v>11.0</v>
      </c>
      <c r="AM106" s="113">
        <f>COUNTIF(AI30:AI69,"A")</f>
        <v>2</v>
      </c>
      <c r="AN106" s="410">
        <f>SUM(AM106/C18*100)</f>
        <v>8.695652174</v>
      </c>
      <c r="AO106" s="208">
        <f>COUNTIF(AI30:AI69,"B")</f>
        <v>2</v>
      </c>
      <c r="AP106" s="410">
        <f>SUM(AO106/C18*100)</f>
        <v>8.695652174</v>
      </c>
      <c r="AQ106" s="208">
        <f>COUNTIF(AI30:AI69,"C")</f>
        <v>17</v>
      </c>
      <c r="AR106" s="410">
        <f>SUM(AQ106/C18*100)</f>
        <v>73.91304348</v>
      </c>
      <c r="AS106" s="208">
        <f>COUNTIF(AI30:AI69,"D")</f>
        <v>2</v>
      </c>
      <c r="AT106" s="411">
        <f>SUM(AS106/C18*100)</f>
        <v>8.695652174</v>
      </c>
    </row>
    <row r="107">
      <c r="A107" s="94"/>
      <c r="B107" s="95"/>
      <c r="C107" s="103"/>
      <c r="D107" s="47"/>
      <c r="E107" s="130">
        <v>12.0</v>
      </c>
      <c r="F107" s="114">
        <f>AJ70</f>
        <v>1</v>
      </c>
      <c r="G107" s="107">
        <f t="shared" si="14"/>
        <v>4.347826087</v>
      </c>
      <c r="H107" s="131" t="s">
        <v>80</v>
      </c>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c r="AG107" s="140"/>
      <c r="AH107" s="140"/>
      <c r="AI107" s="141"/>
      <c r="AJ107" s="142"/>
      <c r="AL107" s="130">
        <v>12.0</v>
      </c>
      <c r="AM107" s="113">
        <f>COUNTIF(AJ30:AJ69,"A")</f>
        <v>1</v>
      </c>
      <c r="AN107" s="410">
        <f>SUM(AM107/C18*100)</f>
        <v>4.347826087</v>
      </c>
      <c r="AO107" s="208">
        <f>COUNTIF(AJ30:AJ69,"B")</f>
        <v>20</v>
      </c>
      <c r="AP107" s="410">
        <f>SUM(AO107/C18*100)</f>
        <v>86.95652174</v>
      </c>
      <c r="AQ107" s="208">
        <f>COUNTIF(AJ30:AJ69,"C")</f>
        <v>1</v>
      </c>
      <c r="AR107" s="410">
        <f>SUM(AQ107/C18*100)</f>
        <v>4.347826087</v>
      </c>
      <c r="AS107" s="208">
        <f>COUNTIF(AJ30:AJ69,"D")</f>
        <v>1</v>
      </c>
      <c r="AT107" s="411">
        <f>SUM(AS107/C18*100)</f>
        <v>4.347826087</v>
      </c>
    </row>
    <row r="108">
      <c r="A108" s="94"/>
      <c r="B108" s="95"/>
      <c r="C108" s="103"/>
      <c r="D108" s="47"/>
      <c r="E108" s="130">
        <v>13.0</v>
      </c>
      <c r="F108" s="113">
        <f>AK70</f>
        <v>2</v>
      </c>
      <c r="G108" s="107">
        <f t="shared" si="14"/>
        <v>8.695652174</v>
      </c>
      <c r="H108" s="137" t="s">
        <v>81</v>
      </c>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1"/>
      <c r="AJ108" s="143"/>
      <c r="AL108" s="130">
        <v>13.0</v>
      </c>
      <c r="AM108" s="113">
        <f>COUNTIF(AK30:AK69,"A")</f>
        <v>2</v>
      </c>
      <c r="AN108" s="410">
        <f>SUM(AM108/C18*100)</f>
        <v>8.695652174</v>
      </c>
      <c r="AO108" s="208">
        <f>COUNTIF(AK30:AK69,"B")</f>
        <v>2</v>
      </c>
      <c r="AP108" s="410">
        <f>SUM(AO108/C18*100)</f>
        <v>8.695652174</v>
      </c>
      <c r="AQ108" s="208">
        <f>COUNTIF(AK30:AK69,"C")</f>
        <v>2</v>
      </c>
      <c r="AR108" s="410">
        <f>SUM(AQ108/C18*100)</f>
        <v>8.695652174</v>
      </c>
      <c r="AS108" s="208">
        <f>COUNTIF(AK30:AK69,"D")</f>
        <v>17</v>
      </c>
      <c r="AT108" s="411">
        <f>SUM(AS108/C18*100)</f>
        <v>73.91304348</v>
      </c>
    </row>
    <row r="109">
      <c r="A109" s="94"/>
      <c r="B109" s="95"/>
      <c r="C109" s="103"/>
      <c r="D109" s="47"/>
      <c r="E109" s="130">
        <v>14.0</v>
      </c>
      <c r="F109" s="113">
        <f>AL70</f>
        <v>2</v>
      </c>
      <c r="G109" s="107">
        <f t="shared" si="14"/>
        <v>8.695652174</v>
      </c>
      <c r="H109" s="135" t="s">
        <v>79</v>
      </c>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3"/>
      <c r="AJ109" s="134"/>
      <c r="AL109" s="130">
        <v>14.0</v>
      </c>
      <c r="AM109" s="113">
        <f>COUNTIF(AL30:AL69,"A")</f>
        <v>0</v>
      </c>
      <c r="AN109" s="410">
        <f>SUM(AM109/C18*100)</f>
        <v>0</v>
      </c>
      <c r="AO109" s="208">
        <f>COUNTIF(AL30:AL69,"B")</f>
        <v>20</v>
      </c>
      <c r="AP109" s="410">
        <f>SUM(AO109/C18*100)</f>
        <v>86.95652174</v>
      </c>
      <c r="AQ109" s="208">
        <f>COUNTIF(AL30:AL69,"C")</f>
        <v>1</v>
      </c>
      <c r="AR109" s="410">
        <f>SUM(AQ109/C18*100)</f>
        <v>4.347826087</v>
      </c>
      <c r="AS109" s="208">
        <f>COUNTIF(AL30:AL69,"D")</f>
        <v>2</v>
      </c>
      <c r="AT109" s="411">
        <f>SUM(AS109/C18*100)</f>
        <v>8.695652174</v>
      </c>
    </row>
    <row r="110">
      <c r="A110" s="94"/>
      <c r="B110" s="95"/>
      <c r="C110" s="103"/>
      <c r="D110" s="47"/>
      <c r="E110" s="130">
        <v>15.0</v>
      </c>
      <c r="F110" s="113">
        <f>AM70</f>
        <v>1</v>
      </c>
      <c r="G110" s="107">
        <f t="shared" si="14"/>
        <v>4.347826087</v>
      </c>
      <c r="H110" s="145" t="s">
        <v>82</v>
      </c>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3"/>
      <c r="AJ110" s="134"/>
      <c r="AL110" s="130">
        <v>15.0</v>
      </c>
      <c r="AM110" s="113">
        <f>COUNTIF(AM30:AM69,"A")</f>
        <v>3</v>
      </c>
      <c r="AN110" s="410">
        <f>SUM(AM110/C18*100)</f>
        <v>13.04347826</v>
      </c>
      <c r="AO110" s="208">
        <f>COUNTIF(AM30:AM69,"B")</f>
        <v>0</v>
      </c>
      <c r="AP110" s="410">
        <f>SUM(AO110/C18*100)</f>
        <v>0</v>
      </c>
      <c r="AQ110" s="208">
        <f>COUNTIF(AM30:AM69,"C")</f>
        <v>19</v>
      </c>
      <c r="AR110" s="410">
        <f>SUM(AQ110/C18*100)</f>
        <v>82.60869565</v>
      </c>
      <c r="AS110" s="208">
        <f>COUNTIF(AM30:AM69,"D")</f>
        <v>1</v>
      </c>
      <c r="AT110" s="411">
        <f>SUM(AS110/C18*100)</f>
        <v>4.347826087</v>
      </c>
    </row>
    <row r="111">
      <c r="A111" s="94"/>
      <c r="B111" s="95"/>
      <c r="C111" s="103"/>
      <c r="D111" s="47"/>
      <c r="E111" s="130">
        <v>16.0</v>
      </c>
      <c r="F111" s="113">
        <f>AN70</f>
        <v>1</v>
      </c>
      <c r="G111" s="107">
        <f t="shared" si="14"/>
        <v>4.347826087</v>
      </c>
      <c r="H111" s="135" t="s">
        <v>83</v>
      </c>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3"/>
      <c r="AJ111" s="134"/>
      <c r="AL111" s="130">
        <v>16.0</v>
      </c>
      <c r="AM111" s="113">
        <f>COUNTIF(AN30:AN69,"A")</f>
        <v>17</v>
      </c>
      <c r="AN111" s="410">
        <f>SUM(AM111/C18*100)</f>
        <v>73.91304348</v>
      </c>
      <c r="AO111" s="208">
        <f>COUNTIF(AN30:AN69,"B")</f>
        <v>2</v>
      </c>
      <c r="AP111" s="410">
        <f>SUM(AO111/C18*100)</f>
        <v>8.695652174</v>
      </c>
      <c r="AQ111" s="208">
        <f>COUNTIF(AN30:AN69,"C")</f>
        <v>1</v>
      </c>
      <c r="AR111" s="410">
        <f>SUM(AQ111/C18*100)</f>
        <v>4.347826087</v>
      </c>
      <c r="AS111" s="208">
        <f>COUNTIF(AN30:AN69,"D")</f>
        <v>2</v>
      </c>
      <c r="AT111" s="411">
        <f>SUM(AS111/C18*100)</f>
        <v>8.695652174</v>
      </c>
    </row>
    <row r="112" ht="15.75" customHeight="1">
      <c r="A112" s="94"/>
      <c r="B112" s="95"/>
      <c r="C112" s="103"/>
      <c r="D112" s="47"/>
      <c r="E112" s="130">
        <v>17.0</v>
      </c>
      <c r="F112" s="113">
        <f>AO70</f>
        <v>3</v>
      </c>
      <c r="G112" s="107">
        <f t="shared" si="14"/>
        <v>13.04347826</v>
      </c>
      <c r="H112" s="144" t="s">
        <v>84</v>
      </c>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3"/>
      <c r="AJ112" s="134"/>
      <c r="AL112" s="130">
        <v>17.0</v>
      </c>
      <c r="AM112" s="113">
        <f>COUNTIF(AO30:AO69,"A")</f>
        <v>2</v>
      </c>
      <c r="AN112" s="410">
        <f>SUM(AM112/C18*100)</f>
        <v>8.695652174</v>
      </c>
      <c r="AO112" s="208">
        <f>COUNTIF(AO30:AO69,"B")</f>
        <v>15</v>
      </c>
      <c r="AP112" s="410">
        <f>SUM(AO112/C18*100)</f>
        <v>65.2173913</v>
      </c>
      <c r="AQ112" s="208">
        <f>COUNTIF(AO30:AO69,"C")</f>
        <v>3</v>
      </c>
      <c r="AR112" s="410">
        <f>SUM(AQ112/C18*100)</f>
        <v>13.04347826</v>
      </c>
      <c r="AS112" s="208">
        <f>COUNTIF(AO30:AO69,"D")</f>
        <v>2</v>
      </c>
      <c r="AT112" s="411">
        <f>SUM(AS112/C18*100)</f>
        <v>8.695652174</v>
      </c>
    </row>
    <row r="113" ht="15.75" customHeight="1">
      <c r="A113" s="94"/>
      <c r="B113" s="95"/>
      <c r="C113" s="103"/>
      <c r="D113" s="47"/>
      <c r="E113" s="130">
        <v>18.0</v>
      </c>
      <c r="F113" s="113">
        <f>AP70</f>
        <v>1</v>
      </c>
      <c r="G113" s="107">
        <f t="shared" si="14"/>
        <v>4.347826087</v>
      </c>
      <c r="H113" s="135" t="s">
        <v>83</v>
      </c>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3"/>
      <c r="AJ113" s="134"/>
      <c r="AL113" s="130">
        <v>18.0</v>
      </c>
      <c r="AM113" s="113">
        <f>COUNTIF(AP30:AP69,"A")</f>
        <v>1</v>
      </c>
      <c r="AN113" s="410">
        <f>SUM(AM113/C18*100)</f>
        <v>4.347826087</v>
      </c>
      <c r="AO113" s="208">
        <f>COUNTIF(AP30:AP69,"B")</f>
        <v>0</v>
      </c>
      <c r="AP113" s="410">
        <f>SUM(AO113/C18*100)</f>
        <v>0</v>
      </c>
      <c r="AQ113" s="208">
        <f>COUNTIF(AP30:AP69,"C")</f>
        <v>20</v>
      </c>
      <c r="AR113" s="410">
        <f>SUM(AQ113/C18*100)</f>
        <v>86.95652174</v>
      </c>
      <c r="AS113" s="208">
        <f>COUNTIF(AP30:AP69,"D")</f>
        <v>2</v>
      </c>
      <c r="AT113" s="411">
        <f>SUM(AS113/C18*100)</f>
        <v>8.695652174</v>
      </c>
    </row>
    <row r="114" ht="15.75" customHeight="1">
      <c r="A114" s="94"/>
      <c r="B114" s="95"/>
      <c r="C114" s="103"/>
      <c r="D114" s="47"/>
      <c r="E114" s="130">
        <v>19.0</v>
      </c>
      <c r="F114" s="113">
        <f>AQ70</f>
        <v>17</v>
      </c>
      <c r="G114" s="107">
        <f t="shared" si="14"/>
        <v>73.91304348</v>
      </c>
      <c r="H114" s="145" t="s">
        <v>85</v>
      </c>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3"/>
      <c r="AJ114" s="134"/>
      <c r="AL114" s="130">
        <v>19.0</v>
      </c>
      <c r="AM114" s="113">
        <f>COUNTIF(AQ30:AQ69,"A")</f>
        <v>3</v>
      </c>
      <c r="AN114" s="410">
        <f>SUM(AM114/C18*100)</f>
        <v>13.04347826</v>
      </c>
      <c r="AO114" s="208">
        <f>COUNTIF(AQ30:AQ69,"B")</f>
        <v>2</v>
      </c>
      <c r="AP114" s="410">
        <f>SUM(AO114/C18*100)</f>
        <v>8.695652174</v>
      </c>
      <c r="AQ114" s="208">
        <f>COUNTIF(AQ30:AQ69,"C")</f>
        <v>0</v>
      </c>
      <c r="AR114" s="410">
        <f>SUM(AQ114/C18*100)</f>
        <v>0</v>
      </c>
      <c r="AS114" s="208">
        <f>COUNTIF(AQ30:AQ69,"D")</f>
        <v>17</v>
      </c>
      <c r="AT114" s="411">
        <f>SUM(AS114/C18*100)</f>
        <v>73.91304348</v>
      </c>
    </row>
    <row r="115" ht="15.75" customHeight="1">
      <c r="A115" s="94"/>
      <c r="B115" s="95"/>
      <c r="C115" s="103"/>
      <c r="D115" s="47"/>
      <c r="E115" s="130">
        <v>20.0</v>
      </c>
      <c r="F115" s="113">
        <f>AR70</f>
        <v>2</v>
      </c>
      <c r="G115" s="107">
        <f t="shared" si="14"/>
        <v>8.695652174</v>
      </c>
      <c r="H115" s="135" t="s">
        <v>83</v>
      </c>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3"/>
      <c r="AJ115" s="134"/>
      <c r="AL115" s="130">
        <v>20.0</v>
      </c>
      <c r="AM115" s="113">
        <f>COUNTIF(AR30:AR69,"A")</f>
        <v>0</v>
      </c>
      <c r="AN115" s="410">
        <f>SUM(AM115/C18*100)</f>
        <v>0</v>
      </c>
      <c r="AO115" s="208">
        <f>COUNTIF(AR30:AR69,"B")</f>
        <v>2</v>
      </c>
      <c r="AP115" s="410">
        <f>SUM(AO115/C18*100)</f>
        <v>8.695652174</v>
      </c>
      <c r="AQ115" s="208">
        <f>COUNTIF(AR30:AR69,"C")</f>
        <v>19</v>
      </c>
      <c r="AR115" s="410">
        <f>SUM(AQ115/C18*100)</f>
        <v>82.60869565</v>
      </c>
      <c r="AS115" s="208">
        <f>COUNTIF(AR30:AR69,"D")</f>
        <v>1</v>
      </c>
      <c r="AT115" s="411">
        <f>SUM(AS115/C18*100)</f>
        <v>4.347826087</v>
      </c>
    </row>
    <row r="116" ht="15.75" customHeight="1">
      <c r="A116" s="94"/>
      <c r="B116" s="95"/>
      <c r="C116" s="103"/>
      <c r="D116" s="47"/>
      <c r="E116" s="130">
        <v>21.0</v>
      </c>
      <c r="F116" s="113">
        <f>AS70</f>
        <v>1</v>
      </c>
      <c r="G116" s="107">
        <f t="shared" si="14"/>
        <v>4.347826087</v>
      </c>
      <c r="H116" s="135" t="s">
        <v>78</v>
      </c>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3"/>
      <c r="AJ116" s="134"/>
      <c r="AL116" s="130">
        <v>21.0</v>
      </c>
      <c r="AM116" s="113">
        <f>COUNTIF(AS30:AS69,"A")</f>
        <v>0</v>
      </c>
      <c r="AN116" s="410">
        <f>SUM(AM116/C18*100)</f>
        <v>0</v>
      </c>
      <c r="AO116" s="208">
        <f>COUNTIF(AS30:AS69,"B")</f>
        <v>1</v>
      </c>
      <c r="AP116" s="410">
        <f>SUM(AO116/C18*100)</f>
        <v>4.347826087</v>
      </c>
      <c r="AQ116" s="208">
        <f>COUNTIF(AS30:AS69,"C")</f>
        <v>20</v>
      </c>
      <c r="AR116" s="410">
        <f>SUM(AQ116/C18*100)</f>
        <v>86.95652174</v>
      </c>
      <c r="AS116" s="208">
        <f>COUNTIF(AS30:AS69,"D")</f>
        <v>1</v>
      </c>
      <c r="AT116" s="411">
        <f>SUM(AS116/C18*100)</f>
        <v>4.347826087</v>
      </c>
    </row>
    <row r="117" ht="15.75" customHeight="1">
      <c r="A117" s="85"/>
      <c r="B117" s="85"/>
      <c r="C117" s="146"/>
      <c r="D117" s="65"/>
      <c r="E117" s="130">
        <v>22.0</v>
      </c>
      <c r="F117" s="113">
        <f>AT70</f>
        <v>1</v>
      </c>
      <c r="G117" s="107">
        <f t="shared" si="14"/>
        <v>4.347826087</v>
      </c>
      <c r="H117" s="137" t="s">
        <v>86</v>
      </c>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8"/>
      <c r="AJ117" s="134"/>
      <c r="AL117" s="165">
        <v>22.0</v>
      </c>
      <c r="AM117" s="113">
        <f>COUNTIF(AT30:AT69,"A")</f>
        <v>1</v>
      </c>
      <c r="AN117" s="410">
        <f>SUM(AM117/C18*100)</f>
        <v>4.347826087</v>
      </c>
      <c r="AO117" s="208">
        <f>COUNTIF(AT30:AT69,"B")</f>
        <v>20</v>
      </c>
      <c r="AP117" s="410">
        <f>SUM(AO117/C18*100)</f>
        <v>86.95652174</v>
      </c>
      <c r="AQ117" s="208">
        <f>COUNTIF(AT30:AT69,"C")</f>
        <v>1</v>
      </c>
      <c r="AR117" s="410">
        <f>SUM(AQ117/C18*100)</f>
        <v>4.347826087</v>
      </c>
      <c r="AS117" s="208">
        <f>COUNTIF(AT30:AT69,"D")</f>
        <v>0</v>
      </c>
      <c r="AT117" s="411">
        <f>SUM(AS117/C18*100)</f>
        <v>0</v>
      </c>
    </row>
    <row r="118" ht="82.5" customHeight="1"/>
    <row r="119" ht="15.75" customHeight="1">
      <c r="A119" s="90"/>
      <c r="B119" s="90"/>
      <c r="C119" s="91"/>
      <c r="D119" s="417" t="s">
        <v>89</v>
      </c>
      <c r="E119" s="418"/>
      <c r="F119" s="418"/>
      <c r="G119" s="418"/>
      <c r="H119" s="418"/>
      <c r="I119" s="419"/>
      <c r="K119" s="170"/>
      <c r="L119" s="171"/>
      <c r="M119" s="171"/>
      <c r="N119" s="171"/>
      <c r="O119" s="171"/>
      <c r="P119" s="171"/>
      <c r="Q119" s="171"/>
      <c r="R119" s="171"/>
      <c r="S119" s="171"/>
      <c r="T119" s="171"/>
      <c r="U119" s="171"/>
      <c r="V119" s="171"/>
      <c r="W119" s="171"/>
      <c r="X119" s="171"/>
      <c r="Y119" s="171"/>
      <c r="Z119" s="171"/>
      <c r="AA119" s="171"/>
      <c r="AB119" s="171"/>
      <c r="AC119" s="171"/>
      <c r="AD119" s="171"/>
      <c r="AE119" s="171"/>
      <c r="AF119" s="171"/>
      <c r="AG119" s="171"/>
      <c r="AH119" s="171"/>
      <c r="AI119" s="171"/>
      <c r="AJ119" s="171"/>
      <c r="AK119" s="171"/>
      <c r="AL119" s="171"/>
      <c r="AM119" s="171"/>
      <c r="AN119" s="171"/>
      <c r="AO119" s="171"/>
      <c r="AP119" s="171"/>
      <c r="AQ119" s="171"/>
      <c r="AR119" s="171"/>
      <c r="AS119" s="171"/>
      <c r="AT119" s="171"/>
      <c r="AU119" s="171"/>
      <c r="AV119" s="171"/>
      <c r="AW119" s="171"/>
      <c r="AX119" s="171"/>
      <c r="AY119" s="171"/>
      <c r="AZ119" s="171"/>
      <c r="BA119" s="171"/>
      <c r="BB119" s="171"/>
      <c r="BC119" s="171"/>
      <c r="BD119" s="171"/>
      <c r="BE119" s="171"/>
      <c r="BF119" s="171"/>
      <c r="BG119" s="171"/>
      <c r="BH119" s="171"/>
      <c r="BI119" s="171"/>
      <c r="BJ119" s="337"/>
    </row>
    <row r="120" ht="15.75" customHeight="1">
      <c r="A120" s="94"/>
      <c r="B120" s="95"/>
      <c r="C120" s="103"/>
      <c r="D120" s="420" t="s">
        <v>10</v>
      </c>
      <c r="E120" s="421" t="s">
        <v>54</v>
      </c>
      <c r="F120" s="422" t="s">
        <v>90</v>
      </c>
      <c r="G120" s="423"/>
      <c r="H120" s="423"/>
      <c r="I120" s="424"/>
      <c r="K120" s="178"/>
      <c r="BJ120" s="338"/>
    </row>
    <row r="121" ht="15.75" customHeight="1">
      <c r="A121" s="94"/>
      <c r="B121" s="95"/>
      <c r="C121" s="103"/>
      <c r="D121" s="193">
        <f>COUNTIF(BB30:BB69,"ABAIXO DO BÁSICO")</f>
        <v>5</v>
      </c>
      <c r="E121" s="425">
        <f>SUM(D121/C18*100)</f>
        <v>21.73913043</v>
      </c>
      <c r="F121" s="426" t="s">
        <v>91</v>
      </c>
      <c r="G121" s="427"/>
      <c r="H121" s="427"/>
      <c r="I121" s="428"/>
      <c r="K121" s="178"/>
      <c r="BJ121" s="338"/>
    </row>
    <row r="122" ht="15.75" customHeight="1">
      <c r="A122" s="94"/>
      <c r="B122" s="95"/>
      <c r="C122" s="103"/>
      <c r="D122" s="193">
        <f>COUNTIF(BB30:BB69,"BÁSICO")</f>
        <v>1</v>
      </c>
      <c r="E122" s="425">
        <f>SUM(D122/C18*100)</f>
        <v>4.347826087</v>
      </c>
      <c r="F122" s="429" t="s">
        <v>92</v>
      </c>
      <c r="G122" s="427"/>
      <c r="H122" s="427"/>
      <c r="I122" s="428"/>
      <c r="K122" s="178"/>
      <c r="L122" s="192" t="s">
        <v>93</v>
      </c>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338"/>
    </row>
    <row r="123" ht="15.75" customHeight="1">
      <c r="A123" s="94"/>
      <c r="B123" s="95"/>
      <c r="C123" s="103"/>
      <c r="D123" s="193">
        <f>COUNTIF(BB30:BB69,"ADEQUADO")</f>
        <v>17</v>
      </c>
      <c r="E123" s="425">
        <f>SUM(D123/C18*100)</f>
        <v>73.91304348</v>
      </c>
      <c r="F123" s="430" t="s">
        <v>94</v>
      </c>
      <c r="G123" s="427"/>
      <c r="H123" s="427"/>
      <c r="I123" s="428"/>
      <c r="K123" s="178"/>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79"/>
      <c r="AN123" s="179"/>
      <c r="AO123" s="179"/>
      <c r="AP123" s="179"/>
      <c r="AQ123" s="179"/>
      <c r="AR123" s="179"/>
      <c r="AS123" s="179"/>
      <c r="AT123" s="179"/>
      <c r="AU123" s="179"/>
      <c r="AV123" s="179"/>
      <c r="AW123" s="179"/>
      <c r="AX123" s="179"/>
      <c r="AY123" s="179"/>
      <c r="AZ123" s="179"/>
      <c r="BA123" s="179"/>
      <c r="BB123" s="179"/>
      <c r="BC123" s="179"/>
      <c r="BD123" s="179"/>
      <c r="BE123" s="179"/>
      <c r="BF123" s="179"/>
      <c r="BG123" s="179"/>
      <c r="BH123" s="179"/>
      <c r="BI123" s="179"/>
      <c r="BJ123" s="338"/>
    </row>
    <row r="124" ht="15.75" customHeight="1">
      <c r="A124" s="94"/>
      <c r="B124" s="95"/>
      <c r="C124" s="103"/>
      <c r="D124" s="193">
        <f>COUNTIF(BB30:BB69,"AVANÇADO")</f>
        <v>0</v>
      </c>
      <c r="E124" s="425">
        <f>SUM(D124/C18*100)</f>
        <v>0</v>
      </c>
      <c r="F124" s="431" t="s">
        <v>95</v>
      </c>
      <c r="G124" s="427"/>
      <c r="H124" s="427"/>
      <c r="I124" s="428"/>
      <c r="K124" s="178"/>
      <c r="L124" s="179" t="s">
        <v>399</v>
      </c>
      <c r="BJ124" s="338"/>
    </row>
    <row r="125" ht="15.75" customHeight="1">
      <c r="A125" s="94"/>
      <c r="B125" s="95"/>
      <c r="C125" s="103"/>
      <c r="D125" s="226"/>
      <c r="E125" s="226"/>
      <c r="F125" s="226"/>
      <c r="G125" s="226"/>
      <c r="H125" s="432"/>
      <c r="I125" s="226"/>
      <c r="K125" s="178"/>
      <c r="L125" s="179" t="s">
        <v>400</v>
      </c>
      <c r="BJ125" s="338"/>
    </row>
    <row r="126" ht="15.75" customHeight="1">
      <c r="A126" s="94"/>
      <c r="B126" s="95"/>
      <c r="C126" s="103"/>
      <c r="D126" s="433" t="s">
        <v>16</v>
      </c>
      <c r="E126" s="434"/>
      <c r="F126" s="434"/>
      <c r="G126" s="434"/>
      <c r="H126" s="434"/>
      <c r="I126" s="435"/>
      <c r="K126" s="178"/>
      <c r="L126" s="179" t="s">
        <v>401</v>
      </c>
      <c r="BJ126" s="338"/>
    </row>
    <row r="127" ht="15.75" customHeight="1">
      <c r="A127" s="94"/>
      <c r="B127" s="95"/>
      <c r="C127" s="103"/>
      <c r="D127" s="420" t="s">
        <v>10</v>
      </c>
      <c r="E127" s="421" t="s">
        <v>54</v>
      </c>
      <c r="F127" s="422" t="s">
        <v>90</v>
      </c>
      <c r="G127" s="423"/>
      <c r="H127" s="423"/>
      <c r="I127" s="424"/>
      <c r="K127" s="178"/>
      <c r="L127" s="179" t="s">
        <v>402</v>
      </c>
      <c r="BJ127" s="338"/>
    </row>
    <row r="128" ht="15.75" customHeight="1">
      <c r="A128" s="94"/>
      <c r="B128" s="95"/>
      <c r="C128" s="103"/>
      <c r="D128" s="193">
        <f>COUNTIF(BF30:BF69,"ABAIXO DO BÁSICO")</f>
        <v>1</v>
      </c>
      <c r="E128" s="425">
        <f>SUM(D128/C18*100)</f>
        <v>4.347826087</v>
      </c>
      <c r="F128" s="426" t="s">
        <v>91</v>
      </c>
      <c r="G128" s="436"/>
      <c r="H128" s="436"/>
      <c r="I128" s="437"/>
      <c r="K128" s="178"/>
      <c r="L128" s="179"/>
      <c r="BJ128" s="338"/>
    </row>
    <row r="129" ht="15.75" customHeight="1">
      <c r="A129" s="94"/>
      <c r="B129" s="95"/>
      <c r="C129" s="103"/>
      <c r="D129" s="193">
        <f>COUNTIF(BF30:BF69,"BÁSICO")</f>
        <v>1</v>
      </c>
      <c r="E129" s="425">
        <f>SUM(D129/C18*100)</f>
        <v>4.347826087</v>
      </c>
      <c r="F129" s="429" t="s">
        <v>92</v>
      </c>
      <c r="G129" s="436"/>
      <c r="H129" s="436"/>
      <c r="I129" s="437"/>
      <c r="K129" s="178"/>
      <c r="L129" s="179" t="s">
        <v>403</v>
      </c>
      <c r="BJ129" s="338"/>
    </row>
    <row r="130" ht="15.75" customHeight="1">
      <c r="A130" s="94"/>
      <c r="B130" s="95"/>
      <c r="C130" s="103"/>
      <c r="D130" s="193">
        <f>COUNTIF(BF30:BF69,"ADEQUADO")</f>
        <v>3</v>
      </c>
      <c r="E130" s="425">
        <f>SUM(D130/C18*100)</f>
        <v>13.04347826</v>
      </c>
      <c r="F130" s="430" t="s">
        <v>94</v>
      </c>
      <c r="G130" s="436"/>
      <c r="H130" s="436"/>
      <c r="I130" s="437"/>
      <c r="K130" s="178"/>
      <c r="L130" s="179" t="s">
        <v>404</v>
      </c>
      <c r="BJ130" s="338"/>
    </row>
    <row r="131" ht="15.75" customHeight="1">
      <c r="A131" s="94"/>
      <c r="B131" s="95"/>
      <c r="C131" s="103"/>
      <c r="D131" s="193">
        <f>COUNTIF(BF30:BF69,"AVANÇADO")</f>
        <v>18</v>
      </c>
      <c r="E131" s="425">
        <f>SUM(D131/C18*100)</f>
        <v>78.26086957</v>
      </c>
      <c r="F131" s="431" t="s">
        <v>95</v>
      </c>
      <c r="G131" s="436"/>
      <c r="H131" s="436"/>
      <c r="I131" s="437"/>
      <c r="K131" s="178"/>
      <c r="L131" s="179" t="s">
        <v>405</v>
      </c>
      <c r="BJ131" s="338"/>
    </row>
    <row r="132" ht="15.75" customHeight="1">
      <c r="A132" s="94"/>
      <c r="B132" s="95"/>
      <c r="C132" s="103"/>
      <c r="D132" s="226"/>
      <c r="E132" s="226"/>
      <c r="F132" s="226"/>
      <c r="G132" s="226"/>
      <c r="H132" s="226"/>
      <c r="I132" s="226"/>
      <c r="K132" s="178"/>
      <c r="L132" s="179"/>
      <c r="BJ132" s="338"/>
    </row>
    <row r="133" ht="15.75" customHeight="1">
      <c r="A133" s="94"/>
      <c r="B133" s="95"/>
      <c r="C133" s="103"/>
      <c r="D133" s="438" t="s">
        <v>17</v>
      </c>
      <c r="E133" s="439"/>
      <c r="F133" s="439"/>
      <c r="G133" s="439"/>
      <c r="H133" s="439"/>
      <c r="I133" s="440"/>
      <c r="K133" s="178"/>
      <c r="L133" s="179" t="s">
        <v>406</v>
      </c>
      <c r="BJ133" s="338"/>
    </row>
    <row r="134" ht="15.75" customHeight="1">
      <c r="A134" s="94"/>
      <c r="B134" s="95"/>
      <c r="C134" s="103"/>
      <c r="D134" s="420" t="s">
        <v>10</v>
      </c>
      <c r="E134" s="421" t="s">
        <v>54</v>
      </c>
      <c r="F134" s="422" t="s">
        <v>90</v>
      </c>
      <c r="G134" s="423"/>
      <c r="H134" s="423"/>
      <c r="I134" s="424"/>
      <c r="K134" s="178"/>
      <c r="L134" s="179" t="s">
        <v>407</v>
      </c>
      <c r="BJ134" s="338"/>
    </row>
    <row r="135" ht="15.75" customHeight="1">
      <c r="A135" s="94"/>
      <c r="B135" s="95"/>
      <c r="C135" s="103"/>
      <c r="D135" s="193">
        <f>COUNTIF(BI30:BI69,"ABAIXO DO BÁSICO")</f>
        <v>1</v>
      </c>
      <c r="E135" s="425">
        <f>SUM(D135/C18*100)</f>
        <v>4.347826087</v>
      </c>
      <c r="F135" s="426" t="s">
        <v>91</v>
      </c>
      <c r="G135" s="427"/>
      <c r="H135" s="427"/>
      <c r="I135" s="428"/>
      <c r="K135" s="178"/>
      <c r="L135" s="179" t="s">
        <v>408</v>
      </c>
      <c r="BJ135" s="338"/>
    </row>
    <row r="136" ht="15.75" customHeight="1">
      <c r="A136" s="94"/>
      <c r="B136" s="95"/>
      <c r="C136" s="103"/>
      <c r="D136" s="193">
        <f>COUNTIF(BI30:BI69,"BÁSICO")</f>
        <v>1</v>
      </c>
      <c r="E136" s="425">
        <f>SUM(D136/C18*100)</f>
        <v>4.347826087</v>
      </c>
      <c r="F136" s="429" t="s">
        <v>92</v>
      </c>
      <c r="G136" s="427"/>
      <c r="H136" s="427"/>
      <c r="I136" s="428"/>
      <c r="K136" s="178"/>
      <c r="BJ136" s="338"/>
    </row>
    <row r="137" ht="15.75" customHeight="1">
      <c r="A137" s="94"/>
      <c r="B137" s="95"/>
      <c r="C137" s="103"/>
      <c r="D137" s="193">
        <f>COUNTIF(BI30:BI69,"ADEQUADO")</f>
        <v>9</v>
      </c>
      <c r="E137" s="425">
        <f>SUM(D137/C18*100)</f>
        <v>39.13043478</v>
      </c>
      <c r="F137" s="430" t="s">
        <v>94</v>
      </c>
      <c r="G137" s="427"/>
      <c r="H137" s="427"/>
      <c r="I137" s="428"/>
      <c r="K137" s="178"/>
      <c r="BJ137" s="338"/>
    </row>
    <row r="138" ht="15.75" customHeight="1">
      <c r="A138" s="84"/>
      <c r="B138" s="85"/>
      <c r="C138" s="146"/>
      <c r="D138" s="193">
        <f>COUNTIF(BI30:BI69,"AVANÇADO")</f>
        <v>12</v>
      </c>
      <c r="E138" s="425">
        <f>SUM(D138/C18*100)</f>
        <v>52.17391304</v>
      </c>
      <c r="F138" s="431" t="s">
        <v>95</v>
      </c>
      <c r="G138" s="427"/>
      <c r="H138" s="427"/>
      <c r="I138" s="428"/>
      <c r="K138" s="223"/>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c r="BC138" s="224"/>
      <c r="BD138" s="224"/>
      <c r="BE138" s="224"/>
      <c r="BF138" s="224"/>
      <c r="BG138" s="224"/>
      <c r="BH138" s="224"/>
      <c r="BI138" s="224"/>
      <c r="BJ138" s="340"/>
    </row>
    <row r="139" ht="15.75" customHeight="1"/>
    <row r="140" ht="15.75" customHeight="1"/>
    <row r="141" ht="15.75" customHeight="1"/>
    <row r="142" ht="15.75" customHeight="1"/>
    <row r="143" ht="15.75" customHeight="1"/>
    <row r="144" ht="15.75" customHeight="1"/>
    <row r="145" ht="15.75" customHeight="1"/>
    <row r="146" ht="73.5" customHeight="1">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180"/>
    </row>
    <row r="147" ht="15.75" customHeight="1"/>
    <row r="148" ht="15.75" customHeight="1">
      <c r="BA148" s="226" t="s">
        <v>107</v>
      </c>
    </row>
    <row r="149" ht="15.75" customHeight="1">
      <c r="AL149" s="227"/>
      <c r="AM149" s="227"/>
      <c r="AN149" s="227"/>
      <c r="AO149" s="227"/>
      <c r="AP149" s="227"/>
      <c r="AQ149" s="227"/>
      <c r="AR149" s="227"/>
      <c r="AS149" s="227"/>
      <c r="AT149" s="227"/>
      <c r="AU149" s="227"/>
      <c r="AV149" s="227"/>
      <c r="AW149" s="227"/>
      <c r="AX149" s="227"/>
      <c r="BA149" s="227" t="s">
        <v>108</v>
      </c>
    </row>
    <row r="150" ht="15.75" customHeight="1"/>
  </sheetData>
  <mergeCells count="60">
    <mergeCell ref="A19:B19"/>
    <mergeCell ref="A20:B20"/>
    <mergeCell ref="A21:B21"/>
    <mergeCell ref="A23:C23"/>
    <mergeCell ref="D25:BB25"/>
    <mergeCell ref="BD25:BI25"/>
    <mergeCell ref="A26:A29"/>
    <mergeCell ref="BI27:BI29"/>
    <mergeCell ref="BG26:BI26"/>
    <mergeCell ref="AV27:AV29"/>
    <mergeCell ref="AW27:AW29"/>
    <mergeCell ref="AX27:AX29"/>
    <mergeCell ref="AY27:AY29"/>
    <mergeCell ref="AZ27:AZ29"/>
    <mergeCell ref="BA27:BA29"/>
    <mergeCell ref="B26:B29"/>
    <mergeCell ref="C26:C29"/>
    <mergeCell ref="A70:C70"/>
    <mergeCell ref="D72:AI72"/>
    <mergeCell ref="AK72:AT73"/>
    <mergeCell ref="D73:E74"/>
    <mergeCell ref="F73:F74"/>
    <mergeCell ref="G73:G74"/>
    <mergeCell ref="H73:AI74"/>
    <mergeCell ref="D75:D95"/>
    <mergeCell ref="AK75:AK95"/>
    <mergeCell ref="D96:D117"/>
    <mergeCell ref="AK96:AK117"/>
    <mergeCell ref="L122:T122"/>
    <mergeCell ref="D6:AX7"/>
    <mergeCell ref="D9:AX10"/>
    <mergeCell ref="D12:AX12"/>
    <mergeCell ref="A15:C15"/>
    <mergeCell ref="A16:C16"/>
    <mergeCell ref="A17:C17"/>
    <mergeCell ref="A18:B18"/>
    <mergeCell ref="D26:X26"/>
    <mergeCell ref="Y26:AT26"/>
    <mergeCell ref="AV26:BB26"/>
    <mergeCell ref="BD26:BF26"/>
    <mergeCell ref="BB27:BB29"/>
    <mergeCell ref="BD27:BD29"/>
    <mergeCell ref="BE27:BE29"/>
    <mergeCell ref="BF27:BF29"/>
    <mergeCell ref="BG27:BG29"/>
    <mergeCell ref="BH27:BH29"/>
    <mergeCell ref="L131:BI131"/>
    <mergeCell ref="L132:BI132"/>
    <mergeCell ref="L133:BI133"/>
    <mergeCell ref="L134:BI134"/>
    <mergeCell ref="L135:BI135"/>
    <mergeCell ref="L136:BI136"/>
    <mergeCell ref="L137:BI137"/>
    <mergeCell ref="L124:BI124"/>
    <mergeCell ref="L125:BI125"/>
    <mergeCell ref="L126:BI126"/>
    <mergeCell ref="L127:BI127"/>
    <mergeCell ref="L128:BI128"/>
    <mergeCell ref="L129:BI129"/>
    <mergeCell ref="L130:BI130"/>
  </mergeCells>
  <conditionalFormatting sqref="C30:C69">
    <cfRule type="containsText" dxfId="6" priority="1" operator="containsText" text="NÃO">
      <formula>NOT(ISERROR(SEARCH(("NÃO"),(C30))))</formula>
    </cfRule>
  </conditionalFormatting>
  <conditionalFormatting sqref="C30:C69">
    <cfRule type="containsText" dxfId="1" priority="2" operator="containsText" text="SIM">
      <formula>NOT(ISERROR(SEARCH(("SIM"),(C30))))</formula>
    </cfRule>
  </conditionalFormatting>
  <conditionalFormatting sqref="AV30:AZ69">
    <cfRule type="containsText" dxfId="6" priority="3" operator="containsText" text="F">
      <formula>NOT(ISERROR(SEARCH(("F"),(AV30))))</formula>
    </cfRule>
  </conditionalFormatting>
  <conditionalFormatting sqref="F30:F69 AA47">
    <cfRule type="containsText" dxfId="5" priority="4" operator="containsText" text="B">
      <formula>NOT(ISERROR(SEARCH(("B"),(F30))))</formula>
    </cfRule>
  </conditionalFormatting>
  <conditionalFormatting sqref="F30:F69 AA47">
    <cfRule type="containsText" dxfId="4" priority="5" operator="containsText" text="C">
      <formula>NOT(ISERROR(SEARCH(("C"),(F30))))</formula>
    </cfRule>
  </conditionalFormatting>
  <conditionalFormatting sqref="F30:F69 AA47">
    <cfRule type="containsText" dxfId="5" priority="6" operator="containsText" text="D">
      <formula>NOT(ISERROR(SEARCH(("D"),(F30))))</formula>
    </cfRule>
  </conditionalFormatting>
  <conditionalFormatting sqref="G30:G69 AB47">
    <cfRule type="containsText" dxfId="5" priority="7" operator="containsText" text="A">
      <formula>NOT(ISERROR(SEARCH(("A"),(G30))))</formula>
    </cfRule>
  </conditionalFormatting>
  <conditionalFormatting sqref="G30:G69 AB47">
    <cfRule type="containsText" dxfId="4" priority="8" operator="containsText" text="B">
      <formula>NOT(ISERROR(SEARCH(("B"),(G30))))</formula>
    </cfRule>
  </conditionalFormatting>
  <conditionalFormatting sqref="G30:G69 AB47">
    <cfRule type="containsText" dxfId="5" priority="9" operator="containsText" text="C">
      <formula>NOT(ISERROR(SEARCH(("C"),(G30))))</formula>
    </cfRule>
  </conditionalFormatting>
  <conditionalFormatting sqref="G30:G69 AB47">
    <cfRule type="containsText" dxfId="11" priority="10" operator="containsText" text="D">
      <formula>NOT(ISERROR(SEARCH(("D"),(G30))))</formula>
    </cfRule>
  </conditionalFormatting>
  <conditionalFormatting sqref="H30:H69 AC47">
    <cfRule type="containsText" dxfId="5" priority="11" operator="containsText" text="A">
      <formula>NOT(ISERROR(SEARCH(("A"),(H30))))</formula>
    </cfRule>
  </conditionalFormatting>
  <conditionalFormatting sqref="H30:H69 AC47">
    <cfRule type="containsText" dxfId="4" priority="12" operator="containsText" text="B">
      <formula>NOT(ISERROR(SEARCH(("B"),(H30))))</formula>
    </cfRule>
  </conditionalFormatting>
  <conditionalFormatting sqref="H30:H69 AC47">
    <cfRule type="containsText" dxfId="5" priority="13" operator="containsText" text="C">
      <formula>NOT(ISERROR(SEARCH(("C"),(H30))))</formula>
    </cfRule>
  </conditionalFormatting>
  <conditionalFormatting sqref="H30:H69 AC47">
    <cfRule type="containsText" dxfId="5" priority="14" operator="containsText" text="D">
      <formula>NOT(ISERROR(SEARCH(("D"),(H30))))</formula>
    </cfRule>
  </conditionalFormatting>
  <conditionalFormatting sqref="I30:I69 AD47">
    <cfRule type="containsText" dxfId="11" priority="15" operator="containsText" text="A">
      <formula>NOT(ISERROR(SEARCH(("A"),(I30))))</formula>
    </cfRule>
  </conditionalFormatting>
  <conditionalFormatting sqref="I30:I69 AD47">
    <cfRule type="containsText" dxfId="5" priority="16" operator="containsText" text="B">
      <formula>NOT(ISERROR(SEARCH(("B"),(I30))))</formula>
    </cfRule>
  </conditionalFormatting>
  <conditionalFormatting sqref="I30:I69 AD47">
    <cfRule type="containsText" dxfId="5" priority="17" operator="containsText" text="C">
      <formula>NOT(ISERROR(SEARCH(("C"),(I30))))</formula>
    </cfRule>
  </conditionalFormatting>
  <conditionalFormatting sqref="I30:I69 AD47">
    <cfRule type="containsText" dxfId="4" priority="18" operator="containsText" text="D">
      <formula>NOT(ISERROR(SEARCH(("D"),(I30))))</formula>
    </cfRule>
  </conditionalFormatting>
  <conditionalFormatting sqref="J30:J69 AE47">
    <cfRule type="containsText" dxfId="5" priority="19" operator="containsText" text="A">
      <formula>NOT(ISERROR(SEARCH(("A"),(J30))))</formula>
    </cfRule>
  </conditionalFormatting>
  <conditionalFormatting sqref="J30:J69 AE47">
    <cfRule type="containsText" dxfId="4" priority="20" operator="containsText" text="B">
      <formula>NOT(ISERROR(SEARCH(("B"),(J30))))</formula>
    </cfRule>
  </conditionalFormatting>
  <conditionalFormatting sqref="J30:J69 AE47">
    <cfRule type="containsText" dxfId="5" priority="21" operator="containsText" text="C">
      <formula>NOT(ISERROR(SEARCH(("C"),(J30))))</formula>
    </cfRule>
  </conditionalFormatting>
  <conditionalFormatting sqref="J30:J69 AE47">
    <cfRule type="containsText" dxfId="5" priority="22" operator="containsText" text="D">
      <formula>NOT(ISERROR(SEARCH(("D"),(J30))))</formula>
    </cfRule>
  </conditionalFormatting>
  <conditionalFormatting sqref="K30:K69 AF47">
    <cfRule type="containsText" dxfId="11" priority="23" operator="containsText" text="A">
      <formula>NOT(ISERROR(SEARCH(("A"),(K30))))</formula>
    </cfRule>
  </conditionalFormatting>
  <conditionalFormatting sqref="K30:K69 AF47">
    <cfRule type="containsText" dxfId="4" priority="24" operator="containsText" text="B">
      <formula>NOT(ISERROR(SEARCH(("B"),(K30))))</formula>
    </cfRule>
  </conditionalFormatting>
  <conditionalFormatting sqref="K30:K69 AF47">
    <cfRule type="containsText" dxfId="5" priority="25" operator="containsText" text="C">
      <formula>NOT(ISERROR(SEARCH(("C"),(K30))))</formula>
    </cfRule>
  </conditionalFormatting>
  <conditionalFormatting sqref="K30:K69 AF47">
    <cfRule type="containsText" dxfId="5" priority="26" operator="containsText" text="D">
      <formula>NOT(ISERROR(SEARCH(("D"),(K30))))</formula>
    </cfRule>
  </conditionalFormatting>
  <conditionalFormatting sqref="L30:L69 AG47">
    <cfRule type="containsText" dxfId="4" priority="27" operator="containsText" text="A">
      <formula>NOT(ISERROR(SEARCH(("A"),(L30))))</formula>
    </cfRule>
  </conditionalFormatting>
  <conditionalFormatting sqref="L30:L69 AG47">
    <cfRule type="containsText" dxfId="5" priority="28" operator="containsText" text="B">
      <formula>NOT(ISERROR(SEARCH(("B"),(L30))))</formula>
    </cfRule>
  </conditionalFormatting>
  <conditionalFormatting sqref="L30:L69 AG47">
    <cfRule type="containsText" dxfId="5" priority="29" operator="containsText" text="C">
      <formula>NOT(ISERROR(SEARCH(("C"),(L30))))</formula>
    </cfRule>
  </conditionalFormatting>
  <conditionalFormatting sqref="L30:L69 AG47">
    <cfRule type="containsText" dxfId="11" priority="30" operator="containsText" text="D">
      <formula>NOT(ISERROR(SEARCH(("D"),(L30))))</formula>
    </cfRule>
  </conditionalFormatting>
  <conditionalFormatting sqref="M30:M69 AH47">
    <cfRule type="containsText" dxfId="5" priority="31" operator="containsText" text="A">
      <formula>NOT(ISERROR(SEARCH(("A"),(M30))))</formula>
    </cfRule>
  </conditionalFormatting>
  <conditionalFormatting sqref="M30:M69 AH47">
    <cfRule type="containsText" dxfId="4" priority="32" operator="containsText" text="B">
      <formula>NOT(ISERROR(SEARCH(("B"),(M30))))</formula>
    </cfRule>
  </conditionalFormatting>
  <conditionalFormatting sqref="M30:M69 AH47">
    <cfRule type="containsText" dxfId="5" priority="33" operator="containsText" text="C">
      <formula>NOT(ISERROR(SEARCH(("C"),(M30))))</formula>
    </cfRule>
  </conditionalFormatting>
  <conditionalFormatting sqref="M30:M69 AH47">
    <cfRule type="containsText" dxfId="5" priority="34" operator="containsText" text="D">
      <formula>NOT(ISERROR(SEARCH(("D"),(M30))))</formula>
    </cfRule>
  </conditionalFormatting>
  <conditionalFormatting sqref="N30:N69 AI47">
    <cfRule type="containsText" dxfId="5" priority="35" operator="containsText" text="A">
      <formula>NOT(ISERROR(SEARCH(("A"),(N30))))</formula>
    </cfRule>
  </conditionalFormatting>
  <conditionalFormatting sqref="N30:N69 AI47">
    <cfRule type="containsText" dxfId="11" priority="36" operator="containsText" text="B">
      <formula>NOT(ISERROR(SEARCH(("B"),(N30))))</formula>
    </cfRule>
  </conditionalFormatting>
  <conditionalFormatting sqref="N30:N69 AI47">
    <cfRule type="containsText" dxfId="4" priority="37" operator="containsText" text="C">
      <formula>NOT(ISERROR(SEARCH(("C"),(N30))))</formula>
    </cfRule>
  </conditionalFormatting>
  <conditionalFormatting sqref="N30:N69 AI47">
    <cfRule type="containsText" dxfId="5" priority="38" operator="containsText" text="D">
      <formula>NOT(ISERROR(SEARCH(("D"),(N30))))</formula>
    </cfRule>
  </conditionalFormatting>
  <conditionalFormatting sqref="O30:O69 AJ47">
    <cfRule type="containsText" dxfId="5" priority="39" operator="containsText" text="A">
      <formula>NOT(ISERROR(SEARCH(("A"),(O30))))</formula>
    </cfRule>
  </conditionalFormatting>
  <conditionalFormatting sqref="O30:O69 AJ47">
    <cfRule type="containsText" dxfId="5" priority="40" operator="containsText" text="B">
      <formula>NOT(ISERROR(SEARCH(("B"),(O30))))</formula>
    </cfRule>
  </conditionalFormatting>
  <conditionalFormatting sqref="O30:O69 AJ47">
    <cfRule type="containsText" dxfId="4" priority="41" operator="containsText" text="C">
      <formula>NOT(ISERROR(SEARCH(("C"),(O30))))</formula>
    </cfRule>
  </conditionalFormatting>
  <conditionalFormatting sqref="O30:O69 AJ47">
    <cfRule type="containsText" dxfId="5" priority="42" operator="containsText" text="D">
      <formula>NOT(ISERROR(SEARCH(("D"),(O30))))</formula>
    </cfRule>
  </conditionalFormatting>
  <conditionalFormatting sqref="P30:P69 AK47">
    <cfRule type="containsText" dxfId="4" priority="43" operator="containsText" text="A">
      <formula>NOT(ISERROR(SEARCH(("A"),(P30))))</formula>
    </cfRule>
  </conditionalFormatting>
  <conditionalFormatting sqref="P30:P69 AK47">
    <cfRule type="containsText" dxfId="5" priority="44" operator="containsText" text="B">
      <formula>NOT(ISERROR(SEARCH(("B"),(P30))))</formula>
    </cfRule>
  </conditionalFormatting>
  <conditionalFormatting sqref="P30:P69 AK47">
    <cfRule type="containsText" dxfId="5" priority="45" operator="containsText" text="C">
      <formula>NOT(ISERROR(SEARCH(("C"),(P30))))</formula>
    </cfRule>
  </conditionalFormatting>
  <conditionalFormatting sqref="P30:P69 AK47">
    <cfRule type="containsText" dxfId="5" priority="46" operator="containsText" text="D">
      <formula>NOT(ISERROR(SEARCH(("D"),(P30))))</formula>
    </cfRule>
  </conditionalFormatting>
  <conditionalFormatting sqref="Q30:Q69 AL47">
    <cfRule type="containsText" dxfId="11" priority="47" operator="containsText" text="A">
      <formula>NOT(ISERROR(SEARCH(("A"),(Q30))))</formula>
    </cfRule>
  </conditionalFormatting>
  <conditionalFormatting sqref="Q30:Q69 AL47">
    <cfRule type="containsText" dxfId="12" priority="48" operator="containsText" text="B">
      <formula>NOT(ISERROR(SEARCH(("B"),(Q30))))</formula>
    </cfRule>
  </conditionalFormatting>
  <conditionalFormatting sqref="Q30:Q69 AL47">
    <cfRule type="containsText" dxfId="11" priority="49" operator="containsText" text="C">
      <formula>NOT(ISERROR(SEARCH(("C"),(Q30))))</formula>
    </cfRule>
  </conditionalFormatting>
  <conditionalFormatting sqref="Q30:Q69 AL47">
    <cfRule type="containsText" dxfId="5" priority="50" operator="containsText" text="D">
      <formula>NOT(ISERROR(SEARCH(("D"),(Q30))))</formula>
    </cfRule>
  </conditionalFormatting>
  <conditionalFormatting sqref="R30:R69 AM47">
    <cfRule type="containsText" dxfId="5" priority="51" operator="containsText" text="A">
      <formula>NOT(ISERROR(SEARCH(("A"),(R30))))</formula>
    </cfRule>
  </conditionalFormatting>
  <conditionalFormatting sqref="R30:R69 AM47">
    <cfRule type="containsText" dxfId="5" priority="52" operator="containsText" text="B">
      <formula>NOT(ISERROR(SEARCH(("B"),(R30))))</formula>
    </cfRule>
  </conditionalFormatting>
  <conditionalFormatting sqref="R30:R69 AM47">
    <cfRule type="containsText" dxfId="5" priority="53" operator="containsText" text="C">
      <formula>NOT(ISERROR(SEARCH(("C"),(R30))))</formula>
    </cfRule>
  </conditionalFormatting>
  <conditionalFormatting sqref="R30:R69 AM47">
    <cfRule type="containsText" dxfId="4" priority="54" operator="containsText" text="D">
      <formula>NOT(ISERROR(SEARCH(("D"),(R30))))</formula>
    </cfRule>
  </conditionalFormatting>
  <conditionalFormatting sqref="S30:S69 AN47">
    <cfRule type="containsText" dxfId="4" priority="55" operator="containsText" text="A">
      <formula>NOT(ISERROR(SEARCH(("A"),(S30))))</formula>
    </cfRule>
  </conditionalFormatting>
  <conditionalFormatting sqref="S30:S69 AN47">
    <cfRule type="containsText" dxfId="5" priority="56" operator="containsText" text="B">
      <formula>NOT(ISERROR(SEARCH(("B"),(S30))))</formula>
    </cfRule>
  </conditionalFormatting>
  <conditionalFormatting sqref="S30:S69 AN47">
    <cfRule type="containsText" dxfId="5" priority="57" operator="containsText" text="C">
      <formula>NOT(ISERROR(SEARCH(("C"),(S30))))</formula>
    </cfRule>
  </conditionalFormatting>
  <conditionalFormatting sqref="S30:S69 AN47">
    <cfRule type="containsText" dxfId="5" priority="58" operator="containsText" text="D">
      <formula>NOT(ISERROR(SEARCH(("D"),(S30))))</formula>
    </cfRule>
  </conditionalFormatting>
  <conditionalFormatting sqref="T30:T69 AO47">
    <cfRule type="containsText" dxfId="4" priority="59" operator="containsText" text="A">
      <formula>NOT(ISERROR(SEARCH(("A"),(T30))))</formula>
    </cfRule>
  </conditionalFormatting>
  <conditionalFormatting sqref="T30:T69 AO47">
    <cfRule type="containsText" dxfId="5" priority="60" operator="containsText" text="B">
      <formula>NOT(ISERROR(SEARCH(("B"),(T30))))</formula>
    </cfRule>
  </conditionalFormatting>
  <conditionalFormatting sqref="T30:T69 AO47">
    <cfRule type="containsText" dxfId="5" priority="61" operator="containsText" text="C">
      <formula>NOT(ISERROR(SEARCH(("C"),(T30))))</formula>
    </cfRule>
  </conditionalFormatting>
  <conditionalFormatting sqref="T30:T69 AO47">
    <cfRule type="containsText" dxfId="5" priority="62" operator="containsText" text="D">
      <formula>NOT(ISERROR(SEARCH(("D"),(T30))))</formula>
    </cfRule>
  </conditionalFormatting>
  <conditionalFormatting sqref="U30:U69 AP47">
    <cfRule type="containsText" dxfId="4" priority="63" operator="containsText" text="A">
      <formula>NOT(ISERROR(SEARCH(("A"),(U30))))</formula>
    </cfRule>
  </conditionalFormatting>
  <conditionalFormatting sqref="U30:U69 AP47">
    <cfRule type="containsText" dxfId="5" priority="64" operator="containsText" text="B">
      <formula>NOT(ISERROR(SEARCH(("B"),(U30))))</formula>
    </cfRule>
  </conditionalFormatting>
  <conditionalFormatting sqref="U30:U69 AP47">
    <cfRule type="containsText" dxfId="5" priority="65" operator="containsText" text="C">
      <formula>NOT(ISERROR(SEARCH(("C"),(U30))))</formula>
    </cfRule>
  </conditionalFormatting>
  <conditionalFormatting sqref="U30:U69 AP47">
    <cfRule type="containsText" dxfId="5" priority="66" operator="containsText" text="D">
      <formula>NOT(ISERROR(SEARCH(("D"),(U30))))</formula>
    </cfRule>
  </conditionalFormatting>
  <conditionalFormatting sqref="V30:V69 AQ47">
    <cfRule type="containsText" dxfId="5" priority="67" operator="containsText" text="A">
      <formula>NOT(ISERROR(SEARCH(("A"),(V30))))</formula>
    </cfRule>
  </conditionalFormatting>
  <conditionalFormatting sqref="V30:V69 AQ47">
    <cfRule type="containsText" dxfId="5" priority="68" operator="containsText" text="B">
      <formula>NOT(ISERROR(SEARCH(("B"),(V30))))</formula>
    </cfRule>
  </conditionalFormatting>
  <conditionalFormatting sqref="V30:V69 AQ47">
    <cfRule type="containsText" dxfId="4" priority="69" operator="containsText" text="C">
      <formula>NOT(ISERROR(SEARCH(("C"),(V30))))</formula>
    </cfRule>
  </conditionalFormatting>
  <conditionalFormatting sqref="V30:V69 AQ47">
    <cfRule type="containsText" dxfId="5" priority="70" operator="containsText" text="D">
      <formula>NOT(ISERROR(SEARCH(("D"),(V30))))</formula>
    </cfRule>
  </conditionalFormatting>
  <conditionalFormatting sqref="W30:W69 AR47">
    <cfRule type="containsText" dxfId="5" priority="71" operator="containsText" text="A">
      <formula>NOT(ISERROR(SEARCH(("A"),(W30))))</formula>
    </cfRule>
  </conditionalFormatting>
  <conditionalFormatting sqref="W30:W69 AR47">
    <cfRule type="containsText" dxfId="5" priority="72" operator="containsText" text="B">
      <formula>NOT(ISERROR(SEARCH(("B"),(W30))))</formula>
    </cfRule>
  </conditionalFormatting>
  <conditionalFormatting sqref="W30:W69 AR47">
    <cfRule type="containsText" dxfId="5" priority="73" operator="containsText" text="C">
      <formula>NOT(ISERROR(SEARCH(("C"),(W30))))</formula>
    </cfRule>
  </conditionalFormatting>
  <conditionalFormatting sqref="W30:W69 AR47">
    <cfRule type="containsText" dxfId="4" priority="74" operator="containsText" text="D">
      <formula>NOT(ISERROR(SEARCH(("D"),(W30))))</formula>
    </cfRule>
  </conditionalFormatting>
  <conditionalFormatting sqref="X30:X69 AS47">
    <cfRule type="containsText" dxfId="5" priority="75" operator="containsText" text="A">
      <formula>NOT(ISERROR(SEARCH(("A"),(X30))))</formula>
    </cfRule>
  </conditionalFormatting>
  <conditionalFormatting sqref="X30:X69 AS47">
    <cfRule type="containsText" dxfId="12" priority="76" operator="containsText" text="B">
      <formula>NOT(ISERROR(SEARCH(("B"),(X30))))</formula>
    </cfRule>
  </conditionalFormatting>
  <conditionalFormatting sqref="X30:X69 AS47">
    <cfRule type="containsText" dxfId="11" priority="77" operator="containsText" text="C">
      <formula>NOT(ISERROR(SEARCH(("C"),(X30))))</formula>
    </cfRule>
  </conditionalFormatting>
  <conditionalFormatting sqref="X30:X69 AS47">
    <cfRule type="containsText" dxfId="11" priority="78" operator="containsText" text="D">
      <formula>NOT(ISERROR(SEARCH(("D"),(X30))))</formula>
    </cfRule>
  </conditionalFormatting>
  <conditionalFormatting sqref="Y30:Y69">
    <cfRule type="containsText" dxfId="4" priority="79" operator="containsText" text="A">
      <formula>NOT(ISERROR(SEARCH(("A"),(Y30))))</formula>
    </cfRule>
  </conditionalFormatting>
  <conditionalFormatting sqref="Y30:Y69">
    <cfRule type="containsText" dxfId="5" priority="80" operator="containsText" text="B">
      <formula>NOT(ISERROR(SEARCH(("B"),(Y30))))</formula>
    </cfRule>
  </conditionalFormatting>
  <conditionalFormatting sqref="Y30:Y69">
    <cfRule type="containsText" dxfId="5" priority="81" operator="containsText" text="C">
      <formula>NOT(ISERROR(SEARCH(("C"),(Y30))))</formula>
    </cfRule>
  </conditionalFormatting>
  <conditionalFormatting sqref="Y30:Y69">
    <cfRule type="containsText" dxfId="5" priority="82" operator="containsText" text="D">
      <formula>NOT(ISERROR(SEARCH(("D"),(Y30))))</formula>
    </cfRule>
  </conditionalFormatting>
  <conditionalFormatting sqref="AB30:AB69">
    <cfRule type="containsText" dxfId="5" priority="83" operator="containsText" text="A">
      <formula>NOT(ISERROR(SEARCH(("A"),(AB30))))</formula>
    </cfRule>
  </conditionalFormatting>
  <conditionalFormatting sqref="AB30:AB69">
    <cfRule type="containsText" dxfId="5" priority="84" operator="containsText" text="B">
      <formula>NOT(ISERROR(SEARCH(("B"),(AB30))))</formula>
    </cfRule>
  </conditionalFormatting>
  <conditionalFormatting sqref="AB30:AB69">
    <cfRule type="containsText" dxfId="5" priority="85" operator="containsText" text="C">
      <formula>NOT(ISERROR(SEARCH(("C"),(AB30))))</formula>
    </cfRule>
  </conditionalFormatting>
  <conditionalFormatting sqref="AB30:AB69">
    <cfRule type="containsText" dxfId="4" priority="86" operator="containsText" text="D">
      <formula>NOT(ISERROR(SEARCH(("D"),(AB30))))</formula>
    </cfRule>
  </conditionalFormatting>
  <conditionalFormatting sqref="AC30:AC69">
    <cfRule type="containsText" dxfId="5" priority="87" operator="containsText" text="A">
      <formula>NOT(ISERROR(SEARCH(("A"),(AC30))))</formula>
    </cfRule>
  </conditionalFormatting>
  <conditionalFormatting sqref="AC30:AC69">
    <cfRule type="containsText" dxfId="5" priority="88" operator="containsText" text="B">
      <formula>NOT(ISERROR(SEARCH(("B"),(AC30))))</formula>
    </cfRule>
  </conditionalFormatting>
  <conditionalFormatting sqref="AC30:AC69">
    <cfRule type="containsText" dxfId="4" priority="89" operator="containsText" text="C">
      <formula>NOT(ISERROR(SEARCH(("C"),(AC30))))</formula>
    </cfRule>
  </conditionalFormatting>
  <conditionalFormatting sqref="AC30:AC69">
    <cfRule type="containsText" dxfId="5" priority="90" operator="containsText" text="D">
      <formula>NOT(ISERROR(SEARCH(("D"),(AC30))))</formula>
    </cfRule>
  </conditionalFormatting>
  <conditionalFormatting sqref="AD30:AD69">
    <cfRule type="containsText" dxfId="5" priority="91" operator="containsText" text="A">
      <formula>NOT(ISERROR(SEARCH(("A"),(AD30))))</formula>
    </cfRule>
  </conditionalFormatting>
  <conditionalFormatting sqref="AD30:AD69">
    <cfRule type="containsText" dxfId="5" priority="92" operator="containsText" text="B">
      <formula>NOT(ISERROR(SEARCH(("B"),(AD30))))</formula>
    </cfRule>
  </conditionalFormatting>
  <conditionalFormatting sqref="AD30:AD69">
    <cfRule type="containsText" dxfId="4" priority="93" operator="containsText" text="C">
      <formula>NOT(ISERROR(SEARCH(("C"),(AD30))))</formula>
    </cfRule>
  </conditionalFormatting>
  <conditionalFormatting sqref="AD30:AD69">
    <cfRule type="containsText" dxfId="5" priority="94" operator="containsText" text="D">
      <formula>NOT(ISERROR(SEARCH(("D"),(AD30))))</formula>
    </cfRule>
  </conditionalFormatting>
  <conditionalFormatting sqref="AE30:AE69">
    <cfRule type="containsText" dxfId="5" priority="95" operator="containsText" text="A">
      <formula>NOT(ISERROR(SEARCH(("A"),(AE30))))</formula>
    </cfRule>
  </conditionalFormatting>
  <conditionalFormatting sqref="AE30:AE69">
    <cfRule type="containsText" dxfId="4" priority="96" operator="containsText" text="B">
      <formula>NOT(ISERROR(SEARCH(("B"),(AE30))))</formula>
    </cfRule>
  </conditionalFormatting>
  <conditionalFormatting sqref="AE30:AE69">
    <cfRule type="containsText" dxfId="5" priority="97" operator="containsText" text="C">
      <formula>NOT(ISERROR(SEARCH(("C"),(AE30))))</formula>
    </cfRule>
  </conditionalFormatting>
  <conditionalFormatting sqref="AE30:AE69">
    <cfRule type="containsText" dxfId="5" priority="98" operator="containsText" text="D">
      <formula>NOT(ISERROR(SEARCH(("D"),(AE30))))</formula>
    </cfRule>
  </conditionalFormatting>
  <conditionalFormatting sqref="AF30:AF69">
    <cfRule type="containsText" dxfId="4" priority="99" operator="containsText" text="A">
      <formula>NOT(ISERROR(SEARCH(("A"),(AF30))))</formula>
    </cfRule>
  </conditionalFormatting>
  <conditionalFormatting sqref="AF30:AF69">
    <cfRule type="containsText" dxfId="5" priority="100" operator="containsText" text="B">
      <formula>NOT(ISERROR(SEARCH(("B"),(AF30))))</formula>
    </cfRule>
  </conditionalFormatting>
  <conditionalFormatting sqref="AF30:AF69">
    <cfRule type="containsText" dxfId="11" priority="101" operator="containsText" text="C">
      <formula>NOT(ISERROR(SEARCH(("C"),(AF30))))</formula>
    </cfRule>
  </conditionalFormatting>
  <conditionalFormatting sqref="AF30:AF69">
    <cfRule type="containsText" dxfId="11" priority="102" operator="containsText" text="D">
      <formula>NOT(ISERROR(SEARCH(("D"),(AF30))))</formula>
    </cfRule>
  </conditionalFormatting>
  <conditionalFormatting sqref="AG30:AG69">
    <cfRule type="containsText" dxfId="5" priority="103" operator="containsText" text="A">
      <formula>NOT(ISERROR(SEARCH(("A"),(AG30))))</formula>
    </cfRule>
  </conditionalFormatting>
  <conditionalFormatting sqref="AG30:AG69">
    <cfRule type="containsText" dxfId="5" priority="104" operator="containsText" text="B">
      <formula>NOT(ISERROR(SEARCH(("B"),(AG30))))</formula>
    </cfRule>
  </conditionalFormatting>
  <conditionalFormatting sqref="AG30:AG69">
    <cfRule type="containsText" dxfId="5" priority="105" operator="containsText" text="C">
      <formula>NOT(ISERROR(SEARCH(("C"),(AG30))))</formula>
    </cfRule>
  </conditionalFormatting>
  <conditionalFormatting sqref="AG30:AG69">
    <cfRule type="containsText" dxfId="4" priority="106" operator="containsText" text="D">
      <formula>NOT(ISERROR(SEARCH(("D"),(AG30))))</formula>
    </cfRule>
  </conditionalFormatting>
  <conditionalFormatting sqref="AH30:AH69">
    <cfRule type="containsText" dxfId="4" priority="107" operator="containsText" text="A">
      <formula>NOT(ISERROR(SEARCH(("A"),(AH30))))</formula>
    </cfRule>
  </conditionalFormatting>
  <conditionalFormatting sqref="AH30:AH69">
    <cfRule type="containsText" dxfId="5" priority="108" operator="containsText" text="B">
      <formula>NOT(ISERROR(SEARCH(("B"),(AH30))))</formula>
    </cfRule>
  </conditionalFormatting>
  <conditionalFormatting sqref="AH30:AH69">
    <cfRule type="containsText" dxfId="5" priority="109" operator="containsText" text="C">
      <formula>NOT(ISERROR(SEARCH(("C"),(AH30))))</formula>
    </cfRule>
  </conditionalFormatting>
  <conditionalFormatting sqref="AH30:AH69">
    <cfRule type="containsText" dxfId="5" priority="110" operator="containsText" text="D">
      <formula>NOT(ISERROR(SEARCH(("D"),(AH30))))</formula>
    </cfRule>
  </conditionalFormatting>
  <conditionalFormatting sqref="AI30:AI69">
    <cfRule type="containsText" dxfId="5" priority="111" operator="containsText" text="A">
      <formula>NOT(ISERROR(SEARCH(("A"),(AI30))))</formula>
    </cfRule>
  </conditionalFormatting>
  <conditionalFormatting sqref="AI30:AI69">
    <cfRule type="containsText" dxfId="5" priority="112" operator="containsText" text="B">
      <formula>NOT(ISERROR(SEARCH(("B"),(AI30))))</formula>
    </cfRule>
  </conditionalFormatting>
  <conditionalFormatting sqref="AI30:AI69">
    <cfRule type="containsText" dxfId="4" priority="113" operator="containsText" text="C">
      <formula>NOT(ISERROR(SEARCH(("C"),(AI30))))</formula>
    </cfRule>
  </conditionalFormatting>
  <conditionalFormatting sqref="AI30:AI69">
    <cfRule type="containsText" dxfId="5" priority="114" operator="containsText" text="D">
      <formula>NOT(ISERROR(SEARCH(("D"),(AI30))))</formula>
    </cfRule>
  </conditionalFormatting>
  <conditionalFormatting sqref="AJ30:AJ69">
    <cfRule type="containsText" dxfId="5" priority="115" operator="containsText" text="A">
      <formula>NOT(ISERROR(SEARCH(("A"),(AJ30))))</formula>
    </cfRule>
  </conditionalFormatting>
  <conditionalFormatting sqref="AJ30:AJ69">
    <cfRule type="containsText" dxfId="4" priority="116" operator="containsText" text="B">
      <formula>NOT(ISERROR(SEARCH(("B"),(AJ30))))</formula>
    </cfRule>
  </conditionalFormatting>
  <conditionalFormatting sqref="AJ30:AJ69">
    <cfRule type="containsText" dxfId="5" priority="117" operator="containsText" text="C">
      <formula>NOT(ISERROR(SEARCH(("C"),(AJ30))))</formula>
    </cfRule>
  </conditionalFormatting>
  <conditionalFormatting sqref="AJ30:AJ69">
    <cfRule type="containsText" dxfId="5" priority="118" operator="containsText" text="D">
      <formula>NOT(ISERROR(SEARCH(("D"),(AJ30))))</formula>
    </cfRule>
  </conditionalFormatting>
  <conditionalFormatting sqref="AK30:AK69">
    <cfRule type="containsText" dxfId="5" priority="119" operator="containsText" text="A">
      <formula>NOT(ISERROR(SEARCH(("A"),(AK30))))</formula>
    </cfRule>
  </conditionalFormatting>
  <conditionalFormatting sqref="AK30:AK69">
    <cfRule type="containsText" dxfId="5" priority="120" operator="containsText" text="B">
      <formula>NOT(ISERROR(SEARCH(("B"),(AK30))))</formula>
    </cfRule>
  </conditionalFormatting>
  <conditionalFormatting sqref="AK30:AK69">
    <cfRule type="containsText" dxfId="5" priority="121" operator="containsText" text="C">
      <formula>NOT(ISERROR(SEARCH(("C"),(AK30))))</formula>
    </cfRule>
  </conditionalFormatting>
  <conditionalFormatting sqref="AK30:AK69">
    <cfRule type="containsText" dxfId="4" priority="122" operator="containsText" text="D">
      <formula>NOT(ISERROR(SEARCH(("D"),(AK30))))</formula>
    </cfRule>
  </conditionalFormatting>
  <conditionalFormatting sqref="AL30:AL69">
    <cfRule type="containsText" dxfId="5" priority="123" operator="containsText" text="A">
      <formula>NOT(ISERROR(SEARCH(("A"),(AL30))))</formula>
    </cfRule>
  </conditionalFormatting>
  <conditionalFormatting sqref="AL30:AL69">
    <cfRule type="containsText" dxfId="4" priority="124" operator="containsText" text="B">
      <formula>NOT(ISERROR(SEARCH(("B"),(AL30))))</formula>
    </cfRule>
  </conditionalFormatting>
  <conditionalFormatting sqref="AL30:AL69">
    <cfRule type="containsText" dxfId="5" priority="125" operator="containsText" text="C">
      <formula>NOT(ISERROR(SEARCH(("C"),(AL30))))</formula>
    </cfRule>
  </conditionalFormatting>
  <conditionalFormatting sqref="AL30:AL69">
    <cfRule type="containsText" dxfId="5" priority="126" operator="containsText" text="D">
      <formula>NOT(ISERROR(SEARCH(("D"),(AL30))))</formula>
    </cfRule>
  </conditionalFormatting>
  <conditionalFormatting sqref="AM30:AM69">
    <cfRule type="containsText" dxfId="5" priority="127" operator="containsText" text="A">
      <formula>NOT(ISERROR(SEARCH(("A"),(AM30))))</formula>
    </cfRule>
  </conditionalFormatting>
  <conditionalFormatting sqref="AM30:AM69">
    <cfRule type="containsText" dxfId="5" priority="128" operator="containsText" text="B">
      <formula>NOT(ISERROR(SEARCH(("B"),(AM30))))</formula>
    </cfRule>
  </conditionalFormatting>
  <conditionalFormatting sqref="AM30:AM69">
    <cfRule type="containsText" dxfId="4" priority="129" operator="containsText" text="C">
      <formula>NOT(ISERROR(SEARCH(("C"),(AM30))))</formula>
    </cfRule>
  </conditionalFormatting>
  <conditionalFormatting sqref="AM30:AM69">
    <cfRule type="containsText" dxfId="5" priority="130" operator="containsText" text="D">
      <formula>NOT(ISERROR(SEARCH(("D"),(AM30))))</formula>
    </cfRule>
  </conditionalFormatting>
  <conditionalFormatting sqref="AN30:AN69">
    <cfRule type="containsText" dxfId="4" priority="131" operator="containsText" text="A">
      <formula>NOT(ISERROR(SEARCH(("A"),(AN30))))</formula>
    </cfRule>
  </conditionalFormatting>
  <conditionalFormatting sqref="AN30:AN69">
    <cfRule type="containsText" dxfId="5" priority="132" operator="containsText" text="B">
      <formula>NOT(ISERROR(SEARCH(("B"),(AN30))))</formula>
    </cfRule>
  </conditionalFormatting>
  <conditionalFormatting sqref="AN30:AN69">
    <cfRule type="containsText" dxfId="11" priority="133" operator="containsText" text="C">
      <formula>NOT(ISERROR(SEARCH(("C"),(AN30))))</formula>
    </cfRule>
  </conditionalFormatting>
  <conditionalFormatting sqref="AN30:AN69">
    <cfRule type="containsText" dxfId="11" priority="134" operator="containsText" text="D">
      <formula>NOT(ISERROR(SEARCH(("D"),(AN30))))</formula>
    </cfRule>
  </conditionalFormatting>
  <conditionalFormatting sqref="AO30:AO69">
    <cfRule type="containsText" dxfId="5" priority="135" operator="containsText" text="A">
      <formula>NOT(ISERROR(SEARCH(("A"),(AO30))))</formula>
    </cfRule>
  </conditionalFormatting>
  <conditionalFormatting sqref="AO30:AO69">
    <cfRule type="containsText" dxfId="4" priority="136" operator="containsText" text="B">
      <formula>NOT(ISERROR(SEARCH(("B"),(AO30))))</formula>
    </cfRule>
  </conditionalFormatting>
  <conditionalFormatting sqref="AO30:AO69">
    <cfRule type="containsText" dxfId="11" priority="137" operator="containsText" text="C">
      <formula>NOT(ISERROR(SEARCH(("C"),(AO30))))</formula>
    </cfRule>
  </conditionalFormatting>
  <conditionalFormatting sqref="AO30:AO69">
    <cfRule type="containsText" dxfId="5" priority="138" operator="containsText" text="D">
      <formula>NOT(ISERROR(SEARCH(("D"),(AO30))))</formula>
    </cfRule>
  </conditionalFormatting>
  <conditionalFormatting sqref="AP30:AP69">
    <cfRule type="containsText" dxfId="5" priority="139" operator="containsText" text="A">
      <formula>NOT(ISERROR(SEARCH(("A"),(AP30))))</formula>
    </cfRule>
  </conditionalFormatting>
  <conditionalFormatting sqref="AP30:AP69">
    <cfRule type="containsText" dxfId="5" priority="140" operator="containsText" text="B">
      <formula>NOT(ISERROR(SEARCH(("B"),(AP30))))</formula>
    </cfRule>
  </conditionalFormatting>
  <conditionalFormatting sqref="AP30:AP69">
    <cfRule type="containsText" dxfId="5" priority="141" operator="containsText" text="C">
      <formula>NOT(ISERROR(SEARCH(("C"),(AP30))))</formula>
    </cfRule>
  </conditionalFormatting>
  <conditionalFormatting sqref="AP30:AP69">
    <cfRule type="containsText" dxfId="4" priority="142" operator="containsText" text="D">
      <formula>NOT(ISERROR(SEARCH(("D"),(AP30))))</formula>
    </cfRule>
  </conditionalFormatting>
  <conditionalFormatting sqref="AQ30:AQ69">
    <cfRule type="containsText" dxfId="4" priority="143" operator="containsText" text="A">
      <formula>NOT(ISERROR(SEARCH(("A"),(AQ30))))</formula>
    </cfRule>
  </conditionalFormatting>
  <conditionalFormatting sqref="AQ30:AQ69">
    <cfRule type="containsText" dxfId="5" priority="144" operator="containsText" text="B">
      <formula>NOT(ISERROR(SEARCH(("B"),(AQ30))))</formula>
    </cfRule>
  </conditionalFormatting>
  <conditionalFormatting sqref="AQ30:AQ69">
    <cfRule type="containsText" dxfId="5" priority="145" operator="containsText" text="C">
      <formula>NOT(ISERROR(SEARCH(("C"),(AQ30))))</formula>
    </cfRule>
  </conditionalFormatting>
  <conditionalFormatting sqref="AQ30:AQ69">
    <cfRule type="containsText" dxfId="11" priority="146" operator="containsText" text="D">
      <formula>NOT(ISERROR(SEARCH(("D"),(AQ30))))</formula>
    </cfRule>
  </conditionalFormatting>
  <conditionalFormatting sqref="AR30:AR69">
    <cfRule type="containsText" dxfId="5" priority="147" operator="containsText" text="A">
      <formula>NOT(ISERROR(SEARCH(("A"),(AR30))))</formula>
    </cfRule>
  </conditionalFormatting>
  <conditionalFormatting sqref="AR30:AR69">
    <cfRule type="containsText" dxfId="5" priority="148" operator="containsText" text="B">
      <formula>NOT(ISERROR(SEARCH(("B"),(AR30))))</formula>
    </cfRule>
  </conditionalFormatting>
  <conditionalFormatting sqref="AR30:AR69">
    <cfRule type="containsText" dxfId="4" priority="149" operator="containsText" text="C">
      <formula>NOT(ISERROR(SEARCH(("C"),(AR30))))</formula>
    </cfRule>
  </conditionalFormatting>
  <conditionalFormatting sqref="AR30:AR69">
    <cfRule type="containsText" dxfId="5" priority="150" operator="containsText" text="D">
      <formula>NOT(ISERROR(SEARCH(("D"),(AR30))))</formula>
    </cfRule>
  </conditionalFormatting>
  <conditionalFormatting sqref="AS30:AS69">
    <cfRule type="containsText" dxfId="5" priority="151" operator="containsText" text="A">
      <formula>NOT(ISERROR(SEARCH(("A"),(AS30))))</formula>
    </cfRule>
  </conditionalFormatting>
  <conditionalFormatting sqref="AS30:AS69">
    <cfRule type="containsText" dxfId="5" priority="152" operator="containsText" text="B">
      <formula>NOT(ISERROR(SEARCH(("B"),(AS30))))</formula>
    </cfRule>
  </conditionalFormatting>
  <conditionalFormatting sqref="AS30:AS69">
    <cfRule type="containsText" dxfId="4" priority="153" operator="containsText" text="C">
      <formula>NOT(ISERROR(SEARCH(("C"),(AS30))))</formula>
    </cfRule>
  </conditionalFormatting>
  <conditionalFormatting sqref="AS30:AS69">
    <cfRule type="containsText" dxfId="5" priority="154" operator="containsText" text="D">
      <formula>NOT(ISERROR(SEARCH(("D"),(AS30))))</formula>
    </cfRule>
  </conditionalFormatting>
  <conditionalFormatting sqref="AT30:AT69">
    <cfRule type="containsText" dxfId="5" priority="155" operator="containsText" text="A">
      <formula>NOT(ISERROR(SEARCH(("A"),(AT30))))</formula>
    </cfRule>
  </conditionalFormatting>
  <conditionalFormatting sqref="AT30:AT69">
    <cfRule type="containsText" dxfId="12" priority="156" operator="containsText" text="B">
      <formula>NOT(ISERROR(SEARCH(("B"),(AT30))))</formula>
    </cfRule>
  </conditionalFormatting>
  <conditionalFormatting sqref="AT30:AT69">
    <cfRule type="containsText" dxfId="11" priority="157" operator="containsText" text="C">
      <formula>NOT(ISERROR(SEARCH(("C"),(AT30))))</formula>
    </cfRule>
  </conditionalFormatting>
  <conditionalFormatting sqref="AT30:AT69">
    <cfRule type="containsText" dxfId="11" priority="158" operator="containsText" text="D">
      <formula>NOT(ISERROR(SEARCH(("D"),(AT30))))</formula>
    </cfRule>
  </conditionalFormatting>
  <conditionalFormatting sqref="AV30:AV69">
    <cfRule type="containsText" dxfId="4" priority="159" operator="containsText" text="A">
      <formula>NOT(ISERROR(SEARCH(("A"),(AV30))))</formula>
    </cfRule>
  </conditionalFormatting>
  <conditionalFormatting sqref="AV30:AV69">
    <cfRule type="containsText" dxfId="5" priority="160" operator="containsText" text="B">
      <formula>NOT(ISERROR(SEARCH(("B"),(AV30))))</formula>
    </cfRule>
  </conditionalFormatting>
  <conditionalFormatting sqref="AV30:AV69">
    <cfRule type="containsText" dxfId="5" priority="161" operator="containsText" text="C">
      <formula>NOT(ISERROR(SEARCH(("C"),(AV30))))</formula>
    </cfRule>
  </conditionalFormatting>
  <conditionalFormatting sqref="AV30:AV69">
    <cfRule type="containsText" dxfId="5" priority="162" operator="containsText" text="X">
      <formula>NOT(ISERROR(SEARCH(("X"),(AV30))))</formula>
    </cfRule>
  </conditionalFormatting>
  <conditionalFormatting sqref="BA30:BA69">
    <cfRule type="containsText" dxfId="6" priority="163" operator="containsText" text="F">
      <formula>NOT(ISERROR(SEARCH(("F"),(BA30))))</formula>
    </cfRule>
  </conditionalFormatting>
  <conditionalFormatting sqref="BB30:BB69 BF30:BF69 BI30:BI69">
    <cfRule type="containsText" dxfId="13" priority="164" operator="containsText" text="Abaixo do Básico">
      <formula>NOT(ISERROR(SEARCH(("Abaixo do Básico"),(BB30))))</formula>
    </cfRule>
  </conditionalFormatting>
  <conditionalFormatting sqref="BB30:BB69 BF30:BF69 BI30:BI69">
    <cfRule type="containsText" dxfId="14" priority="165" operator="containsText" text="Básico">
      <formula>NOT(ISERROR(SEARCH(("Básico"),(BB30))))</formula>
    </cfRule>
  </conditionalFormatting>
  <conditionalFormatting sqref="BB30:BB69 BF30:BF69 BI30:BI69">
    <cfRule type="containsText" dxfId="15" priority="166" operator="containsText" text="Adequado">
      <formula>NOT(ISERROR(SEARCH(("Adequado"),(BB30))))</formula>
    </cfRule>
  </conditionalFormatting>
  <conditionalFormatting sqref="BB30:BB69 BF30:BF69 BI30:BI69">
    <cfRule type="containsText" dxfId="16" priority="167" operator="containsText" text="Avançado">
      <formula>NOT(ISERROR(SEARCH(("Avançado"),(BB30))))</formula>
    </cfRule>
  </conditionalFormatting>
  <conditionalFormatting sqref="AV30:BB69">
    <cfRule type="containsBlanks" dxfId="6" priority="168">
      <formula>LEN(TRIM(AV30))=0</formula>
    </cfRule>
  </conditionalFormatting>
  <conditionalFormatting sqref="BD30:BI69">
    <cfRule type="containsBlanks" dxfId="6" priority="169">
      <formula>LEN(TRIM(BD30))=0</formula>
    </cfRule>
  </conditionalFormatting>
  <conditionalFormatting sqref="D30:D69 Y47">
    <cfRule type="containsText" dxfId="5" priority="170" operator="containsText" text="A">
      <formula>NOT(ISERROR(SEARCH(("A"),(D30))))</formula>
    </cfRule>
  </conditionalFormatting>
  <conditionalFormatting sqref="D30:D69 Y47">
    <cfRule type="containsText" dxfId="5" priority="171" operator="containsText" text="B">
      <formula>NOT(ISERROR(SEARCH(("B"),(D30))))</formula>
    </cfRule>
  </conditionalFormatting>
  <conditionalFormatting sqref="D30:D69 Y47">
    <cfRule type="containsText" dxfId="4" priority="172" operator="containsText" text="C">
      <formula>NOT(ISERROR(SEARCH(("C"),(D30))))</formula>
    </cfRule>
  </conditionalFormatting>
  <conditionalFormatting sqref="D30:D69 Y47">
    <cfRule type="containsText" dxfId="5" priority="173" operator="containsText" text="D">
      <formula>NOT(ISERROR(SEARCH(("D"),(D30))))</formula>
    </cfRule>
  </conditionalFormatting>
  <conditionalFormatting sqref="Z30:Z69">
    <cfRule type="containsText" dxfId="5" priority="174" operator="containsText" text="A">
      <formula>NOT(ISERROR(SEARCH(("A"),(Z30))))</formula>
    </cfRule>
  </conditionalFormatting>
  <conditionalFormatting sqref="Z30:Z69">
    <cfRule type="containsText" dxfId="5" priority="175" operator="containsText" text="B">
      <formula>NOT(ISERROR(SEARCH(("B"),(Z30))))</formula>
    </cfRule>
  </conditionalFormatting>
  <conditionalFormatting sqref="Z30:Z69">
    <cfRule type="containsText" dxfId="5" priority="176" operator="containsText" text="C">
      <formula>NOT(ISERROR(SEARCH(("C"),(Z30))))</formula>
    </cfRule>
  </conditionalFormatting>
  <conditionalFormatting sqref="Z30:Z69">
    <cfRule type="containsText" dxfId="4" priority="177" operator="containsText" text="D">
      <formula>NOT(ISERROR(SEARCH(("D"),(Z30))))</formula>
    </cfRule>
  </conditionalFormatting>
  <conditionalFormatting sqref="AA30:AA69">
    <cfRule type="containsText" dxfId="5" priority="178" operator="containsText" text="A">
      <formula>NOT(ISERROR(SEARCH(("A"),(AA30))))</formula>
    </cfRule>
  </conditionalFormatting>
  <conditionalFormatting sqref="AA30:AA69">
    <cfRule type="containsText" dxfId="5" priority="179" operator="containsText" text="B">
      <formula>NOT(ISERROR(SEARCH(("B"),(AA30))))</formula>
    </cfRule>
  </conditionalFormatting>
  <conditionalFormatting sqref="AA30:AA69">
    <cfRule type="containsText" dxfId="4" priority="180" operator="containsText" text="C">
      <formula>NOT(ISERROR(SEARCH(("C"),(AA30))))</formula>
    </cfRule>
  </conditionalFormatting>
  <conditionalFormatting sqref="AA30:AA69">
    <cfRule type="containsText" dxfId="5" priority="181" operator="containsText" text="D">
      <formula>NOT(ISERROR(SEARCH(("D"),(AA30))))</formula>
    </cfRule>
  </conditionalFormatting>
  <conditionalFormatting sqref="D30:AT69">
    <cfRule type="containsText" dxfId="6" priority="182" operator="containsText" text="F">
      <formula>NOT(ISERROR(SEARCH(("F"),(D30))))</formula>
    </cfRule>
  </conditionalFormatting>
  <conditionalFormatting sqref="D30:AT69">
    <cfRule type="containsText" dxfId="5" priority="183" operator="containsText" text="X">
      <formula>NOT(ISERROR(SEARCH(("X"),(D30))))</formula>
    </cfRule>
  </conditionalFormatting>
  <conditionalFormatting sqref="D30:AT69">
    <cfRule type="containsBlanks" dxfId="6" priority="184">
      <formula>LEN(TRIM(D30))=0</formula>
    </cfRule>
  </conditionalFormatting>
  <conditionalFormatting sqref="B30:B69">
    <cfRule type="containsBlanks" dxfId="6" priority="185">
      <formula>LEN(TRIM(B30))=0</formula>
    </cfRule>
  </conditionalFormatting>
  <conditionalFormatting sqref="F30:F69 AA47">
    <cfRule type="containsText" dxfId="5" priority="186" operator="containsText" text="A">
      <formula>NOT(ISERROR(SEARCH(("A"),(F30))))</formula>
    </cfRule>
  </conditionalFormatting>
  <conditionalFormatting sqref="E30:E69 Z47">
    <cfRule type="containsText" dxfId="5" priority="187" operator="containsText" text="A">
      <formula>NOT(ISERROR(SEARCH(("A"),(E30))))</formula>
    </cfRule>
  </conditionalFormatting>
  <conditionalFormatting sqref="E30:E69 Z47">
    <cfRule type="containsText" dxfId="5" priority="188" operator="containsText" text="B">
      <formula>NOT(ISERROR(SEARCH(("B"),(E30))))</formula>
    </cfRule>
  </conditionalFormatting>
  <conditionalFormatting sqref="E30:E69 Z47">
    <cfRule type="containsText" dxfId="4" priority="189" operator="containsText" text="C">
      <formula>NOT(ISERROR(SEARCH(("C"),(E30))))</formula>
    </cfRule>
  </conditionalFormatting>
  <conditionalFormatting sqref="E30:E69 Z47">
    <cfRule type="containsText" dxfId="5" priority="190" operator="containsText" text="D">
      <formula>NOT(ISERROR(SEARCH(("D"),(E30))))</formula>
    </cfRule>
  </conditionalFormatting>
  <hyperlinks>
    <hyperlink r:id="rId1" ref="A23"/>
  </hyperlinks>
  <printOptions horizontalCentered="1"/>
  <pageMargins bottom="0.75" footer="0.0" header="0.0" left="0.7" right="0.7" top="0.75"/>
  <pageSetup fitToHeight="0" paperSize="9" cellComments="atEnd" orientation="landscape"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54" width="4.75"/>
    <col customWidth="1" min="55" max="55" width="2.88"/>
    <col customWidth="1" min="56" max="57" width="4.13"/>
    <col customWidth="1" min="58" max="58" width="4.25"/>
    <col customWidth="1" min="59" max="59" width="4.63"/>
    <col customWidth="1" min="60" max="60" width="4.75"/>
    <col customWidth="1" min="61" max="61" width="4.25"/>
    <col customWidth="1" min="62" max="62" width="14.13"/>
    <col customWidth="1" min="63" max="63" width="1.88"/>
    <col customWidth="1" min="64" max="64" width="5.25"/>
    <col customWidth="1" min="65" max="65" width="5.0"/>
    <col customWidth="1" min="66" max="66" width="14.13"/>
    <col customWidth="1" min="67" max="67" width="5.13"/>
    <col customWidth="1" min="68" max="68" width="4.75"/>
    <col customWidth="1" min="69" max="69" width="15.75"/>
    <col customWidth="1" min="70" max="70"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c r="BL1" s="3"/>
      <c r="BM1" s="3"/>
      <c r="BN1" s="3"/>
      <c r="BO1" s="3"/>
      <c r="BP1" s="3"/>
      <c r="BQ1" s="3"/>
      <c r="BR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c r="BL2" s="3"/>
      <c r="BM2" s="3"/>
      <c r="BN2" s="3"/>
      <c r="BO2" s="3"/>
      <c r="BP2" s="3"/>
      <c r="BQ2" s="3"/>
      <c r="BR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c r="BL3" s="3"/>
      <c r="BM3" s="3"/>
      <c r="BN3" s="3"/>
      <c r="BO3" s="3"/>
      <c r="BP3" s="3"/>
      <c r="BQ3" s="3"/>
      <c r="BR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c r="BL4" s="3"/>
      <c r="BM4" s="3"/>
      <c r="BN4" s="3"/>
      <c r="BO4" s="3"/>
      <c r="BP4" s="3"/>
      <c r="BQ4" s="3"/>
      <c r="BR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c r="BL5" s="3"/>
      <c r="BM5" s="3"/>
      <c r="BN5" s="3"/>
      <c r="BO5" s="3"/>
      <c r="BP5" s="3"/>
      <c r="BQ5" s="3"/>
      <c r="BR5" s="3"/>
    </row>
    <row r="6" ht="25.5" customHeight="1">
      <c r="A6" s="1"/>
      <c r="B6" s="1"/>
      <c r="C6" s="1"/>
      <c r="D6" s="5" t="s">
        <v>0</v>
      </c>
      <c r="BF6" s="4"/>
      <c r="BG6" s="4"/>
      <c r="BH6" s="4"/>
      <c r="BI6" s="3"/>
      <c r="BJ6" s="3"/>
      <c r="BK6" s="3"/>
      <c r="BL6" s="3"/>
      <c r="BM6" s="3"/>
      <c r="BN6" s="3"/>
      <c r="BO6" s="3"/>
      <c r="BP6" s="3"/>
      <c r="BQ6" s="3"/>
      <c r="BR6" s="3"/>
    </row>
    <row r="7" ht="25.5" customHeight="1">
      <c r="A7" s="1"/>
      <c r="B7" s="1"/>
      <c r="C7" s="1"/>
      <c r="BF7" s="4"/>
      <c r="BG7" s="4"/>
      <c r="BH7" s="4"/>
      <c r="BI7" s="3"/>
      <c r="BJ7" s="3"/>
      <c r="BK7" s="3"/>
      <c r="BL7" s="3"/>
      <c r="BM7" s="3"/>
      <c r="BN7" s="3"/>
      <c r="BO7" s="3"/>
      <c r="BP7" s="3"/>
      <c r="BQ7" s="3"/>
      <c r="BR7" s="3"/>
    </row>
    <row r="8" ht="25.5" customHeight="1">
      <c r="A8" s="1"/>
      <c r="B8" s="1"/>
      <c r="C8" s="1"/>
      <c r="BF8" s="4"/>
      <c r="BG8" s="4"/>
      <c r="BH8" s="4"/>
      <c r="BI8" s="3"/>
      <c r="BJ8" s="3"/>
      <c r="BK8" s="3"/>
      <c r="BL8" s="3"/>
      <c r="BM8" s="3"/>
      <c r="BN8" s="3"/>
      <c r="BO8" s="3"/>
      <c r="BP8" s="3"/>
      <c r="BQ8" s="3"/>
      <c r="BR8" s="3"/>
    </row>
    <row r="9" ht="25.5" customHeight="1">
      <c r="A9" s="1"/>
      <c r="B9" s="1"/>
      <c r="C9" s="1"/>
      <c r="D9" s="6" t="s">
        <v>1</v>
      </c>
      <c r="BF9" s="4"/>
      <c r="BG9" s="4"/>
      <c r="BH9" s="4"/>
      <c r="BI9" s="3"/>
      <c r="BJ9" s="3"/>
      <c r="BK9" s="3"/>
      <c r="BL9" s="3"/>
      <c r="BM9" s="3"/>
      <c r="BN9" s="3"/>
      <c r="BO9" s="3"/>
      <c r="BP9" s="3"/>
      <c r="BQ9" s="3"/>
      <c r="BR9" s="3"/>
    </row>
    <row r="10" ht="25.5" customHeight="1">
      <c r="A10" s="1"/>
      <c r="B10" s="1"/>
      <c r="C10" s="1"/>
      <c r="BF10" s="4"/>
      <c r="BG10" s="4"/>
      <c r="BH10" s="4"/>
      <c r="BI10" s="3"/>
      <c r="BJ10" s="3"/>
      <c r="BK10" s="3"/>
      <c r="BL10" s="3"/>
      <c r="BM10" s="3"/>
      <c r="BN10" s="3"/>
      <c r="BO10" s="3"/>
      <c r="BP10" s="3"/>
      <c r="BQ10" s="3"/>
      <c r="BR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c r="BL11" s="3"/>
      <c r="BM11" s="3"/>
      <c r="BN11" s="3"/>
      <c r="BO11" s="3"/>
      <c r="BP11" s="3"/>
      <c r="BQ11" s="3"/>
      <c r="BR11" s="3"/>
    </row>
    <row r="12" ht="25.5" customHeight="1">
      <c r="A12" s="1"/>
      <c r="B12" s="1"/>
      <c r="C12" s="1"/>
      <c r="D12" s="8" t="s">
        <v>2</v>
      </c>
      <c r="BF12" s="4"/>
      <c r="BG12" s="4"/>
      <c r="BH12" s="4"/>
      <c r="BI12" s="3"/>
      <c r="BJ12" s="3"/>
      <c r="BK12" s="3"/>
      <c r="BL12" s="3"/>
      <c r="BM12" s="3"/>
      <c r="BN12" s="3"/>
      <c r="BO12" s="3"/>
      <c r="BP12" s="3"/>
      <c r="BQ12" s="3"/>
      <c r="BR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D13" s="3"/>
      <c r="BE13" s="3"/>
      <c r="BF13" s="3"/>
      <c r="BG13" s="3"/>
      <c r="BH13" s="3"/>
      <c r="BI13" s="3"/>
      <c r="BJ13" s="4"/>
      <c r="BK13" s="4"/>
      <c r="BL13" s="4"/>
      <c r="BM13" s="4"/>
      <c r="BN13" s="4"/>
      <c r="BO13" s="4"/>
      <c r="BP13" s="4"/>
      <c r="BQ13" s="3"/>
      <c r="BR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D14" s="3"/>
      <c r="BE14" s="3"/>
      <c r="BF14" s="3"/>
      <c r="BG14" s="3"/>
      <c r="BH14" s="3"/>
      <c r="BI14" s="3"/>
      <c r="BJ14" s="4"/>
      <c r="BK14" s="4"/>
      <c r="BL14" s="4"/>
      <c r="BM14" s="4"/>
      <c r="BN14" s="4"/>
      <c r="BO14" s="4"/>
      <c r="BP14" s="4"/>
      <c r="BQ14" s="3"/>
      <c r="BR14" s="3"/>
    </row>
    <row r="15" ht="25.5" customHeight="1">
      <c r="A15" s="15" t="s">
        <v>115</v>
      </c>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D15" s="3"/>
      <c r="BE15" s="3"/>
      <c r="BF15" s="3"/>
      <c r="BG15" s="3"/>
      <c r="BH15" s="3"/>
      <c r="BI15" s="3"/>
      <c r="BJ15" s="4"/>
      <c r="BK15" s="4"/>
      <c r="BL15" s="4"/>
      <c r="BM15" s="4"/>
      <c r="BN15" s="4"/>
      <c r="BO15" s="4"/>
      <c r="BP15" s="4"/>
      <c r="BQ15" s="3"/>
      <c r="BR15" s="3"/>
    </row>
    <row r="16" ht="25.5" customHeight="1">
      <c r="A16" s="13"/>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D16" s="3"/>
      <c r="BE16" s="3"/>
      <c r="BF16" s="3"/>
      <c r="BG16" s="3"/>
      <c r="BH16" s="3"/>
      <c r="BI16" s="3"/>
      <c r="BJ16" s="4"/>
      <c r="BK16" s="4"/>
      <c r="BL16" s="4"/>
      <c r="BM16" s="4"/>
      <c r="BN16" s="4"/>
      <c r="BO16" s="4"/>
      <c r="BP16" s="4"/>
      <c r="BQ16" s="3"/>
      <c r="BR16" s="3"/>
    </row>
    <row r="17" ht="21.0" customHeight="1">
      <c r="A17" s="16" t="s">
        <v>4</v>
      </c>
      <c r="C17" s="18">
        <f>COUNTA(B30:B69)</f>
        <v>30</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D17" s="3"/>
      <c r="BE17" s="3"/>
      <c r="BF17" s="3"/>
      <c r="BG17" s="3"/>
      <c r="BH17" s="3"/>
      <c r="BI17" s="3"/>
      <c r="BJ17" s="4"/>
      <c r="BK17" s="4"/>
      <c r="BL17" s="4"/>
      <c r="BM17" s="4"/>
      <c r="BN17" s="4"/>
      <c r="BO17" s="4"/>
      <c r="BP17" s="4"/>
      <c r="BQ17" s="3"/>
      <c r="BR17" s="3"/>
    </row>
    <row r="18" ht="21.75" customHeight="1">
      <c r="A18" s="16" t="s">
        <v>5</v>
      </c>
      <c r="C18" s="18">
        <f>SUMPRODUCT(LEN(D30:D69) - LEN(SUBSTITUTE(SUBSTITUTE(SUBSTITUTE(SUBSTITUTE(SUBSTITUTE(D30:D69,"A",""),"B",""),"C",""),"D",""),"X","")))</f>
        <v>26</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D18" s="3"/>
      <c r="BE18" s="3"/>
      <c r="BF18" s="3"/>
      <c r="BG18" s="3"/>
      <c r="BH18" s="3"/>
      <c r="BI18" s="3"/>
      <c r="BJ18" s="4"/>
      <c r="BK18" s="4"/>
      <c r="BL18" s="4"/>
      <c r="BM18" s="4"/>
      <c r="BN18" s="4"/>
      <c r="BO18" s="4"/>
      <c r="BP18" s="4"/>
      <c r="BQ18" s="3"/>
      <c r="BR18" s="3"/>
    </row>
    <row r="19" ht="21.0" customHeight="1">
      <c r="A19" s="16" t="s">
        <v>6</v>
      </c>
      <c r="C19" s="18">
        <f>COUNTIF(D30:D69,"F")</f>
        <v>4</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D19" s="3"/>
      <c r="BE19" s="3"/>
      <c r="BF19" s="3"/>
      <c r="BG19" s="3"/>
      <c r="BH19" s="3"/>
      <c r="BI19" s="3"/>
      <c r="BJ19" s="4"/>
      <c r="BK19" s="4"/>
      <c r="BL19" s="4"/>
      <c r="BM19" s="4"/>
      <c r="BN19" s="4"/>
      <c r="BO19" s="4"/>
      <c r="BP19" s="4"/>
      <c r="BQ19" s="3"/>
      <c r="BR19" s="3"/>
    </row>
    <row r="20" ht="24.0" customHeight="1">
      <c r="A20" s="16" t="s">
        <v>7</v>
      </c>
      <c r="C20" s="18">
        <f>COUNTIF(C30:C69,"SIM")</f>
        <v>0</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D20" s="3"/>
      <c r="BE20" s="3"/>
      <c r="BF20" s="3"/>
      <c r="BG20" s="3"/>
      <c r="BH20" s="3"/>
      <c r="BI20" s="3"/>
      <c r="BJ20" s="4"/>
      <c r="BK20" s="4"/>
      <c r="BL20" s="4"/>
      <c r="BM20" s="4"/>
      <c r="BN20" s="4"/>
      <c r="BO20" s="4"/>
      <c r="BP20" s="4"/>
      <c r="BQ20" s="3"/>
      <c r="BR20" s="3"/>
    </row>
    <row r="21" ht="24.0" customHeight="1">
      <c r="A21" s="16"/>
      <c r="B21" s="19"/>
      <c r="C21" s="21"/>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D21" s="3"/>
      <c r="BE21" s="3"/>
      <c r="BF21" s="3"/>
      <c r="BG21" s="3"/>
      <c r="BH21" s="3"/>
      <c r="BI21" s="3"/>
      <c r="BJ21" s="4"/>
      <c r="BK21" s="4"/>
      <c r="BL21" s="4"/>
      <c r="BM21" s="4"/>
      <c r="BN21" s="4"/>
      <c r="BO21" s="4"/>
      <c r="BP21" s="4"/>
      <c r="BQ21" s="3"/>
      <c r="BR21" s="3"/>
    </row>
    <row r="22" ht="42.0" customHeight="1">
      <c r="A22" s="228" t="s">
        <v>8</v>
      </c>
      <c r="C22" s="14"/>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D22" s="3"/>
      <c r="BE22" s="3"/>
      <c r="BF22" s="3"/>
      <c r="BG22" s="3"/>
      <c r="BH22" s="3"/>
      <c r="BI22" s="3"/>
      <c r="BJ22" s="4"/>
      <c r="BK22" s="4"/>
      <c r="BL22" s="4"/>
      <c r="BM22" s="4"/>
      <c r="BN22" s="4"/>
      <c r="BO22" s="4"/>
      <c r="BP22" s="4"/>
      <c r="BQ22" s="3"/>
      <c r="BR22" s="3"/>
    </row>
    <row r="23" ht="18.75" customHeight="1">
      <c r="A23" s="229"/>
      <c r="B23" s="224"/>
      <c r="C23" s="231"/>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D23" s="3"/>
      <c r="BE23" s="3"/>
      <c r="BF23" s="3"/>
      <c r="BG23" s="3"/>
      <c r="BH23" s="3"/>
      <c r="BI23" s="3"/>
      <c r="BJ23" s="4"/>
      <c r="BK23" s="4"/>
      <c r="BL23" s="4"/>
      <c r="BM23" s="4"/>
      <c r="BN23" s="4"/>
      <c r="BO23" s="4"/>
      <c r="BP23" s="4"/>
      <c r="BQ23" s="3"/>
      <c r="BR23" s="3"/>
    </row>
    <row r="24" ht="139.5"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D24" s="3"/>
      <c r="BE24" s="3"/>
      <c r="BF24" s="3"/>
      <c r="BG24" s="3"/>
      <c r="BH24" s="3"/>
      <c r="BI24" s="3"/>
      <c r="BJ24" s="4"/>
      <c r="BK24" s="4"/>
      <c r="BL24" s="4"/>
      <c r="BM24" s="4"/>
      <c r="BN24" s="4"/>
      <c r="BO24" s="4"/>
      <c r="BP24" s="4"/>
      <c r="BQ24" s="3"/>
      <c r="BR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41"/>
      <c r="BK25" s="236"/>
      <c r="BL25" s="342" t="s">
        <v>155</v>
      </c>
      <c r="BR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29"/>
      <c r="Y26" s="29"/>
      <c r="Z26" s="29"/>
      <c r="AA26" s="29"/>
      <c r="AB26" s="41"/>
      <c r="AC26" s="42" t="s">
        <v>17</v>
      </c>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41"/>
      <c r="BD26" s="346" t="s">
        <v>89</v>
      </c>
      <c r="BK26" s="347"/>
      <c r="BL26" s="348" t="s">
        <v>158</v>
      </c>
      <c r="BN26" s="349"/>
      <c r="BO26" s="350" t="s">
        <v>17</v>
      </c>
      <c r="BR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8" t="s">
        <v>38</v>
      </c>
      <c r="Y27" s="48" t="s">
        <v>40</v>
      </c>
      <c r="Z27" s="48" t="s">
        <v>110</v>
      </c>
      <c r="AA27" s="48" t="s">
        <v>111</v>
      </c>
      <c r="AB27" s="239" t="s">
        <v>112</v>
      </c>
      <c r="AC27" s="50" t="s">
        <v>409</v>
      </c>
      <c r="AD27" s="51" t="s">
        <v>19</v>
      </c>
      <c r="AE27" s="51" t="s">
        <v>20</v>
      </c>
      <c r="AF27" s="51" t="s">
        <v>21</v>
      </c>
      <c r="AG27" s="51" t="s">
        <v>22</v>
      </c>
      <c r="AH27" s="51" t="s">
        <v>23</v>
      </c>
      <c r="AI27" s="51" t="s">
        <v>24</v>
      </c>
      <c r="AJ27" s="51" t="s">
        <v>25</v>
      </c>
      <c r="AK27" s="51" t="s">
        <v>26</v>
      </c>
      <c r="AL27" s="51" t="s">
        <v>27</v>
      </c>
      <c r="AM27" s="51" t="s">
        <v>28</v>
      </c>
      <c r="AN27" s="51" t="s">
        <v>29</v>
      </c>
      <c r="AO27" s="51" t="s">
        <v>30</v>
      </c>
      <c r="AP27" s="51" t="s">
        <v>31</v>
      </c>
      <c r="AQ27" s="51" t="s">
        <v>32</v>
      </c>
      <c r="AR27" s="51" t="s">
        <v>33</v>
      </c>
      <c r="AS27" s="51" t="s">
        <v>34</v>
      </c>
      <c r="AT27" s="51" t="s">
        <v>35</v>
      </c>
      <c r="AU27" s="51" t="s">
        <v>36</v>
      </c>
      <c r="AV27" s="51" t="s">
        <v>37</v>
      </c>
      <c r="AW27" s="51" t="s">
        <v>38</v>
      </c>
      <c r="AX27" s="51" t="s">
        <v>40</v>
      </c>
      <c r="AY27" s="51" t="s">
        <v>110</v>
      </c>
      <c r="AZ27" s="51" t="s">
        <v>111</v>
      </c>
      <c r="BA27" s="51" t="s">
        <v>112</v>
      </c>
      <c r="BB27" s="51" t="s">
        <v>114</v>
      </c>
      <c r="BD27" s="351" t="s">
        <v>160</v>
      </c>
      <c r="BE27" s="351" t="s">
        <v>161</v>
      </c>
      <c r="BF27" s="351" t="s">
        <v>162</v>
      </c>
      <c r="BG27" s="351" t="s">
        <v>163</v>
      </c>
      <c r="BH27" s="351" t="s">
        <v>164</v>
      </c>
      <c r="BI27" s="352" t="s">
        <v>165</v>
      </c>
      <c r="BJ27" s="353" t="s">
        <v>90</v>
      </c>
      <c r="BK27" s="354"/>
      <c r="BL27" s="355" t="s">
        <v>166</v>
      </c>
      <c r="BM27" s="355" t="s">
        <v>167</v>
      </c>
      <c r="BN27" s="356" t="s">
        <v>168</v>
      </c>
      <c r="BO27" s="450" t="s">
        <v>166</v>
      </c>
      <c r="BP27" s="358" t="s">
        <v>167</v>
      </c>
      <c r="BQ27" s="359" t="s">
        <v>168</v>
      </c>
      <c r="BR27" s="360"/>
    </row>
    <row r="28" ht="19.5" hidden="1" customHeight="1">
      <c r="A28" s="47"/>
      <c r="B28" s="14"/>
      <c r="C28" s="14"/>
      <c r="D28" s="451">
        <v>19.0</v>
      </c>
      <c r="E28" s="451">
        <v>9.0</v>
      </c>
      <c r="F28" s="451">
        <v>19.0</v>
      </c>
      <c r="G28" s="451">
        <v>28.0</v>
      </c>
      <c r="H28" s="451">
        <v>19.0</v>
      </c>
      <c r="I28" s="451">
        <v>28.0</v>
      </c>
      <c r="J28" s="451">
        <v>19.0</v>
      </c>
      <c r="K28" s="451">
        <v>0.0</v>
      </c>
      <c r="L28" s="451">
        <v>28.0</v>
      </c>
      <c r="M28" s="451">
        <v>28.0</v>
      </c>
      <c r="N28" s="451">
        <v>19.0</v>
      </c>
      <c r="O28" s="451">
        <v>19.0</v>
      </c>
      <c r="P28" s="451">
        <v>28.0</v>
      </c>
      <c r="Q28" s="451">
        <v>9.0</v>
      </c>
      <c r="R28" s="451">
        <v>0.0</v>
      </c>
      <c r="S28" s="451">
        <v>19.0</v>
      </c>
      <c r="T28" s="451">
        <v>28.0</v>
      </c>
      <c r="U28" s="451">
        <v>19.0</v>
      </c>
      <c r="V28" s="451">
        <v>28.0</v>
      </c>
      <c r="W28" s="451">
        <v>19.0</v>
      </c>
      <c r="X28" s="451">
        <v>19.0</v>
      </c>
      <c r="Y28" s="451">
        <v>28.0</v>
      </c>
      <c r="Z28" s="451">
        <v>19.0</v>
      </c>
      <c r="AA28" s="451">
        <v>19.0</v>
      </c>
      <c r="AB28" s="452">
        <v>28.0</v>
      </c>
      <c r="AC28" s="453">
        <v>16.0</v>
      </c>
      <c r="AD28" s="454">
        <v>23.0</v>
      </c>
      <c r="AE28" s="454">
        <v>16.0</v>
      </c>
      <c r="AF28" s="454">
        <v>8.0</v>
      </c>
      <c r="AG28" s="454">
        <v>23.0</v>
      </c>
      <c r="AH28" s="454">
        <v>16.0</v>
      </c>
      <c r="AI28" s="454">
        <v>16.0</v>
      </c>
      <c r="AJ28" s="454">
        <v>16.0</v>
      </c>
      <c r="AK28" s="454">
        <v>23.0</v>
      </c>
      <c r="AL28" s="454">
        <v>23.0</v>
      </c>
      <c r="AM28" s="454">
        <v>23.0</v>
      </c>
      <c r="AN28" s="454">
        <v>16.0</v>
      </c>
      <c r="AO28" s="454">
        <v>16.0</v>
      </c>
      <c r="AP28" s="454">
        <v>16.0</v>
      </c>
      <c r="AQ28" s="454">
        <v>16.0</v>
      </c>
      <c r="AR28" s="454">
        <v>23.0</v>
      </c>
      <c r="AS28" s="454">
        <v>23.0</v>
      </c>
      <c r="AT28" s="454">
        <v>23.0</v>
      </c>
      <c r="AU28" s="454">
        <v>16.0</v>
      </c>
      <c r="AV28" s="454">
        <v>23.0</v>
      </c>
      <c r="AW28" s="454">
        <v>23.0</v>
      </c>
      <c r="AX28" s="454">
        <v>16.0</v>
      </c>
      <c r="AY28" s="454">
        <v>23.0</v>
      </c>
      <c r="AZ28" s="454">
        <v>23.0</v>
      </c>
      <c r="BA28" s="454">
        <v>23.0</v>
      </c>
      <c r="BB28" s="454">
        <v>16.0</v>
      </c>
      <c r="BD28" s="47"/>
      <c r="BE28" s="47"/>
      <c r="BF28" s="47"/>
      <c r="BG28" s="47"/>
      <c r="BH28" s="47"/>
      <c r="BI28" s="47"/>
      <c r="BJ28" s="47"/>
      <c r="BK28" s="354"/>
      <c r="BL28" s="47"/>
      <c r="BM28" s="47"/>
      <c r="BN28" s="361"/>
      <c r="BO28" s="14"/>
      <c r="BP28" s="47"/>
      <c r="BQ28" s="47"/>
      <c r="BR28" s="360"/>
    </row>
    <row r="29" ht="19.5" customHeight="1">
      <c r="A29" s="65"/>
      <c r="B29" s="24"/>
      <c r="C29" s="24"/>
      <c r="D29" s="66" t="s">
        <v>44</v>
      </c>
      <c r="E29" s="66" t="s">
        <v>44</v>
      </c>
      <c r="F29" s="66" t="s">
        <v>41</v>
      </c>
      <c r="G29" s="66" t="s">
        <v>42</v>
      </c>
      <c r="H29" s="66" t="s">
        <v>43</v>
      </c>
      <c r="I29" s="66" t="s">
        <v>42</v>
      </c>
      <c r="J29" s="66" t="s">
        <v>41</v>
      </c>
      <c r="K29" s="66" t="s">
        <v>44</v>
      </c>
      <c r="L29" s="66" t="s">
        <v>43</v>
      </c>
      <c r="M29" s="66" t="s">
        <v>42</v>
      </c>
      <c r="N29" s="66" t="s">
        <v>44</v>
      </c>
      <c r="O29" s="66" t="s">
        <v>42</v>
      </c>
      <c r="P29" s="66" t="s">
        <v>42</v>
      </c>
      <c r="Q29" s="66" t="s">
        <v>44</v>
      </c>
      <c r="R29" s="66" t="s">
        <v>44</v>
      </c>
      <c r="S29" s="66" t="s">
        <v>41</v>
      </c>
      <c r="T29" s="66" t="s">
        <v>42</v>
      </c>
      <c r="U29" s="66" t="s">
        <v>44</v>
      </c>
      <c r="V29" s="66" t="s">
        <v>42</v>
      </c>
      <c r="W29" s="66" t="s">
        <v>41</v>
      </c>
      <c r="X29" s="245" t="s">
        <v>44</v>
      </c>
      <c r="Y29" s="66" t="s">
        <v>44</v>
      </c>
      <c r="Z29" s="66" t="s">
        <v>42</v>
      </c>
      <c r="AA29" s="66" t="s">
        <v>42</v>
      </c>
      <c r="AB29" s="246" t="s">
        <v>42</v>
      </c>
      <c r="AC29" s="68" t="s">
        <v>41</v>
      </c>
      <c r="AD29" s="69" t="s">
        <v>42</v>
      </c>
      <c r="AE29" s="69" t="s">
        <v>42</v>
      </c>
      <c r="AF29" s="69" t="s">
        <v>41</v>
      </c>
      <c r="AG29" s="69" t="s">
        <v>41</v>
      </c>
      <c r="AH29" s="69" t="s">
        <v>41</v>
      </c>
      <c r="AI29" s="69" t="s">
        <v>43</v>
      </c>
      <c r="AJ29" s="69" t="s">
        <v>42</v>
      </c>
      <c r="AK29" s="69" t="s">
        <v>43</v>
      </c>
      <c r="AL29" s="69" t="s">
        <v>44</v>
      </c>
      <c r="AM29" s="69" t="s">
        <v>41</v>
      </c>
      <c r="AN29" s="69" t="s">
        <v>42</v>
      </c>
      <c r="AO29" s="69" t="s">
        <v>43</v>
      </c>
      <c r="AP29" s="69" t="s">
        <v>42</v>
      </c>
      <c r="AQ29" s="69" t="s">
        <v>41</v>
      </c>
      <c r="AR29" s="69" t="s">
        <v>44</v>
      </c>
      <c r="AS29" s="69" t="s">
        <v>42</v>
      </c>
      <c r="AT29" s="69" t="s">
        <v>41</v>
      </c>
      <c r="AU29" s="69" t="s">
        <v>43</v>
      </c>
      <c r="AV29" s="69" t="s">
        <v>43</v>
      </c>
      <c r="AW29" s="69" t="s">
        <v>41</v>
      </c>
      <c r="AX29" s="69" t="s">
        <v>42</v>
      </c>
      <c r="AY29" s="69" t="s">
        <v>42</v>
      </c>
      <c r="AZ29" s="69" t="s">
        <v>43</v>
      </c>
      <c r="BA29" s="69" t="s">
        <v>41</v>
      </c>
      <c r="BB29" s="69" t="s">
        <v>43</v>
      </c>
      <c r="BD29" s="65"/>
      <c r="BE29" s="65"/>
      <c r="BF29" s="65"/>
      <c r="BG29" s="65"/>
      <c r="BH29" s="65"/>
      <c r="BI29" s="65"/>
      <c r="BJ29" s="65"/>
      <c r="BK29" s="354"/>
      <c r="BL29" s="65"/>
      <c r="BM29" s="65"/>
      <c r="BN29" s="362"/>
      <c r="BO29" s="24"/>
      <c r="BP29" s="65"/>
      <c r="BQ29" s="65"/>
      <c r="BR29" s="360"/>
    </row>
    <row r="30" ht="15.75" customHeight="1">
      <c r="A30" s="455">
        <v>1.0</v>
      </c>
      <c r="B30" s="71" t="s">
        <v>410</v>
      </c>
      <c r="C30" s="363" t="s">
        <v>170</v>
      </c>
      <c r="D30" s="447" t="s">
        <v>43</v>
      </c>
      <c r="E30" s="456" t="s">
        <v>44</v>
      </c>
      <c r="F30" s="456" t="s">
        <v>41</v>
      </c>
      <c r="G30" s="456" t="s">
        <v>43</v>
      </c>
      <c r="H30" s="456" t="s">
        <v>42</v>
      </c>
      <c r="I30" s="456" t="s">
        <v>42</v>
      </c>
      <c r="J30" s="456" t="s">
        <v>44</v>
      </c>
      <c r="K30" s="456" t="s">
        <v>44</v>
      </c>
      <c r="L30" s="456" t="s">
        <v>43</v>
      </c>
      <c r="M30" s="456" t="s">
        <v>42</v>
      </c>
      <c r="N30" s="456" t="s">
        <v>42</v>
      </c>
      <c r="O30" s="456" t="s">
        <v>42</v>
      </c>
      <c r="P30" s="456" t="s">
        <v>44</v>
      </c>
      <c r="Q30" s="456" t="s">
        <v>42</v>
      </c>
      <c r="R30" s="456" t="s">
        <v>41</v>
      </c>
      <c r="S30" s="456" t="s">
        <v>41</v>
      </c>
      <c r="T30" s="456" t="s">
        <v>42</v>
      </c>
      <c r="U30" s="456" t="s">
        <v>43</v>
      </c>
      <c r="V30" s="456" t="s">
        <v>44</v>
      </c>
      <c r="W30" s="456" t="s">
        <v>42</v>
      </c>
      <c r="X30" s="456" t="s">
        <v>42</v>
      </c>
      <c r="Y30" s="456" t="s">
        <v>42</v>
      </c>
      <c r="Z30" s="456" t="s">
        <v>41</v>
      </c>
      <c r="AA30" s="456" t="s">
        <v>42</v>
      </c>
      <c r="AB30" s="457" t="s">
        <v>41</v>
      </c>
      <c r="AC30" s="456" t="s">
        <v>44</v>
      </c>
      <c r="AD30" s="456" t="s">
        <v>42</v>
      </c>
      <c r="AE30" s="456" t="s">
        <v>43</v>
      </c>
      <c r="AF30" s="456" t="s">
        <v>44</v>
      </c>
      <c r="AG30" s="456" t="s">
        <v>42</v>
      </c>
      <c r="AH30" s="456" t="s">
        <v>41</v>
      </c>
      <c r="AI30" s="456" t="s">
        <v>42</v>
      </c>
      <c r="AJ30" s="456" t="s">
        <v>43</v>
      </c>
      <c r="AK30" s="456" t="s">
        <v>44</v>
      </c>
      <c r="AL30" s="456" t="s">
        <v>42</v>
      </c>
      <c r="AM30" s="456" t="s">
        <v>42</v>
      </c>
      <c r="AN30" s="456" t="s">
        <v>41</v>
      </c>
      <c r="AO30" s="456" t="s">
        <v>41</v>
      </c>
      <c r="AP30" s="456" t="s">
        <v>42</v>
      </c>
      <c r="AQ30" s="456" t="s">
        <v>43</v>
      </c>
      <c r="AR30" s="456" t="s">
        <v>42</v>
      </c>
      <c r="AS30" s="456" t="s">
        <v>41</v>
      </c>
      <c r="AT30" s="456" t="s">
        <v>42</v>
      </c>
      <c r="AU30" s="456" t="s">
        <v>44</v>
      </c>
      <c r="AV30" s="456" t="s">
        <v>43</v>
      </c>
      <c r="AW30" s="456" t="s">
        <v>41</v>
      </c>
      <c r="AX30" s="456" t="s">
        <v>41</v>
      </c>
      <c r="AY30" s="456" t="s">
        <v>42</v>
      </c>
      <c r="AZ30" s="456" t="s">
        <v>44</v>
      </c>
      <c r="BA30" s="456" t="s">
        <v>42</v>
      </c>
      <c r="BB30" s="456" t="s">
        <v>42</v>
      </c>
      <c r="BD30" s="369" t="s">
        <v>44</v>
      </c>
      <c r="BE30" s="458">
        <v>3.0</v>
      </c>
      <c r="BF30" s="458">
        <v>3.0</v>
      </c>
      <c r="BG30" s="458">
        <v>3.0</v>
      </c>
      <c r="BH30" s="458">
        <v>3.0</v>
      </c>
      <c r="BI30" s="371">
        <f t="shared" ref="BI30:BI59" si="1">(100/16)*((SUM(BE30:BH30)))</f>
        <v>75</v>
      </c>
      <c r="BJ30" s="377" t="str">
        <f t="shared" ref="BJ30:BJ59" si="2">IF((SUM(BI30))&lt;=25, "Abaixo do Básico", IF((SUM(BI30))&lt;=50, "Básico", IF((SUM(BI30))&lt;=75, "Adequado", "Avançado")))</f>
        <v>Adequado</v>
      </c>
      <c r="BK30" s="373"/>
      <c r="BL30" s="374">
        <f t="shared" ref="BL30:BL59" si="3">SUMPRODUCT(--(D30:AB30=D$29:AB$29))</f>
        <v>10</v>
      </c>
      <c r="BM30" s="374">
        <f t="shared" ref="BM30:BM59" si="4">SUMPRODUCT((D30:AB30=D$29:AB$29)*D$28:AB$28)</f>
        <v>197</v>
      </c>
      <c r="BN30" s="459" t="str">
        <f t="shared" ref="BN30:BN59" si="5">IF((SUM(BM30))&lt;=125, "Abaixo do Básico", IF((SUM(BM30))&lt;=250, "Básico", IF((SUM(BM30))&lt;=375, "Adequado", "Avançado")))</f>
        <v>Básico</v>
      </c>
      <c r="BO30" s="376">
        <f t="shared" ref="BO30:BO59" si="6">SUMPRODUCT(--(AC30:BB30=AC$29:BB$29))</f>
        <v>6</v>
      </c>
      <c r="BP30" s="374">
        <f t="shared" ref="BP30:BP59" si="7">SUMPRODUCT((AC30:BB30=AC$29:BB$29)*AC$28:BB$28)</f>
        <v>124</v>
      </c>
      <c r="BQ30" s="377" t="str">
        <f t="shared" ref="BQ30:BQ59" si="8">IF((SUM(BP30))&lt;=125, "Abaixo do Básico", IF((SUM(BP30))&lt;=250, "Básico", IF((SUM(BP30))&lt;=375, "Adequado", "Avançado")))</f>
        <v>Abaixo do Básico</v>
      </c>
      <c r="BR30" s="25"/>
    </row>
    <row r="31" ht="15.75" customHeight="1">
      <c r="A31" s="455">
        <v>2.0</v>
      </c>
      <c r="B31" s="378" t="s">
        <v>411</v>
      </c>
      <c r="C31" s="363" t="s">
        <v>170</v>
      </c>
      <c r="D31" s="447" t="s">
        <v>172</v>
      </c>
      <c r="E31" s="456" t="s">
        <v>172</v>
      </c>
      <c r="F31" s="456" t="s">
        <v>172</v>
      </c>
      <c r="G31" s="456" t="s">
        <v>172</v>
      </c>
      <c r="H31" s="456" t="s">
        <v>172</v>
      </c>
      <c r="I31" s="456" t="s">
        <v>172</v>
      </c>
      <c r="J31" s="456" t="s">
        <v>172</v>
      </c>
      <c r="K31" s="456" t="s">
        <v>172</v>
      </c>
      <c r="L31" s="456" t="s">
        <v>172</v>
      </c>
      <c r="M31" s="456" t="s">
        <v>172</v>
      </c>
      <c r="N31" s="456" t="s">
        <v>172</v>
      </c>
      <c r="O31" s="456" t="s">
        <v>172</v>
      </c>
      <c r="P31" s="456" t="s">
        <v>172</v>
      </c>
      <c r="Q31" s="456" t="s">
        <v>172</v>
      </c>
      <c r="R31" s="456" t="s">
        <v>172</v>
      </c>
      <c r="S31" s="456" t="s">
        <v>172</v>
      </c>
      <c r="T31" s="456" t="s">
        <v>172</v>
      </c>
      <c r="U31" s="456" t="s">
        <v>172</v>
      </c>
      <c r="V31" s="456" t="s">
        <v>172</v>
      </c>
      <c r="W31" s="456" t="s">
        <v>172</v>
      </c>
      <c r="X31" s="456" t="s">
        <v>172</v>
      </c>
      <c r="Y31" s="456" t="s">
        <v>172</v>
      </c>
      <c r="Z31" s="456" t="s">
        <v>172</v>
      </c>
      <c r="AA31" s="456" t="s">
        <v>172</v>
      </c>
      <c r="AB31" s="457" t="s">
        <v>172</v>
      </c>
      <c r="AC31" s="456" t="s">
        <v>172</v>
      </c>
      <c r="AD31" s="456" t="s">
        <v>172</v>
      </c>
      <c r="AE31" s="456" t="s">
        <v>172</v>
      </c>
      <c r="AF31" s="456" t="s">
        <v>172</v>
      </c>
      <c r="AG31" s="456" t="s">
        <v>172</v>
      </c>
      <c r="AH31" s="456" t="s">
        <v>172</v>
      </c>
      <c r="AI31" s="456" t="s">
        <v>172</v>
      </c>
      <c r="AJ31" s="456" t="s">
        <v>172</v>
      </c>
      <c r="AK31" s="456" t="s">
        <v>172</v>
      </c>
      <c r="AL31" s="456" t="s">
        <v>172</v>
      </c>
      <c r="AM31" s="456" t="s">
        <v>172</v>
      </c>
      <c r="AN31" s="456" t="s">
        <v>172</v>
      </c>
      <c r="AO31" s="456" t="s">
        <v>172</v>
      </c>
      <c r="AP31" s="456" t="s">
        <v>172</v>
      </c>
      <c r="AQ31" s="456" t="s">
        <v>172</v>
      </c>
      <c r="AR31" s="456" t="s">
        <v>172</v>
      </c>
      <c r="AS31" s="456" t="s">
        <v>172</v>
      </c>
      <c r="AT31" s="456" t="s">
        <v>172</v>
      </c>
      <c r="AU31" s="456" t="s">
        <v>172</v>
      </c>
      <c r="AV31" s="456" t="s">
        <v>172</v>
      </c>
      <c r="AW31" s="456" t="s">
        <v>172</v>
      </c>
      <c r="AX31" s="456" t="s">
        <v>172</v>
      </c>
      <c r="AY31" s="456" t="s">
        <v>172</v>
      </c>
      <c r="AZ31" s="456" t="s">
        <v>172</v>
      </c>
      <c r="BA31" s="456" t="s">
        <v>172</v>
      </c>
      <c r="BB31" s="456" t="s">
        <v>172</v>
      </c>
      <c r="BD31" s="369" t="s">
        <v>172</v>
      </c>
      <c r="BE31" s="458" t="s">
        <v>173</v>
      </c>
      <c r="BF31" s="458" t="s">
        <v>173</v>
      </c>
      <c r="BG31" s="458" t="s">
        <v>173</v>
      </c>
      <c r="BH31" s="458" t="s">
        <v>173</v>
      </c>
      <c r="BI31" s="371">
        <f t="shared" si="1"/>
        <v>0</v>
      </c>
      <c r="BJ31" s="377" t="str">
        <f t="shared" si="2"/>
        <v>Abaixo do Básico</v>
      </c>
      <c r="BK31" s="373"/>
      <c r="BL31" s="374">
        <f t="shared" si="3"/>
        <v>0</v>
      </c>
      <c r="BM31" s="374">
        <f t="shared" si="4"/>
        <v>0</v>
      </c>
      <c r="BN31" s="459" t="str">
        <f t="shared" si="5"/>
        <v>Abaixo do Básico</v>
      </c>
      <c r="BO31" s="376">
        <f t="shared" si="6"/>
        <v>0</v>
      </c>
      <c r="BP31" s="374">
        <f t="shared" si="7"/>
        <v>0</v>
      </c>
      <c r="BQ31" s="377" t="str">
        <f t="shared" si="8"/>
        <v>Abaixo do Básico</v>
      </c>
      <c r="BR31" s="25"/>
    </row>
    <row r="32" ht="15.75" customHeight="1">
      <c r="A32" s="455">
        <v>3.0</v>
      </c>
      <c r="B32" s="378" t="s">
        <v>412</v>
      </c>
      <c r="C32" s="363" t="s">
        <v>170</v>
      </c>
      <c r="D32" s="447" t="s">
        <v>43</v>
      </c>
      <c r="E32" s="456" t="s">
        <v>41</v>
      </c>
      <c r="F32" s="456" t="s">
        <v>41</v>
      </c>
      <c r="G32" s="456" t="s">
        <v>43</v>
      </c>
      <c r="H32" s="456" t="s">
        <v>43</v>
      </c>
      <c r="I32" s="456" t="s">
        <v>44</v>
      </c>
      <c r="J32" s="456" t="s">
        <v>42</v>
      </c>
      <c r="K32" s="456" t="s">
        <v>41</v>
      </c>
      <c r="L32" s="456" t="s">
        <v>41</v>
      </c>
      <c r="M32" s="456" t="s">
        <v>42</v>
      </c>
      <c r="N32" s="456" t="s">
        <v>44</v>
      </c>
      <c r="O32" s="456" t="s">
        <v>43</v>
      </c>
      <c r="P32" s="456" t="s">
        <v>41</v>
      </c>
      <c r="Q32" s="456" t="s">
        <v>44</v>
      </c>
      <c r="R32" s="456" t="s">
        <v>41</v>
      </c>
      <c r="S32" s="456" t="s">
        <v>41</v>
      </c>
      <c r="T32" s="456" t="s">
        <v>42</v>
      </c>
      <c r="U32" s="456" t="s">
        <v>44</v>
      </c>
      <c r="V32" s="456" t="s">
        <v>43</v>
      </c>
      <c r="W32" s="456" t="s">
        <v>42</v>
      </c>
      <c r="X32" s="456" t="s">
        <v>41</v>
      </c>
      <c r="Y32" s="456" t="s">
        <v>41</v>
      </c>
      <c r="Z32" s="456" t="s">
        <v>43</v>
      </c>
      <c r="AA32" s="456" t="s">
        <v>42</v>
      </c>
      <c r="AB32" s="457" t="s">
        <v>41</v>
      </c>
      <c r="AC32" s="456" t="s">
        <v>41</v>
      </c>
      <c r="AD32" s="456" t="s">
        <v>41</v>
      </c>
      <c r="AE32" s="456" t="s">
        <v>44</v>
      </c>
      <c r="AF32" s="456" t="s">
        <v>42</v>
      </c>
      <c r="AG32" s="456" t="s">
        <v>44</v>
      </c>
      <c r="AH32" s="456" t="s">
        <v>41</v>
      </c>
      <c r="AI32" s="456" t="s">
        <v>44</v>
      </c>
      <c r="AJ32" s="456" t="s">
        <v>41</v>
      </c>
      <c r="AK32" s="456" t="s">
        <v>41</v>
      </c>
      <c r="AL32" s="456" t="s">
        <v>43</v>
      </c>
      <c r="AM32" s="456" t="s">
        <v>42</v>
      </c>
      <c r="AN32" s="456" t="s">
        <v>41</v>
      </c>
      <c r="AO32" s="456" t="s">
        <v>41</v>
      </c>
      <c r="AP32" s="456" t="s">
        <v>43</v>
      </c>
      <c r="AQ32" s="456" t="s">
        <v>44</v>
      </c>
      <c r="AR32" s="456" t="s">
        <v>43</v>
      </c>
      <c r="AS32" s="456" t="s">
        <v>42</v>
      </c>
      <c r="AT32" s="456" t="s">
        <v>41</v>
      </c>
      <c r="AU32" s="456" t="s">
        <v>41</v>
      </c>
      <c r="AV32" s="456" t="s">
        <v>43</v>
      </c>
      <c r="AW32" s="456" t="s">
        <v>42</v>
      </c>
      <c r="AX32" s="456" t="s">
        <v>43</v>
      </c>
      <c r="AY32" s="456" t="s">
        <v>44</v>
      </c>
      <c r="AZ32" s="456" t="s">
        <v>44</v>
      </c>
      <c r="BA32" s="456" t="s">
        <v>41</v>
      </c>
      <c r="BB32" s="456" t="s">
        <v>41</v>
      </c>
      <c r="BD32" s="369" t="s">
        <v>44</v>
      </c>
      <c r="BE32" s="458">
        <v>1.0</v>
      </c>
      <c r="BF32" s="458">
        <v>1.0</v>
      </c>
      <c r="BG32" s="458">
        <v>1.0</v>
      </c>
      <c r="BH32" s="458">
        <v>1.0</v>
      </c>
      <c r="BI32" s="371">
        <f t="shared" si="1"/>
        <v>25</v>
      </c>
      <c r="BJ32" s="377" t="str">
        <f t="shared" si="2"/>
        <v>Abaixo do Básico</v>
      </c>
      <c r="BK32" s="373"/>
      <c r="BL32" s="374">
        <f t="shared" si="3"/>
        <v>9</v>
      </c>
      <c r="BM32" s="374">
        <f t="shared" si="4"/>
        <v>179</v>
      </c>
      <c r="BN32" s="459" t="str">
        <f t="shared" si="5"/>
        <v>Básico</v>
      </c>
      <c r="BO32" s="376">
        <f t="shared" si="6"/>
        <v>6</v>
      </c>
      <c r="BP32" s="374">
        <f t="shared" si="7"/>
        <v>124</v>
      </c>
      <c r="BQ32" s="377" t="str">
        <f t="shared" si="8"/>
        <v>Abaixo do Básico</v>
      </c>
      <c r="BR32" s="25"/>
    </row>
    <row r="33" ht="15.75" customHeight="1">
      <c r="A33" s="455">
        <v>4.0</v>
      </c>
      <c r="B33" s="378" t="s">
        <v>413</v>
      </c>
      <c r="C33" s="363" t="s">
        <v>170</v>
      </c>
      <c r="D33" s="447" t="s">
        <v>172</v>
      </c>
      <c r="E33" s="456" t="s">
        <v>172</v>
      </c>
      <c r="F33" s="456" t="s">
        <v>172</v>
      </c>
      <c r="G33" s="456" t="s">
        <v>172</v>
      </c>
      <c r="H33" s="456" t="s">
        <v>172</v>
      </c>
      <c r="I33" s="456" t="s">
        <v>172</v>
      </c>
      <c r="J33" s="456" t="s">
        <v>172</v>
      </c>
      <c r="K33" s="456" t="s">
        <v>172</v>
      </c>
      <c r="L33" s="456" t="s">
        <v>172</v>
      </c>
      <c r="M33" s="456" t="s">
        <v>172</v>
      </c>
      <c r="N33" s="456" t="s">
        <v>172</v>
      </c>
      <c r="O33" s="456" t="s">
        <v>172</v>
      </c>
      <c r="P33" s="456" t="s">
        <v>172</v>
      </c>
      <c r="Q33" s="456" t="s">
        <v>172</v>
      </c>
      <c r="R33" s="456" t="s">
        <v>172</v>
      </c>
      <c r="S33" s="456" t="s">
        <v>172</v>
      </c>
      <c r="T33" s="456" t="s">
        <v>172</v>
      </c>
      <c r="U33" s="456" t="s">
        <v>172</v>
      </c>
      <c r="V33" s="456" t="s">
        <v>172</v>
      </c>
      <c r="W33" s="456" t="s">
        <v>172</v>
      </c>
      <c r="X33" s="456" t="s">
        <v>172</v>
      </c>
      <c r="Y33" s="456" t="s">
        <v>172</v>
      </c>
      <c r="Z33" s="456" t="s">
        <v>172</v>
      </c>
      <c r="AA33" s="456" t="s">
        <v>172</v>
      </c>
      <c r="AB33" s="457" t="s">
        <v>172</v>
      </c>
      <c r="AC33" s="456" t="s">
        <v>172</v>
      </c>
      <c r="AD33" s="456" t="s">
        <v>172</v>
      </c>
      <c r="AE33" s="456" t="s">
        <v>172</v>
      </c>
      <c r="AF33" s="456" t="s">
        <v>172</v>
      </c>
      <c r="AG33" s="456" t="s">
        <v>172</v>
      </c>
      <c r="AH33" s="456" t="s">
        <v>172</v>
      </c>
      <c r="AI33" s="456" t="s">
        <v>172</v>
      </c>
      <c r="AJ33" s="456" t="s">
        <v>172</v>
      </c>
      <c r="AK33" s="456" t="s">
        <v>172</v>
      </c>
      <c r="AL33" s="456" t="s">
        <v>172</v>
      </c>
      <c r="AM33" s="456" t="s">
        <v>172</v>
      </c>
      <c r="AN33" s="456" t="s">
        <v>172</v>
      </c>
      <c r="AO33" s="456" t="s">
        <v>172</v>
      </c>
      <c r="AP33" s="456" t="s">
        <v>172</v>
      </c>
      <c r="AQ33" s="456" t="s">
        <v>172</v>
      </c>
      <c r="AR33" s="456" t="s">
        <v>172</v>
      </c>
      <c r="AS33" s="456" t="s">
        <v>172</v>
      </c>
      <c r="AT33" s="456" t="s">
        <v>172</v>
      </c>
      <c r="AU33" s="456" t="s">
        <v>172</v>
      </c>
      <c r="AV33" s="456" t="s">
        <v>172</v>
      </c>
      <c r="AW33" s="456" t="s">
        <v>172</v>
      </c>
      <c r="AX33" s="456" t="s">
        <v>172</v>
      </c>
      <c r="AY33" s="456" t="s">
        <v>172</v>
      </c>
      <c r="AZ33" s="456" t="s">
        <v>172</v>
      </c>
      <c r="BA33" s="456" t="s">
        <v>172</v>
      </c>
      <c r="BB33" s="456" t="s">
        <v>172</v>
      </c>
      <c r="BD33" s="369" t="s">
        <v>172</v>
      </c>
      <c r="BE33" s="458" t="s">
        <v>173</v>
      </c>
      <c r="BF33" s="458" t="s">
        <v>173</v>
      </c>
      <c r="BG33" s="458" t="s">
        <v>173</v>
      </c>
      <c r="BH33" s="458" t="s">
        <v>173</v>
      </c>
      <c r="BI33" s="371">
        <f t="shared" si="1"/>
        <v>0</v>
      </c>
      <c r="BJ33" s="377" t="str">
        <f t="shared" si="2"/>
        <v>Abaixo do Básico</v>
      </c>
      <c r="BK33" s="373"/>
      <c r="BL33" s="374">
        <f t="shared" si="3"/>
        <v>0</v>
      </c>
      <c r="BM33" s="374">
        <f t="shared" si="4"/>
        <v>0</v>
      </c>
      <c r="BN33" s="459" t="str">
        <f t="shared" si="5"/>
        <v>Abaixo do Básico</v>
      </c>
      <c r="BO33" s="376">
        <f t="shared" si="6"/>
        <v>0</v>
      </c>
      <c r="BP33" s="374">
        <f t="shared" si="7"/>
        <v>0</v>
      </c>
      <c r="BQ33" s="377" t="str">
        <f t="shared" si="8"/>
        <v>Abaixo do Básico</v>
      </c>
      <c r="BR33" s="25"/>
    </row>
    <row r="34" ht="15.75" customHeight="1">
      <c r="A34" s="455">
        <v>5.0</v>
      </c>
      <c r="B34" s="378" t="s">
        <v>414</v>
      </c>
      <c r="C34" s="363" t="s">
        <v>170</v>
      </c>
      <c r="D34" s="447" t="s">
        <v>172</v>
      </c>
      <c r="E34" s="456" t="s">
        <v>172</v>
      </c>
      <c r="F34" s="456" t="s">
        <v>172</v>
      </c>
      <c r="G34" s="456" t="s">
        <v>172</v>
      </c>
      <c r="H34" s="456" t="s">
        <v>172</v>
      </c>
      <c r="I34" s="456" t="s">
        <v>172</v>
      </c>
      <c r="J34" s="456" t="s">
        <v>172</v>
      </c>
      <c r="K34" s="456" t="s">
        <v>172</v>
      </c>
      <c r="L34" s="456" t="s">
        <v>172</v>
      </c>
      <c r="M34" s="456" t="s">
        <v>172</v>
      </c>
      <c r="N34" s="456" t="s">
        <v>172</v>
      </c>
      <c r="O34" s="456" t="s">
        <v>172</v>
      </c>
      <c r="P34" s="456" t="s">
        <v>172</v>
      </c>
      <c r="Q34" s="456" t="s">
        <v>172</v>
      </c>
      <c r="R34" s="456" t="s">
        <v>172</v>
      </c>
      <c r="S34" s="456" t="s">
        <v>172</v>
      </c>
      <c r="T34" s="456" t="s">
        <v>172</v>
      </c>
      <c r="U34" s="456" t="s">
        <v>172</v>
      </c>
      <c r="V34" s="456" t="s">
        <v>172</v>
      </c>
      <c r="W34" s="456" t="s">
        <v>172</v>
      </c>
      <c r="X34" s="456" t="s">
        <v>172</v>
      </c>
      <c r="Y34" s="456" t="s">
        <v>172</v>
      </c>
      <c r="Z34" s="456" t="s">
        <v>172</v>
      </c>
      <c r="AA34" s="456" t="s">
        <v>172</v>
      </c>
      <c r="AB34" s="457" t="s">
        <v>172</v>
      </c>
      <c r="AC34" s="456" t="s">
        <v>41</v>
      </c>
      <c r="AD34" s="456" t="s">
        <v>42</v>
      </c>
      <c r="AE34" s="456" t="s">
        <v>41</v>
      </c>
      <c r="AF34" s="456" t="s">
        <v>44</v>
      </c>
      <c r="AG34" s="456" t="s">
        <v>44</v>
      </c>
      <c r="AH34" s="456" t="s">
        <v>42</v>
      </c>
      <c r="AI34" s="456" t="s">
        <v>43</v>
      </c>
      <c r="AJ34" s="456" t="s">
        <v>44</v>
      </c>
      <c r="AK34" s="456" t="s">
        <v>41</v>
      </c>
      <c r="AL34" s="456" t="s">
        <v>42</v>
      </c>
      <c r="AM34" s="456" t="s">
        <v>41</v>
      </c>
      <c r="AN34" s="456" t="s">
        <v>42</v>
      </c>
      <c r="AO34" s="456" t="s">
        <v>42</v>
      </c>
      <c r="AP34" s="456" t="s">
        <v>41</v>
      </c>
      <c r="AQ34" s="456" t="s">
        <v>42</v>
      </c>
      <c r="AR34" s="456" t="s">
        <v>42</v>
      </c>
      <c r="AS34" s="456" t="s">
        <v>43</v>
      </c>
      <c r="AT34" s="456" t="s">
        <v>41</v>
      </c>
      <c r="AU34" s="456" t="s">
        <v>44</v>
      </c>
      <c r="AV34" s="456" t="s">
        <v>41</v>
      </c>
      <c r="AW34" s="456" t="s">
        <v>42</v>
      </c>
      <c r="AX34" s="456" t="s">
        <v>41</v>
      </c>
      <c r="AY34" s="456" t="s">
        <v>42</v>
      </c>
      <c r="AZ34" s="456" t="s">
        <v>41</v>
      </c>
      <c r="BA34" s="456" t="s">
        <v>41</v>
      </c>
      <c r="BB34" s="456" t="s">
        <v>42</v>
      </c>
      <c r="BD34" s="369" t="s">
        <v>172</v>
      </c>
      <c r="BE34" s="458" t="s">
        <v>173</v>
      </c>
      <c r="BF34" s="458" t="s">
        <v>173</v>
      </c>
      <c r="BG34" s="458" t="s">
        <v>173</v>
      </c>
      <c r="BH34" s="458" t="s">
        <v>173</v>
      </c>
      <c r="BI34" s="371">
        <f t="shared" si="1"/>
        <v>0</v>
      </c>
      <c r="BJ34" s="377" t="str">
        <f t="shared" si="2"/>
        <v>Abaixo do Básico</v>
      </c>
      <c r="BK34" s="373"/>
      <c r="BL34" s="374">
        <f t="shared" si="3"/>
        <v>0</v>
      </c>
      <c r="BM34" s="374">
        <f t="shared" si="4"/>
        <v>0</v>
      </c>
      <c r="BN34" s="459" t="str">
        <f t="shared" si="5"/>
        <v>Abaixo do Básico</v>
      </c>
      <c r="BO34" s="376">
        <f t="shared" si="6"/>
        <v>8</v>
      </c>
      <c r="BP34" s="374">
        <f t="shared" si="7"/>
        <v>163</v>
      </c>
      <c r="BQ34" s="377" t="str">
        <f t="shared" si="8"/>
        <v>Básico</v>
      </c>
      <c r="BR34" s="25"/>
    </row>
    <row r="35" ht="15.75" customHeight="1">
      <c r="A35" s="455">
        <v>6.0</v>
      </c>
      <c r="B35" s="378" t="s">
        <v>415</v>
      </c>
      <c r="C35" s="363" t="s">
        <v>170</v>
      </c>
      <c r="D35" s="447" t="s">
        <v>44</v>
      </c>
      <c r="E35" s="456" t="s">
        <v>41</v>
      </c>
      <c r="F35" s="456" t="s">
        <v>42</v>
      </c>
      <c r="G35" s="456" t="s">
        <v>41</v>
      </c>
      <c r="H35" s="456" t="s">
        <v>43</v>
      </c>
      <c r="I35" s="456" t="s">
        <v>44</v>
      </c>
      <c r="J35" s="456" t="s">
        <v>42</v>
      </c>
      <c r="K35" s="456" t="s">
        <v>42</v>
      </c>
      <c r="L35" s="456" t="s">
        <v>41</v>
      </c>
      <c r="M35" s="456" t="s">
        <v>43</v>
      </c>
      <c r="N35" s="456" t="s">
        <v>41</v>
      </c>
      <c r="O35" s="456" t="s">
        <v>44</v>
      </c>
      <c r="P35" s="456" t="s">
        <v>41</v>
      </c>
      <c r="Q35" s="456" t="s">
        <v>42</v>
      </c>
      <c r="R35" s="456" t="s">
        <v>41</v>
      </c>
      <c r="S35" s="456" t="s">
        <v>42</v>
      </c>
      <c r="T35" s="456" t="s">
        <v>43</v>
      </c>
      <c r="U35" s="456" t="s">
        <v>44</v>
      </c>
      <c r="V35" s="456" t="s">
        <v>42</v>
      </c>
      <c r="W35" s="456" t="s">
        <v>41</v>
      </c>
      <c r="X35" s="456" t="s">
        <v>44</v>
      </c>
      <c r="Y35" s="456" t="s">
        <v>41</v>
      </c>
      <c r="Z35" s="456" t="s">
        <v>41</v>
      </c>
      <c r="AA35" s="456" t="s">
        <v>41</v>
      </c>
      <c r="AB35" s="457" t="s">
        <v>42</v>
      </c>
      <c r="AC35" s="456" t="s">
        <v>42</v>
      </c>
      <c r="AD35" s="456" t="s">
        <v>41</v>
      </c>
      <c r="AE35" s="456" t="s">
        <v>42</v>
      </c>
      <c r="AF35" s="456" t="s">
        <v>41</v>
      </c>
      <c r="AG35" s="456" t="s">
        <v>42</v>
      </c>
      <c r="AH35" s="456" t="s">
        <v>43</v>
      </c>
      <c r="AI35" s="456" t="s">
        <v>44</v>
      </c>
      <c r="AJ35" s="456" t="s">
        <v>41</v>
      </c>
      <c r="AK35" s="456" t="s">
        <v>42</v>
      </c>
      <c r="AL35" s="456" t="s">
        <v>42</v>
      </c>
      <c r="AM35" s="456" t="s">
        <v>42</v>
      </c>
      <c r="AN35" s="456" t="s">
        <v>41</v>
      </c>
      <c r="AO35" s="456" t="s">
        <v>43</v>
      </c>
      <c r="AP35" s="456" t="s">
        <v>41</v>
      </c>
      <c r="AQ35" s="456" t="s">
        <v>42</v>
      </c>
      <c r="AR35" s="456" t="s">
        <v>41</v>
      </c>
      <c r="AS35" s="456" t="s">
        <v>44</v>
      </c>
      <c r="AT35" s="456" t="s">
        <v>43</v>
      </c>
      <c r="AU35" s="456" t="s">
        <v>44</v>
      </c>
      <c r="AV35" s="456" t="s">
        <v>41</v>
      </c>
      <c r="AW35" s="456" t="s">
        <v>42</v>
      </c>
      <c r="AX35" s="456" t="s">
        <v>43</v>
      </c>
      <c r="AY35" s="456" t="s">
        <v>44</v>
      </c>
      <c r="AZ35" s="456" t="s">
        <v>41</v>
      </c>
      <c r="BA35" s="456" t="s">
        <v>44</v>
      </c>
      <c r="BB35" s="456" t="s">
        <v>41</v>
      </c>
      <c r="BD35" s="369" t="s">
        <v>44</v>
      </c>
      <c r="BE35" s="458">
        <v>2.0</v>
      </c>
      <c r="BF35" s="458">
        <v>2.0</v>
      </c>
      <c r="BG35" s="458">
        <v>2.0</v>
      </c>
      <c r="BH35" s="458">
        <v>2.0</v>
      </c>
      <c r="BI35" s="371">
        <f t="shared" si="1"/>
        <v>50</v>
      </c>
      <c r="BJ35" s="377" t="str">
        <f t="shared" si="2"/>
        <v>Básico</v>
      </c>
      <c r="BK35" s="373"/>
      <c r="BL35" s="374">
        <f t="shared" si="3"/>
        <v>7</v>
      </c>
      <c r="BM35" s="374">
        <f t="shared" si="4"/>
        <v>151</v>
      </c>
      <c r="BN35" s="459" t="str">
        <f t="shared" si="5"/>
        <v>Básico</v>
      </c>
      <c r="BO35" s="376">
        <f t="shared" si="6"/>
        <v>3</v>
      </c>
      <c r="BP35" s="374">
        <f t="shared" si="7"/>
        <v>40</v>
      </c>
      <c r="BQ35" s="377" t="str">
        <f t="shared" si="8"/>
        <v>Abaixo do Básico</v>
      </c>
      <c r="BR35" s="25"/>
    </row>
    <row r="36" ht="15.75" customHeight="1">
      <c r="A36" s="455">
        <v>7.0</v>
      </c>
      <c r="B36" s="378" t="s">
        <v>416</v>
      </c>
      <c r="C36" s="363" t="s">
        <v>170</v>
      </c>
      <c r="D36" s="447" t="s">
        <v>44</v>
      </c>
      <c r="E36" s="456" t="s">
        <v>43</v>
      </c>
      <c r="F36" s="456" t="s">
        <v>41</v>
      </c>
      <c r="G36" s="456" t="s">
        <v>42</v>
      </c>
      <c r="H36" s="456" t="s">
        <v>44</v>
      </c>
      <c r="I36" s="456" t="s">
        <v>41</v>
      </c>
      <c r="J36" s="456" t="s">
        <v>44</v>
      </c>
      <c r="K36" s="456" t="s">
        <v>43</v>
      </c>
      <c r="L36" s="456" t="s">
        <v>41</v>
      </c>
      <c r="M36" s="456" t="s">
        <v>41</v>
      </c>
      <c r="N36" s="456" t="s">
        <v>44</v>
      </c>
      <c r="O36" s="456" t="s">
        <v>42</v>
      </c>
      <c r="P36" s="456" t="s">
        <v>43</v>
      </c>
      <c r="Q36" s="456" t="s">
        <v>44</v>
      </c>
      <c r="R36" s="456" t="s">
        <v>41</v>
      </c>
      <c r="S36" s="456" t="s">
        <v>42</v>
      </c>
      <c r="T36" s="456" t="s">
        <v>42</v>
      </c>
      <c r="U36" s="456" t="s">
        <v>44</v>
      </c>
      <c r="V36" s="456" t="s">
        <v>43</v>
      </c>
      <c r="W36" s="456" t="s">
        <v>42</v>
      </c>
      <c r="X36" s="456" t="s">
        <v>41</v>
      </c>
      <c r="Y36" s="456" t="s">
        <v>42</v>
      </c>
      <c r="Z36" s="456" t="s">
        <v>41</v>
      </c>
      <c r="AA36" s="456" t="s">
        <v>42</v>
      </c>
      <c r="AB36" s="457" t="s">
        <v>42</v>
      </c>
      <c r="AC36" s="456" t="s">
        <v>43</v>
      </c>
      <c r="AD36" s="456" t="s">
        <v>42</v>
      </c>
      <c r="AE36" s="456" t="s">
        <v>41</v>
      </c>
      <c r="AF36" s="456" t="s">
        <v>43</v>
      </c>
      <c r="AG36" s="456" t="s">
        <v>42</v>
      </c>
      <c r="AH36" s="456" t="s">
        <v>42</v>
      </c>
      <c r="AI36" s="456" t="s">
        <v>41</v>
      </c>
      <c r="AJ36" s="456" t="s">
        <v>44</v>
      </c>
      <c r="AK36" s="456" t="s">
        <v>41</v>
      </c>
      <c r="AL36" s="456" t="s">
        <v>44</v>
      </c>
      <c r="AM36" s="456" t="s">
        <v>44</v>
      </c>
      <c r="AN36" s="456" t="s">
        <v>42</v>
      </c>
      <c r="AO36" s="456" t="s">
        <v>42</v>
      </c>
      <c r="AP36" s="456" t="s">
        <v>42</v>
      </c>
      <c r="AQ36" s="456" t="s">
        <v>42</v>
      </c>
      <c r="AR36" s="456" t="s">
        <v>42</v>
      </c>
      <c r="AS36" s="456" t="s">
        <v>41</v>
      </c>
      <c r="AT36" s="456" t="s">
        <v>44</v>
      </c>
      <c r="AU36" s="456" t="s">
        <v>42</v>
      </c>
      <c r="AV36" s="456" t="s">
        <v>44</v>
      </c>
      <c r="AW36" s="456" t="s">
        <v>42</v>
      </c>
      <c r="AX36" s="456" t="s">
        <v>41</v>
      </c>
      <c r="AY36" s="456" t="s">
        <v>42</v>
      </c>
      <c r="AZ36" s="456" t="s">
        <v>44</v>
      </c>
      <c r="BA36" s="456" t="s">
        <v>41</v>
      </c>
      <c r="BB36" s="456" t="s">
        <v>42</v>
      </c>
      <c r="BD36" s="369" t="s">
        <v>44</v>
      </c>
      <c r="BE36" s="458">
        <v>3.0</v>
      </c>
      <c r="BF36" s="458">
        <v>2.0</v>
      </c>
      <c r="BG36" s="458">
        <v>2.0</v>
      </c>
      <c r="BH36" s="458">
        <v>2.0</v>
      </c>
      <c r="BI36" s="371">
        <f t="shared" si="1"/>
        <v>56.25</v>
      </c>
      <c r="BJ36" s="377" t="str">
        <f t="shared" si="2"/>
        <v>Adequado</v>
      </c>
      <c r="BK36" s="373"/>
      <c r="BL36" s="374">
        <f t="shared" si="3"/>
        <v>10</v>
      </c>
      <c r="BM36" s="374">
        <f t="shared" si="4"/>
        <v>207</v>
      </c>
      <c r="BN36" s="459" t="str">
        <f t="shared" si="5"/>
        <v>Básico</v>
      </c>
      <c r="BO36" s="376">
        <f t="shared" si="6"/>
        <v>6</v>
      </c>
      <c r="BP36" s="374">
        <f t="shared" si="7"/>
        <v>124</v>
      </c>
      <c r="BQ36" s="377" t="str">
        <f t="shared" si="8"/>
        <v>Abaixo do Básico</v>
      </c>
      <c r="BR36" s="25"/>
    </row>
    <row r="37" ht="15.75" customHeight="1">
      <c r="A37" s="455">
        <v>8.0</v>
      </c>
      <c r="B37" s="378" t="s">
        <v>417</v>
      </c>
      <c r="C37" s="363" t="s">
        <v>170</v>
      </c>
      <c r="D37" s="447" t="s">
        <v>43</v>
      </c>
      <c r="E37" s="456" t="s">
        <v>43</v>
      </c>
      <c r="F37" s="456" t="s">
        <v>41</v>
      </c>
      <c r="G37" s="456" t="s">
        <v>41</v>
      </c>
      <c r="H37" s="456" t="s">
        <v>43</v>
      </c>
      <c r="I37" s="456" t="s">
        <v>42</v>
      </c>
      <c r="J37" s="456" t="s">
        <v>44</v>
      </c>
      <c r="K37" s="456" t="s">
        <v>44</v>
      </c>
      <c r="L37" s="456" t="s">
        <v>44</v>
      </c>
      <c r="M37" s="456" t="s">
        <v>42</v>
      </c>
      <c r="N37" s="456" t="s">
        <v>44</v>
      </c>
      <c r="O37" s="456" t="s">
        <v>42</v>
      </c>
      <c r="P37" s="456" t="s">
        <v>42</v>
      </c>
      <c r="Q37" s="456" t="s">
        <v>42</v>
      </c>
      <c r="R37" s="456" t="s">
        <v>41</v>
      </c>
      <c r="S37" s="456" t="s">
        <v>41</v>
      </c>
      <c r="T37" s="456" t="s">
        <v>42</v>
      </c>
      <c r="U37" s="456" t="s">
        <v>44</v>
      </c>
      <c r="V37" s="456" t="s">
        <v>42</v>
      </c>
      <c r="W37" s="456" t="s">
        <v>41</v>
      </c>
      <c r="X37" s="456" t="s">
        <v>42</v>
      </c>
      <c r="Y37" s="456" t="s">
        <v>42</v>
      </c>
      <c r="Z37" s="456" t="s">
        <v>42</v>
      </c>
      <c r="AA37" s="456" t="s">
        <v>42</v>
      </c>
      <c r="AB37" s="457" t="s">
        <v>41</v>
      </c>
      <c r="AC37" s="456" t="s">
        <v>44</v>
      </c>
      <c r="AD37" s="456" t="s">
        <v>41</v>
      </c>
      <c r="AE37" s="456" t="s">
        <v>42</v>
      </c>
      <c r="AF37" s="456" t="s">
        <v>43</v>
      </c>
      <c r="AG37" s="456" t="s">
        <v>43</v>
      </c>
      <c r="AH37" s="456" t="s">
        <v>44</v>
      </c>
      <c r="AI37" s="456" t="s">
        <v>41</v>
      </c>
      <c r="AJ37" s="456" t="s">
        <v>42</v>
      </c>
      <c r="AK37" s="456" t="s">
        <v>44</v>
      </c>
      <c r="AL37" s="456" t="s">
        <v>42</v>
      </c>
      <c r="AM37" s="456" t="s">
        <v>41</v>
      </c>
      <c r="AN37" s="456" t="s">
        <v>41</v>
      </c>
      <c r="AO37" s="456" t="s">
        <v>43</v>
      </c>
      <c r="AP37" s="456" t="s">
        <v>41</v>
      </c>
      <c r="AQ37" s="456" t="s">
        <v>43</v>
      </c>
      <c r="AR37" s="456" t="s">
        <v>44</v>
      </c>
      <c r="AS37" s="456" t="s">
        <v>44</v>
      </c>
      <c r="AT37" s="456" t="s">
        <v>44</v>
      </c>
      <c r="AU37" s="456" t="s">
        <v>41</v>
      </c>
      <c r="AV37" s="456" t="s">
        <v>42</v>
      </c>
      <c r="AW37" s="456" t="s">
        <v>41</v>
      </c>
      <c r="AX37" s="456" t="s">
        <v>43</v>
      </c>
      <c r="AY37" s="456" t="s">
        <v>173</v>
      </c>
      <c r="AZ37" s="456" t="s">
        <v>173</v>
      </c>
      <c r="BA37" s="456" t="s">
        <v>41</v>
      </c>
      <c r="BB37" s="456" t="s">
        <v>42</v>
      </c>
      <c r="BD37" s="369" t="s">
        <v>44</v>
      </c>
      <c r="BE37" s="458">
        <v>3.0</v>
      </c>
      <c r="BF37" s="458">
        <v>3.0</v>
      </c>
      <c r="BG37" s="458">
        <v>3.0</v>
      </c>
      <c r="BH37" s="458">
        <v>3.0</v>
      </c>
      <c r="BI37" s="371">
        <f t="shared" si="1"/>
        <v>75</v>
      </c>
      <c r="BJ37" s="377" t="str">
        <f t="shared" si="2"/>
        <v>Adequado</v>
      </c>
      <c r="BK37" s="373"/>
      <c r="BL37" s="374">
        <f t="shared" si="3"/>
        <v>15</v>
      </c>
      <c r="BM37" s="374">
        <f t="shared" si="4"/>
        <v>311</v>
      </c>
      <c r="BN37" s="459" t="str">
        <f t="shared" si="5"/>
        <v>Adequado</v>
      </c>
      <c r="BO37" s="376">
        <f t="shared" si="6"/>
        <v>7</v>
      </c>
      <c r="BP37" s="374">
        <f t="shared" si="7"/>
        <v>140</v>
      </c>
      <c r="BQ37" s="377" t="str">
        <f t="shared" si="8"/>
        <v>Básico</v>
      </c>
      <c r="BR37" s="25"/>
    </row>
    <row r="38" ht="15.75" customHeight="1">
      <c r="A38" s="455">
        <v>9.0</v>
      </c>
      <c r="B38" s="378" t="s">
        <v>418</v>
      </c>
      <c r="C38" s="363" t="s">
        <v>170</v>
      </c>
      <c r="D38" s="447" t="s">
        <v>43</v>
      </c>
      <c r="E38" s="456" t="s">
        <v>42</v>
      </c>
      <c r="F38" s="456" t="s">
        <v>41</v>
      </c>
      <c r="G38" s="456" t="s">
        <v>42</v>
      </c>
      <c r="H38" s="456" t="s">
        <v>44</v>
      </c>
      <c r="I38" s="456" t="s">
        <v>41</v>
      </c>
      <c r="J38" s="456" t="s">
        <v>42</v>
      </c>
      <c r="K38" s="456" t="s">
        <v>42</v>
      </c>
      <c r="L38" s="456" t="s">
        <v>41</v>
      </c>
      <c r="M38" s="456" t="s">
        <v>44</v>
      </c>
      <c r="N38" s="456" t="s">
        <v>43</v>
      </c>
      <c r="O38" s="456" t="s">
        <v>43</v>
      </c>
      <c r="P38" s="456" t="s">
        <v>44</v>
      </c>
      <c r="Q38" s="456" t="s">
        <v>41</v>
      </c>
      <c r="R38" s="456" t="s">
        <v>44</v>
      </c>
      <c r="S38" s="456" t="s">
        <v>44</v>
      </c>
      <c r="T38" s="456" t="s">
        <v>43</v>
      </c>
      <c r="U38" s="456" t="s">
        <v>42</v>
      </c>
      <c r="V38" s="456" t="s">
        <v>44</v>
      </c>
      <c r="W38" s="456" t="s">
        <v>44</v>
      </c>
      <c r="X38" s="456" t="s">
        <v>42</v>
      </c>
      <c r="Y38" s="456" t="s">
        <v>43</v>
      </c>
      <c r="Z38" s="456" t="s">
        <v>41</v>
      </c>
      <c r="AA38" s="456" t="s">
        <v>41</v>
      </c>
      <c r="AB38" s="457" t="s">
        <v>43</v>
      </c>
      <c r="AC38" s="456" t="s">
        <v>44</v>
      </c>
      <c r="AD38" s="456" t="s">
        <v>41</v>
      </c>
      <c r="AE38" s="456" t="s">
        <v>42</v>
      </c>
      <c r="AF38" s="456" t="s">
        <v>42</v>
      </c>
      <c r="AG38" s="456" t="s">
        <v>41</v>
      </c>
      <c r="AH38" s="456" t="s">
        <v>44</v>
      </c>
      <c r="AI38" s="456" t="s">
        <v>43</v>
      </c>
      <c r="AJ38" s="456" t="s">
        <v>43</v>
      </c>
      <c r="AK38" s="456" t="s">
        <v>41</v>
      </c>
      <c r="AL38" s="456" t="s">
        <v>42</v>
      </c>
      <c r="AM38" s="456" t="s">
        <v>42</v>
      </c>
      <c r="AN38" s="456" t="s">
        <v>41</v>
      </c>
      <c r="AO38" s="456" t="s">
        <v>41</v>
      </c>
      <c r="AP38" s="456" t="s">
        <v>44</v>
      </c>
      <c r="AQ38" s="456" t="s">
        <v>43</v>
      </c>
      <c r="AR38" s="456" t="s">
        <v>43</v>
      </c>
      <c r="AS38" s="456" t="s">
        <v>44</v>
      </c>
      <c r="AT38" s="456" t="s">
        <v>41</v>
      </c>
      <c r="AU38" s="456" t="s">
        <v>42</v>
      </c>
      <c r="AV38" s="456" t="s">
        <v>42</v>
      </c>
      <c r="AW38" s="456" t="s">
        <v>41</v>
      </c>
      <c r="AX38" s="456" t="s">
        <v>44</v>
      </c>
      <c r="AY38" s="456" t="s">
        <v>43</v>
      </c>
      <c r="AZ38" s="456" t="s">
        <v>43</v>
      </c>
      <c r="BA38" s="456" t="s">
        <v>44</v>
      </c>
      <c r="BB38" s="456" t="s">
        <v>41</v>
      </c>
      <c r="BD38" s="369" t="s">
        <v>44</v>
      </c>
      <c r="BE38" s="458">
        <v>3.0</v>
      </c>
      <c r="BF38" s="458">
        <v>3.0</v>
      </c>
      <c r="BG38" s="458">
        <v>3.0</v>
      </c>
      <c r="BH38" s="458">
        <v>3.0</v>
      </c>
      <c r="BI38" s="371">
        <f t="shared" si="1"/>
        <v>75</v>
      </c>
      <c r="BJ38" s="377" t="str">
        <f t="shared" si="2"/>
        <v>Adequado</v>
      </c>
      <c r="BK38" s="373"/>
      <c r="BL38" s="374">
        <f t="shared" si="3"/>
        <v>3</v>
      </c>
      <c r="BM38" s="374">
        <f t="shared" si="4"/>
        <v>47</v>
      </c>
      <c r="BN38" s="459" t="str">
        <f t="shared" si="5"/>
        <v>Abaixo do Básico</v>
      </c>
      <c r="BO38" s="376">
        <f t="shared" si="6"/>
        <v>6</v>
      </c>
      <c r="BP38" s="374">
        <f t="shared" si="7"/>
        <v>124</v>
      </c>
      <c r="BQ38" s="377" t="str">
        <f t="shared" si="8"/>
        <v>Abaixo do Básico</v>
      </c>
      <c r="BR38" s="25"/>
    </row>
    <row r="39" ht="15.75" customHeight="1">
      <c r="A39" s="455">
        <v>10.0</v>
      </c>
      <c r="B39" s="378" t="s">
        <v>419</v>
      </c>
      <c r="C39" s="363" t="s">
        <v>170</v>
      </c>
      <c r="D39" s="447" t="s">
        <v>172</v>
      </c>
      <c r="E39" s="456" t="s">
        <v>172</v>
      </c>
      <c r="F39" s="456" t="s">
        <v>172</v>
      </c>
      <c r="G39" s="456" t="s">
        <v>172</v>
      </c>
      <c r="H39" s="456" t="s">
        <v>172</v>
      </c>
      <c r="I39" s="456" t="s">
        <v>172</v>
      </c>
      <c r="J39" s="456" t="s">
        <v>172</v>
      </c>
      <c r="K39" s="456" t="s">
        <v>172</v>
      </c>
      <c r="L39" s="456" t="s">
        <v>172</v>
      </c>
      <c r="M39" s="456" t="s">
        <v>172</v>
      </c>
      <c r="N39" s="456" t="s">
        <v>172</v>
      </c>
      <c r="O39" s="456" t="s">
        <v>172</v>
      </c>
      <c r="P39" s="456" t="s">
        <v>172</v>
      </c>
      <c r="Q39" s="456" t="s">
        <v>172</v>
      </c>
      <c r="R39" s="456" t="s">
        <v>172</v>
      </c>
      <c r="S39" s="456" t="s">
        <v>172</v>
      </c>
      <c r="T39" s="456" t="s">
        <v>172</v>
      </c>
      <c r="U39" s="456" t="s">
        <v>172</v>
      </c>
      <c r="V39" s="456" t="s">
        <v>172</v>
      </c>
      <c r="W39" s="456" t="s">
        <v>172</v>
      </c>
      <c r="X39" s="456" t="s">
        <v>172</v>
      </c>
      <c r="Y39" s="456" t="s">
        <v>172</v>
      </c>
      <c r="Z39" s="456" t="s">
        <v>172</v>
      </c>
      <c r="AA39" s="456" t="s">
        <v>172</v>
      </c>
      <c r="AB39" s="457" t="s">
        <v>172</v>
      </c>
      <c r="AC39" s="456" t="s">
        <v>172</v>
      </c>
      <c r="AD39" s="456" t="s">
        <v>172</v>
      </c>
      <c r="AE39" s="456" t="s">
        <v>172</v>
      </c>
      <c r="AF39" s="456" t="s">
        <v>172</v>
      </c>
      <c r="AG39" s="456" t="s">
        <v>172</v>
      </c>
      <c r="AH39" s="456" t="s">
        <v>172</v>
      </c>
      <c r="AI39" s="456" t="s">
        <v>172</v>
      </c>
      <c r="AJ39" s="456" t="s">
        <v>172</v>
      </c>
      <c r="AK39" s="456" t="s">
        <v>172</v>
      </c>
      <c r="AL39" s="456" t="s">
        <v>172</v>
      </c>
      <c r="AM39" s="456" t="s">
        <v>172</v>
      </c>
      <c r="AN39" s="456" t="s">
        <v>172</v>
      </c>
      <c r="AO39" s="456" t="s">
        <v>172</v>
      </c>
      <c r="AP39" s="456" t="s">
        <v>172</v>
      </c>
      <c r="AQ39" s="456" t="s">
        <v>172</v>
      </c>
      <c r="AR39" s="456" t="s">
        <v>172</v>
      </c>
      <c r="AS39" s="456" t="s">
        <v>172</v>
      </c>
      <c r="AT39" s="456" t="s">
        <v>172</v>
      </c>
      <c r="AU39" s="456" t="s">
        <v>172</v>
      </c>
      <c r="AV39" s="456" t="s">
        <v>172</v>
      </c>
      <c r="AW39" s="456" t="s">
        <v>172</v>
      </c>
      <c r="AX39" s="456" t="s">
        <v>172</v>
      </c>
      <c r="AY39" s="456" t="s">
        <v>172</v>
      </c>
      <c r="AZ39" s="456" t="s">
        <v>172</v>
      </c>
      <c r="BA39" s="456" t="s">
        <v>172</v>
      </c>
      <c r="BB39" s="456" t="s">
        <v>172</v>
      </c>
      <c r="BD39" s="369" t="s">
        <v>172</v>
      </c>
      <c r="BE39" s="458" t="s">
        <v>173</v>
      </c>
      <c r="BF39" s="458" t="s">
        <v>173</v>
      </c>
      <c r="BG39" s="458" t="s">
        <v>173</v>
      </c>
      <c r="BH39" s="458" t="s">
        <v>173</v>
      </c>
      <c r="BI39" s="371">
        <f t="shared" si="1"/>
        <v>0</v>
      </c>
      <c r="BJ39" s="377" t="str">
        <f t="shared" si="2"/>
        <v>Abaixo do Básico</v>
      </c>
      <c r="BK39" s="373"/>
      <c r="BL39" s="374">
        <f t="shared" si="3"/>
        <v>0</v>
      </c>
      <c r="BM39" s="374">
        <f t="shared" si="4"/>
        <v>0</v>
      </c>
      <c r="BN39" s="459" t="str">
        <f t="shared" si="5"/>
        <v>Abaixo do Básico</v>
      </c>
      <c r="BO39" s="376">
        <f t="shared" si="6"/>
        <v>0</v>
      </c>
      <c r="BP39" s="374">
        <f t="shared" si="7"/>
        <v>0</v>
      </c>
      <c r="BQ39" s="377" t="str">
        <f t="shared" si="8"/>
        <v>Abaixo do Básico</v>
      </c>
      <c r="BR39" s="25"/>
    </row>
    <row r="40" ht="15.75" customHeight="1">
      <c r="A40" s="455">
        <v>11.0</v>
      </c>
      <c r="B40" s="378" t="s">
        <v>420</v>
      </c>
      <c r="C40" s="363" t="s">
        <v>170</v>
      </c>
      <c r="D40" s="447" t="s">
        <v>43</v>
      </c>
      <c r="E40" s="456" t="s">
        <v>42</v>
      </c>
      <c r="F40" s="456" t="s">
        <v>41</v>
      </c>
      <c r="G40" s="456" t="s">
        <v>41</v>
      </c>
      <c r="H40" s="456" t="s">
        <v>43</v>
      </c>
      <c r="I40" s="456" t="s">
        <v>42</v>
      </c>
      <c r="J40" s="456" t="s">
        <v>44</v>
      </c>
      <c r="K40" s="456" t="s">
        <v>44</v>
      </c>
      <c r="L40" s="456" t="s">
        <v>41</v>
      </c>
      <c r="M40" s="456" t="s">
        <v>44</v>
      </c>
      <c r="N40" s="456" t="s">
        <v>44</v>
      </c>
      <c r="O40" s="456" t="s">
        <v>42</v>
      </c>
      <c r="P40" s="456" t="s">
        <v>42</v>
      </c>
      <c r="Q40" s="456" t="s">
        <v>44</v>
      </c>
      <c r="R40" s="456" t="s">
        <v>44</v>
      </c>
      <c r="S40" s="456" t="s">
        <v>41</v>
      </c>
      <c r="T40" s="456" t="s">
        <v>42</v>
      </c>
      <c r="U40" s="456" t="s">
        <v>42</v>
      </c>
      <c r="V40" s="456" t="s">
        <v>44</v>
      </c>
      <c r="W40" s="456" t="s">
        <v>41</v>
      </c>
      <c r="X40" s="456" t="s">
        <v>43</v>
      </c>
      <c r="Y40" s="456" t="s">
        <v>41</v>
      </c>
      <c r="Z40" s="456" t="s">
        <v>42</v>
      </c>
      <c r="AA40" s="456" t="s">
        <v>44</v>
      </c>
      <c r="AB40" s="457" t="s">
        <v>42</v>
      </c>
      <c r="AC40" s="456" t="s">
        <v>42</v>
      </c>
      <c r="AD40" s="456" t="s">
        <v>44</v>
      </c>
      <c r="AE40" s="456" t="s">
        <v>42</v>
      </c>
      <c r="AF40" s="456" t="s">
        <v>41</v>
      </c>
      <c r="AG40" s="456" t="s">
        <v>43</v>
      </c>
      <c r="AH40" s="456" t="s">
        <v>41</v>
      </c>
      <c r="AI40" s="456" t="s">
        <v>42</v>
      </c>
      <c r="AJ40" s="456" t="s">
        <v>41</v>
      </c>
      <c r="AK40" s="456" t="s">
        <v>41</v>
      </c>
      <c r="AL40" s="456" t="s">
        <v>44</v>
      </c>
      <c r="AM40" s="456" t="s">
        <v>43</v>
      </c>
      <c r="AN40" s="456" t="s">
        <v>43</v>
      </c>
      <c r="AO40" s="456" t="s">
        <v>42</v>
      </c>
      <c r="AP40" s="456" t="s">
        <v>44</v>
      </c>
      <c r="AQ40" s="456" t="s">
        <v>41</v>
      </c>
      <c r="AR40" s="456" t="s">
        <v>42</v>
      </c>
      <c r="AS40" s="456" t="s">
        <v>41</v>
      </c>
      <c r="AT40" s="456" t="s">
        <v>41</v>
      </c>
      <c r="AU40" s="456" t="s">
        <v>43</v>
      </c>
      <c r="AV40" s="456" t="s">
        <v>44</v>
      </c>
      <c r="AW40" s="456" t="s">
        <v>43</v>
      </c>
      <c r="AX40" s="456" t="s">
        <v>42</v>
      </c>
      <c r="AY40" s="456" t="s">
        <v>42</v>
      </c>
      <c r="AZ40" s="456" t="s">
        <v>41</v>
      </c>
      <c r="BA40" s="456" t="s">
        <v>41</v>
      </c>
      <c r="BB40" s="456" t="s">
        <v>44</v>
      </c>
      <c r="BD40" s="369" t="s">
        <v>44</v>
      </c>
      <c r="BE40" s="458">
        <v>3.0</v>
      </c>
      <c r="BF40" s="458">
        <v>3.0</v>
      </c>
      <c r="BG40" s="458">
        <v>3.0</v>
      </c>
      <c r="BH40" s="458">
        <v>3.0</v>
      </c>
      <c r="BI40" s="371">
        <f t="shared" si="1"/>
        <v>75</v>
      </c>
      <c r="BJ40" s="377" t="str">
        <f t="shared" si="2"/>
        <v>Adequado</v>
      </c>
      <c r="BK40" s="373"/>
      <c r="BL40" s="374">
        <f t="shared" si="3"/>
        <v>14</v>
      </c>
      <c r="BM40" s="374">
        <f t="shared" si="4"/>
        <v>254</v>
      </c>
      <c r="BN40" s="459" t="str">
        <f t="shared" si="5"/>
        <v>Adequado</v>
      </c>
      <c r="BO40" s="376">
        <f t="shared" si="6"/>
        <v>10</v>
      </c>
      <c r="BP40" s="374">
        <f t="shared" si="7"/>
        <v>180</v>
      </c>
      <c r="BQ40" s="377" t="str">
        <f t="shared" si="8"/>
        <v>Básico</v>
      </c>
      <c r="BR40" s="25"/>
    </row>
    <row r="41" ht="15.75" customHeight="1">
      <c r="A41" s="455">
        <v>12.0</v>
      </c>
      <c r="B41" s="378" t="s">
        <v>421</v>
      </c>
      <c r="C41" s="363" t="s">
        <v>170</v>
      </c>
      <c r="D41" s="447" t="s">
        <v>43</v>
      </c>
      <c r="E41" s="456" t="s">
        <v>42</v>
      </c>
      <c r="F41" s="456" t="s">
        <v>41</v>
      </c>
      <c r="G41" s="456" t="s">
        <v>41</v>
      </c>
      <c r="H41" s="456" t="s">
        <v>44</v>
      </c>
      <c r="I41" s="456" t="s">
        <v>43</v>
      </c>
      <c r="J41" s="456" t="s">
        <v>42</v>
      </c>
      <c r="K41" s="456" t="s">
        <v>44</v>
      </c>
      <c r="L41" s="456" t="s">
        <v>43</v>
      </c>
      <c r="M41" s="456" t="s">
        <v>41</v>
      </c>
      <c r="N41" s="456" t="s">
        <v>43</v>
      </c>
      <c r="O41" s="456" t="s">
        <v>41</v>
      </c>
      <c r="P41" s="456" t="s">
        <v>42</v>
      </c>
      <c r="Q41" s="456" t="s">
        <v>44</v>
      </c>
      <c r="R41" s="456" t="s">
        <v>44</v>
      </c>
      <c r="S41" s="456" t="s">
        <v>41</v>
      </c>
      <c r="T41" s="456" t="s">
        <v>42</v>
      </c>
      <c r="U41" s="456" t="s">
        <v>41</v>
      </c>
      <c r="V41" s="456" t="s">
        <v>43</v>
      </c>
      <c r="W41" s="456" t="s">
        <v>43</v>
      </c>
      <c r="X41" s="456" t="s">
        <v>44</v>
      </c>
      <c r="Y41" s="456" t="s">
        <v>44</v>
      </c>
      <c r="Z41" s="456" t="s">
        <v>41</v>
      </c>
      <c r="AA41" s="456" t="s">
        <v>43</v>
      </c>
      <c r="AB41" s="457" t="s">
        <v>42</v>
      </c>
      <c r="AC41" s="456" t="s">
        <v>44</v>
      </c>
      <c r="AD41" s="456" t="s">
        <v>41</v>
      </c>
      <c r="AE41" s="456" t="s">
        <v>42</v>
      </c>
      <c r="AF41" s="456" t="s">
        <v>43</v>
      </c>
      <c r="AG41" s="456" t="s">
        <v>42</v>
      </c>
      <c r="AH41" s="456" t="s">
        <v>41</v>
      </c>
      <c r="AI41" s="456" t="s">
        <v>44</v>
      </c>
      <c r="AJ41" s="456" t="s">
        <v>41</v>
      </c>
      <c r="AK41" s="456" t="s">
        <v>43</v>
      </c>
      <c r="AL41" s="456" t="s">
        <v>44</v>
      </c>
      <c r="AM41" s="456" t="s">
        <v>41</v>
      </c>
      <c r="AN41" s="456" t="s">
        <v>43</v>
      </c>
      <c r="AO41" s="456" t="s">
        <v>42</v>
      </c>
      <c r="AP41" s="456" t="s">
        <v>44</v>
      </c>
      <c r="AQ41" s="456" t="s">
        <v>41</v>
      </c>
      <c r="AR41" s="456" t="s">
        <v>42</v>
      </c>
      <c r="AS41" s="456" t="s">
        <v>42</v>
      </c>
      <c r="AT41" s="456" t="s">
        <v>41</v>
      </c>
      <c r="AU41" s="456" t="s">
        <v>44</v>
      </c>
      <c r="AV41" s="456" t="s">
        <v>41</v>
      </c>
      <c r="AW41" s="456" t="s">
        <v>44</v>
      </c>
      <c r="AX41" s="456" t="s">
        <v>41</v>
      </c>
      <c r="AY41" s="456" t="s">
        <v>42</v>
      </c>
      <c r="AZ41" s="456" t="s">
        <v>41</v>
      </c>
      <c r="BA41" s="456" t="s">
        <v>42</v>
      </c>
      <c r="BB41" s="456" t="s">
        <v>43</v>
      </c>
      <c r="BD41" s="369" t="s">
        <v>44</v>
      </c>
      <c r="BE41" s="458">
        <v>3.0</v>
      </c>
      <c r="BF41" s="458">
        <v>2.0</v>
      </c>
      <c r="BG41" s="458">
        <v>2.0</v>
      </c>
      <c r="BH41" s="458">
        <v>2.0</v>
      </c>
      <c r="BI41" s="371">
        <f t="shared" si="1"/>
        <v>56.25</v>
      </c>
      <c r="BJ41" s="377" t="str">
        <f t="shared" si="2"/>
        <v>Adequado</v>
      </c>
      <c r="BK41" s="373"/>
      <c r="BL41" s="374">
        <f t="shared" si="3"/>
        <v>11</v>
      </c>
      <c r="BM41" s="374">
        <f t="shared" si="4"/>
        <v>206</v>
      </c>
      <c r="BN41" s="459" t="str">
        <f t="shared" si="5"/>
        <v>Básico</v>
      </c>
      <c r="BO41" s="376">
        <f t="shared" si="6"/>
        <v>10</v>
      </c>
      <c r="BP41" s="374">
        <f t="shared" si="7"/>
        <v>202</v>
      </c>
      <c r="BQ41" s="377" t="str">
        <f t="shared" si="8"/>
        <v>Básico</v>
      </c>
      <c r="BR41" s="25"/>
    </row>
    <row r="42" ht="15.75" customHeight="1">
      <c r="A42" s="455">
        <v>13.0</v>
      </c>
      <c r="B42" s="378" t="s">
        <v>422</v>
      </c>
      <c r="C42" s="363" t="s">
        <v>170</v>
      </c>
      <c r="D42" s="447" t="s">
        <v>43</v>
      </c>
      <c r="E42" s="456" t="s">
        <v>42</v>
      </c>
      <c r="F42" s="456" t="s">
        <v>41</v>
      </c>
      <c r="G42" s="456" t="s">
        <v>42</v>
      </c>
      <c r="H42" s="456" t="s">
        <v>42</v>
      </c>
      <c r="I42" s="456" t="s">
        <v>41</v>
      </c>
      <c r="J42" s="456" t="s">
        <v>44</v>
      </c>
      <c r="K42" s="456" t="s">
        <v>44</v>
      </c>
      <c r="L42" s="456" t="s">
        <v>44</v>
      </c>
      <c r="M42" s="456" t="s">
        <v>43</v>
      </c>
      <c r="N42" s="456" t="s">
        <v>41</v>
      </c>
      <c r="O42" s="456" t="s">
        <v>43</v>
      </c>
      <c r="P42" s="456" t="s">
        <v>44</v>
      </c>
      <c r="Q42" s="456" t="s">
        <v>42</v>
      </c>
      <c r="R42" s="456" t="s">
        <v>44</v>
      </c>
      <c r="S42" s="456" t="s">
        <v>41</v>
      </c>
      <c r="T42" s="456" t="s">
        <v>42</v>
      </c>
      <c r="U42" s="456" t="s">
        <v>41</v>
      </c>
      <c r="V42" s="456" t="s">
        <v>43</v>
      </c>
      <c r="W42" s="456" t="s">
        <v>44</v>
      </c>
      <c r="X42" s="456" t="s">
        <v>41</v>
      </c>
      <c r="Y42" s="456" t="s">
        <v>41</v>
      </c>
      <c r="Z42" s="456" t="s">
        <v>42</v>
      </c>
      <c r="AA42" s="456" t="s">
        <v>44</v>
      </c>
      <c r="AB42" s="457" t="s">
        <v>41</v>
      </c>
      <c r="AC42" s="456" t="s">
        <v>44</v>
      </c>
      <c r="AD42" s="456" t="s">
        <v>43</v>
      </c>
      <c r="AE42" s="456" t="s">
        <v>42</v>
      </c>
      <c r="AF42" s="456" t="s">
        <v>44</v>
      </c>
      <c r="AG42" s="456" t="s">
        <v>43</v>
      </c>
      <c r="AH42" s="456" t="s">
        <v>42</v>
      </c>
      <c r="AI42" s="456" t="s">
        <v>41</v>
      </c>
      <c r="AJ42" s="456" t="s">
        <v>44</v>
      </c>
      <c r="AK42" s="456" t="s">
        <v>43</v>
      </c>
      <c r="AL42" s="456" t="s">
        <v>42</v>
      </c>
      <c r="AM42" s="456" t="s">
        <v>41</v>
      </c>
      <c r="AN42" s="456" t="s">
        <v>44</v>
      </c>
      <c r="AO42" s="456" t="s">
        <v>43</v>
      </c>
      <c r="AP42" s="456" t="s">
        <v>43</v>
      </c>
      <c r="AQ42" s="456" t="s">
        <v>44</v>
      </c>
      <c r="AR42" s="456" t="s">
        <v>41</v>
      </c>
      <c r="AS42" s="456" t="s">
        <v>44</v>
      </c>
      <c r="AT42" s="456" t="s">
        <v>43</v>
      </c>
      <c r="AU42" s="456" t="s">
        <v>42</v>
      </c>
      <c r="AV42" s="456" t="s">
        <v>41</v>
      </c>
      <c r="AW42" s="456" t="s">
        <v>44</v>
      </c>
      <c r="AX42" s="456" t="s">
        <v>42</v>
      </c>
      <c r="AY42" s="456" t="s">
        <v>42</v>
      </c>
      <c r="AZ42" s="456" t="s">
        <v>43</v>
      </c>
      <c r="BA42" s="456" t="s">
        <v>44</v>
      </c>
      <c r="BB42" s="456" t="s">
        <v>41</v>
      </c>
      <c r="BD42" s="369" t="s">
        <v>42</v>
      </c>
      <c r="BE42" s="458" t="s">
        <v>173</v>
      </c>
      <c r="BF42" s="458" t="s">
        <v>173</v>
      </c>
      <c r="BG42" s="458" t="s">
        <v>173</v>
      </c>
      <c r="BH42" s="458" t="s">
        <v>173</v>
      </c>
      <c r="BI42" s="371">
        <f t="shared" si="1"/>
        <v>0</v>
      </c>
      <c r="BJ42" s="377" t="str">
        <f t="shared" si="2"/>
        <v>Abaixo do Básico</v>
      </c>
      <c r="BK42" s="373"/>
      <c r="BL42" s="374">
        <f t="shared" si="3"/>
        <v>7</v>
      </c>
      <c r="BM42" s="374">
        <f t="shared" si="4"/>
        <v>113</v>
      </c>
      <c r="BN42" s="459" t="str">
        <f t="shared" si="5"/>
        <v>Abaixo do Básico</v>
      </c>
      <c r="BO42" s="376">
        <f t="shared" si="6"/>
        <v>7</v>
      </c>
      <c r="BP42" s="374">
        <f t="shared" si="7"/>
        <v>140</v>
      </c>
      <c r="BQ42" s="377" t="str">
        <f t="shared" si="8"/>
        <v>Básico</v>
      </c>
      <c r="BR42" s="25"/>
    </row>
    <row r="43" ht="15.75" customHeight="1">
      <c r="A43" s="455">
        <v>14.0</v>
      </c>
      <c r="B43" s="378" t="s">
        <v>423</v>
      </c>
      <c r="C43" s="363" t="s">
        <v>170</v>
      </c>
      <c r="D43" s="447" t="s">
        <v>41</v>
      </c>
      <c r="E43" s="456" t="s">
        <v>44</v>
      </c>
      <c r="F43" s="456" t="s">
        <v>41</v>
      </c>
      <c r="G43" s="456" t="s">
        <v>42</v>
      </c>
      <c r="H43" s="456" t="s">
        <v>43</v>
      </c>
      <c r="I43" s="456" t="s">
        <v>42</v>
      </c>
      <c r="J43" s="456" t="s">
        <v>43</v>
      </c>
      <c r="K43" s="456" t="s">
        <v>44</v>
      </c>
      <c r="L43" s="456" t="s">
        <v>41</v>
      </c>
      <c r="M43" s="456" t="s">
        <v>43</v>
      </c>
      <c r="N43" s="456" t="s">
        <v>44</v>
      </c>
      <c r="O43" s="456" t="s">
        <v>42</v>
      </c>
      <c r="P43" s="456" t="s">
        <v>43</v>
      </c>
      <c r="Q43" s="456" t="s">
        <v>42</v>
      </c>
      <c r="R43" s="456" t="s">
        <v>42</v>
      </c>
      <c r="S43" s="456" t="s">
        <v>43</v>
      </c>
      <c r="T43" s="456" t="s">
        <v>44</v>
      </c>
      <c r="U43" s="456" t="s">
        <v>41</v>
      </c>
      <c r="V43" s="456" t="s">
        <v>42</v>
      </c>
      <c r="W43" s="456" t="s">
        <v>43</v>
      </c>
      <c r="X43" s="456" t="s">
        <v>44</v>
      </c>
      <c r="Y43" s="456" t="s">
        <v>41</v>
      </c>
      <c r="Z43" s="456" t="s">
        <v>41</v>
      </c>
      <c r="AA43" s="456" t="s">
        <v>44</v>
      </c>
      <c r="AB43" s="457" t="s">
        <v>44</v>
      </c>
      <c r="AC43" s="456" t="s">
        <v>41</v>
      </c>
      <c r="AD43" s="456" t="s">
        <v>42</v>
      </c>
      <c r="AE43" s="456" t="s">
        <v>43</v>
      </c>
      <c r="AF43" s="456" t="s">
        <v>42</v>
      </c>
      <c r="AG43" s="456" t="s">
        <v>41</v>
      </c>
      <c r="AH43" s="456" t="s">
        <v>41</v>
      </c>
      <c r="AI43" s="456" t="s">
        <v>44</v>
      </c>
      <c r="AJ43" s="456" t="s">
        <v>44</v>
      </c>
      <c r="AK43" s="456" t="s">
        <v>41</v>
      </c>
      <c r="AL43" s="456" t="s">
        <v>42</v>
      </c>
      <c r="AM43" s="456" t="s">
        <v>44</v>
      </c>
      <c r="AN43" s="456" t="s">
        <v>41</v>
      </c>
      <c r="AO43" s="456" t="s">
        <v>43</v>
      </c>
      <c r="AP43" s="456" t="s">
        <v>44</v>
      </c>
      <c r="AQ43" s="456" t="s">
        <v>43</v>
      </c>
      <c r="AR43" s="456" t="s">
        <v>43</v>
      </c>
      <c r="AS43" s="456" t="s">
        <v>44</v>
      </c>
      <c r="AT43" s="456" t="s">
        <v>43</v>
      </c>
      <c r="AU43" s="456" t="s">
        <v>44</v>
      </c>
      <c r="AV43" s="456" t="s">
        <v>41</v>
      </c>
      <c r="AW43" s="456" t="s">
        <v>44</v>
      </c>
      <c r="AX43" s="456" t="s">
        <v>42</v>
      </c>
      <c r="AY43" s="456" t="s">
        <v>44</v>
      </c>
      <c r="AZ43" s="456" t="s">
        <v>44</v>
      </c>
      <c r="BA43" s="456" t="s">
        <v>42</v>
      </c>
      <c r="BB43" s="456" t="s">
        <v>44</v>
      </c>
      <c r="BD43" s="369" t="s">
        <v>44</v>
      </c>
      <c r="BE43" s="458">
        <v>2.0</v>
      </c>
      <c r="BF43" s="458">
        <v>2.0</v>
      </c>
      <c r="BG43" s="458">
        <v>2.0</v>
      </c>
      <c r="BH43" s="458">
        <v>2.0</v>
      </c>
      <c r="BI43" s="371">
        <f t="shared" si="1"/>
        <v>50</v>
      </c>
      <c r="BJ43" s="377" t="str">
        <f t="shared" si="2"/>
        <v>Básico</v>
      </c>
      <c r="BK43" s="373"/>
      <c r="BL43" s="374">
        <f t="shared" si="3"/>
        <v>10</v>
      </c>
      <c r="BM43" s="374">
        <f t="shared" si="4"/>
        <v>188</v>
      </c>
      <c r="BN43" s="459" t="str">
        <f t="shared" si="5"/>
        <v>Básico</v>
      </c>
      <c r="BO43" s="376">
        <f t="shared" si="6"/>
        <v>6</v>
      </c>
      <c r="BP43" s="374">
        <f t="shared" si="7"/>
        <v>110</v>
      </c>
      <c r="BQ43" s="377" t="str">
        <f t="shared" si="8"/>
        <v>Abaixo do Básico</v>
      </c>
      <c r="BR43" s="25"/>
    </row>
    <row r="44" ht="15.75" customHeight="1">
      <c r="A44" s="455">
        <v>15.0</v>
      </c>
      <c r="B44" s="378" t="s">
        <v>424</v>
      </c>
      <c r="C44" s="363" t="s">
        <v>170</v>
      </c>
      <c r="D44" s="447" t="s">
        <v>44</v>
      </c>
      <c r="E44" s="456" t="s">
        <v>41</v>
      </c>
      <c r="F44" s="456" t="s">
        <v>42</v>
      </c>
      <c r="G44" s="456" t="s">
        <v>42</v>
      </c>
      <c r="H44" s="456" t="s">
        <v>44</v>
      </c>
      <c r="I44" s="456" t="s">
        <v>43</v>
      </c>
      <c r="J44" s="456" t="s">
        <v>43</v>
      </c>
      <c r="K44" s="456" t="s">
        <v>41</v>
      </c>
      <c r="L44" s="456" t="s">
        <v>44</v>
      </c>
      <c r="M44" s="456" t="s">
        <v>42</v>
      </c>
      <c r="N44" s="456" t="s">
        <v>44</v>
      </c>
      <c r="O44" s="456" t="s">
        <v>41</v>
      </c>
      <c r="P44" s="456" t="s">
        <v>42</v>
      </c>
      <c r="Q44" s="456" t="s">
        <v>42</v>
      </c>
      <c r="R44" s="456" t="s">
        <v>41</v>
      </c>
      <c r="S44" s="456" t="s">
        <v>44</v>
      </c>
      <c r="T44" s="456" t="s">
        <v>42</v>
      </c>
      <c r="U44" s="456" t="s">
        <v>43</v>
      </c>
      <c r="V44" s="456" t="s">
        <v>42</v>
      </c>
      <c r="W44" s="456" t="s">
        <v>41</v>
      </c>
      <c r="X44" s="456" t="s">
        <v>44</v>
      </c>
      <c r="Y44" s="456" t="s">
        <v>44</v>
      </c>
      <c r="Z44" s="456" t="s">
        <v>43</v>
      </c>
      <c r="AA44" s="456" t="s">
        <v>41</v>
      </c>
      <c r="AB44" s="457" t="s">
        <v>42</v>
      </c>
      <c r="AC44" s="456" t="s">
        <v>44</v>
      </c>
      <c r="AD44" s="456" t="s">
        <v>41</v>
      </c>
      <c r="AE44" s="456" t="s">
        <v>43</v>
      </c>
      <c r="AF44" s="456" t="s">
        <v>42</v>
      </c>
      <c r="AG44" s="456" t="s">
        <v>42</v>
      </c>
      <c r="AH44" s="456" t="s">
        <v>44</v>
      </c>
      <c r="AI44" s="456" t="s">
        <v>41</v>
      </c>
      <c r="AJ44" s="456" t="s">
        <v>43</v>
      </c>
      <c r="AK44" s="456" t="s">
        <v>42</v>
      </c>
      <c r="AL44" s="456" t="s">
        <v>43</v>
      </c>
      <c r="AM44" s="456" t="s">
        <v>44</v>
      </c>
      <c r="AN44" s="456" t="s">
        <v>44</v>
      </c>
      <c r="AO44" s="456" t="s">
        <v>42</v>
      </c>
      <c r="AP44" s="456" t="s">
        <v>42</v>
      </c>
      <c r="AQ44" s="456" t="s">
        <v>42</v>
      </c>
      <c r="AR44" s="456" t="s">
        <v>44</v>
      </c>
      <c r="AS44" s="456" t="s">
        <v>41</v>
      </c>
      <c r="AT44" s="456" t="s">
        <v>43</v>
      </c>
      <c r="AU44" s="456" t="s">
        <v>43</v>
      </c>
      <c r="AV44" s="456" t="s">
        <v>42</v>
      </c>
      <c r="AW44" s="456" t="s">
        <v>44</v>
      </c>
      <c r="AX44" s="456" t="s">
        <v>44</v>
      </c>
      <c r="AY44" s="456" t="s">
        <v>41</v>
      </c>
      <c r="AZ44" s="456" t="s">
        <v>42</v>
      </c>
      <c r="BA44" s="456" t="s">
        <v>41</v>
      </c>
      <c r="BB44" s="456" t="s">
        <v>41</v>
      </c>
      <c r="BD44" s="369" t="s">
        <v>44</v>
      </c>
      <c r="BE44" s="458">
        <v>3.0</v>
      </c>
      <c r="BF44" s="458">
        <v>3.0</v>
      </c>
      <c r="BG44" s="458">
        <v>2.0</v>
      </c>
      <c r="BH44" s="458">
        <v>2.0</v>
      </c>
      <c r="BI44" s="371">
        <f t="shared" si="1"/>
        <v>62.5</v>
      </c>
      <c r="BJ44" s="377" t="str">
        <f t="shared" si="2"/>
        <v>Adequado</v>
      </c>
      <c r="BK44" s="373"/>
      <c r="BL44" s="374">
        <f t="shared" si="3"/>
        <v>11</v>
      </c>
      <c r="BM44" s="374">
        <f t="shared" si="4"/>
        <v>272</v>
      </c>
      <c r="BN44" s="459" t="str">
        <f t="shared" si="5"/>
        <v>Adequado</v>
      </c>
      <c r="BO44" s="376">
        <f t="shared" si="6"/>
        <v>4</v>
      </c>
      <c r="BP44" s="374">
        <f t="shared" si="7"/>
        <v>78</v>
      </c>
      <c r="BQ44" s="377" t="str">
        <f t="shared" si="8"/>
        <v>Abaixo do Básico</v>
      </c>
      <c r="BR44" s="25"/>
    </row>
    <row r="45" ht="15.75" customHeight="1">
      <c r="A45" s="455">
        <v>16.0</v>
      </c>
      <c r="B45" s="378" t="s">
        <v>425</v>
      </c>
      <c r="C45" s="363" t="s">
        <v>170</v>
      </c>
      <c r="D45" s="447" t="s">
        <v>41</v>
      </c>
      <c r="E45" s="456" t="s">
        <v>44</v>
      </c>
      <c r="F45" s="456" t="s">
        <v>41</v>
      </c>
      <c r="G45" s="456" t="s">
        <v>43</v>
      </c>
      <c r="H45" s="456" t="s">
        <v>43</v>
      </c>
      <c r="I45" s="456" t="s">
        <v>42</v>
      </c>
      <c r="J45" s="456" t="s">
        <v>44</v>
      </c>
      <c r="K45" s="456" t="s">
        <v>44</v>
      </c>
      <c r="L45" s="456" t="s">
        <v>41</v>
      </c>
      <c r="M45" s="456" t="s">
        <v>42</v>
      </c>
      <c r="N45" s="456" t="s">
        <v>41</v>
      </c>
      <c r="O45" s="456" t="s">
        <v>42</v>
      </c>
      <c r="P45" s="456" t="s">
        <v>43</v>
      </c>
      <c r="Q45" s="456" t="s">
        <v>44</v>
      </c>
      <c r="R45" s="456" t="s">
        <v>41</v>
      </c>
      <c r="S45" s="456" t="s">
        <v>41</v>
      </c>
      <c r="T45" s="456" t="s">
        <v>42</v>
      </c>
      <c r="U45" s="456" t="s">
        <v>41</v>
      </c>
      <c r="V45" s="456" t="s">
        <v>173</v>
      </c>
      <c r="W45" s="456" t="s">
        <v>41</v>
      </c>
      <c r="X45" s="456" t="s">
        <v>42</v>
      </c>
      <c r="Y45" s="456" t="s">
        <v>44</v>
      </c>
      <c r="Z45" s="456" t="s">
        <v>42</v>
      </c>
      <c r="AA45" s="456" t="s">
        <v>42</v>
      </c>
      <c r="AB45" s="457" t="s">
        <v>43</v>
      </c>
      <c r="AC45" s="456" t="s">
        <v>41</v>
      </c>
      <c r="AD45" s="456" t="s">
        <v>42</v>
      </c>
      <c r="AE45" s="456" t="s">
        <v>43</v>
      </c>
      <c r="AF45" s="456" t="s">
        <v>42</v>
      </c>
      <c r="AG45" s="456" t="s">
        <v>44</v>
      </c>
      <c r="AH45" s="456" t="s">
        <v>41</v>
      </c>
      <c r="AI45" s="456" t="s">
        <v>44</v>
      </c>
      <c r="AJ45" s="456" t="s">
        <v>44</v>
      </c>
      <c r="AK45" s="456" t="s">
        <v>41</v>
      </c>
      <c r="AL45" s="456" t="s">
        <v>42</v>
      </c>
      <c r="AM45" s="456" t="s">
        <v>44</v>
      </c>
      <c r="AN45" s="456" t="s">
        <v>41</v>
      </c>
      <c r="AO45" s="456" t="s">
        <v>43</v>
      </c>
      <c r="AP45" s="456" t="s">
        <v>44</v>
      </c>
      <c r="AQ45" s="456" t="s">
        <v>43</v>
      </c>
      <c r="AR45" s="456" t="s">
        <v>43</v>
      </c>
      <c r="AS45" s="456" t="s">
        <v>44</v>
      </c>
      <c r="AT45" s="456" t="s">
        <v>43</v>
      </c>
      <c r="AU45" s="456" t="s">
        <v>44</v>
      </c>
      <c r="AV45" s="456" t="s">
        <v>41</v>
      </c>
      <c r="AW45" s="456" t="s">
        <v>44</v>
      </c>
      <c r="AX45" s="456" t="s">
        <v>42</v>
      </c>
      <c r="AY45" s="456" t="s">
        <v>44</v>
      </c>
      <c r="AZ45" s="456" t="s">
        <v>44</v>
      </c>
      <c r="BA45" s="456" t="s">
        <v>42</v>
      </c>
      <c r="BB45" s="456" t="s">
        <v>44</v>
      </c>
      <c r="BD45" s="369" t="s">
        <v>44</v>
      </c>
      <c r="BE45" s="458">
        <v>3.0</v>
      </c>
      <c r="BF45" s="458">
        <v>3.0</v>
      </c>
      <c r="BG45" s="458">
        <v>3.0</v>
      </c>
      <c r="BH45" s="458">
        <v>3.0</v>
      </c>
      <c r="BI45" s="371">
        <f t="shared" si="1"/>
        <v>75</v>
      </c>
      <c r="BJ45" s="377" t="str">
        <f t="shared" si="2"/>
        <v>Adequado</v>
      </c>
      <c r="BK45" s="373"/>
      <c r="BL45" s="374">
        <f t="shared" si="3"/>
        <v>14</v>
      </c>
      <c r="BM45" s="374">
        <f t="shared" si="4"/>
        <v>263</v>
      </c>
      <c r="BN45" s="459" t="str">
        <f t="shared" si="5"/>
        <v>Adequado</v>
      </c>
      <c r="BO45" s="376">
        <f t="shared" si="6"/>
        <v>5</v>
      </c>
      <c r="BP45" s="374">
        <f t="shared" si="7"/>
        <v>87</v>
      </c>
      <c r="BQ45" s="377" t="str">
        <f t="shared" si="8"/>
        <v>Abaixo do Básico</v>
      </c>
      <c r="BR45" s="25"/>
    </row>
    <row r="46" ht="15.75" customHeight="1">
      <c r="A46" s="455">
        <v>17.0</v>
      </c>
      <c r="B46" s="378" t="s">
        <v>426</v>
      </c>
      <c r="C46" s="363" t="s">
        <v>170</v>
      </c>
      <c r="D46" s="447" t="s">
        <v>41</v>
      </c>
      <c r="E46" s="456" t="s">
        <v>44</v>
      </c>
      <c r="F46" s="456" t="s">
        <v>41</v>
      </c>
      <c r="G46" s="456" t="s">
        <v>42</v>
      </c>
      <c r="H46" s="456" t="s">
        <v>44</v>
      </c>
      <c r="I46" s="456" t="s">
        <v>43</v>
      </c>
      <c r="J46" s="456" t="s">
        <v>41</v>
      </c>
      <c r="K46" s="456" t="s">
        <v>44</v>
      </c>
      <c r="L46" s="456" t="s">
        <v>43</v>
      </c>
      <c r="M46" s="456" t="s">
        <v>44</v>
      </c>
      <c r="N46" s="456" t="s">
        <v>44</v>
      </c>
      <c r="O46" s="456" t="s">
        <v>44</v>
      </c>
      <c r="P46" s="456" t="s">
        <v>42</v>
      </c>
      <c r="Q46" s="456" t="s">
        <v>41</v>
      </c>
      <c r="R46" s="456" t="s">
        <v>41</v>
      </c>
      <c r="S46" s="456" t="s">
        <v>41</v>
      </c>
      <c r="T46" s="456" t="s">
        <v>42</v>
      </c>
      <c r="U46" s="456" t="s">
        <v>44</v>
      </c>
      <c r="V46" s="456" t="s">
        <v>42</v>
      </c>
      <c r="W46" s="456" t="s">
        <v>41</v>
      </c>
      <c r="X46" s="456" t="s">
        <v>42</v>
      </c>
      <c r="Y46" s="456" t="s">
        <v>41</v>
      </c>
      <c r="Z46" s="456" t="s">
        <v>42</v>
      </c>
      <c r="AA46" s="456" t="s">
        <v>42</v>
      </c>
      <c r="AB46" s="457" t="s">
        <v>42</v>
      </c>
      <c r="AC46" s="456" t="s">
        <v>44</v>
      </c>
      <c r="AD46" s="456" t="s">
        <v>42</v>
      </c>
      <c r="AE46" s="456" t="s">
        <v>42</v>
      </c>
      <c r="AF46" s="456" t="s">
        <v>42</v>
      </c>
      <c r="AG46" s="456" t="s">
        <v>44</v>
      </c>
      <c r="AH46" s="456" t="s">
        <v>42</v>
      </c>
      <c r="AI46" s="456" t="s">
        <v>41</v>
      </c>
      <c r="AJ46" s="456" t="s">
        <v>41</v>
      </c>
      <c r="AK46" s="456" t="s">
        <v>44</v>
      </c>
      <c r="AL46" s="456" t="s">
        <v>41</v>
      </c>
      <c r="AM46" s="456" t="s">
        <v>41</v>
      </c>
      <c r="AN46" s="456" t="s">
        <v>41</v>
      </c>
      <c r="AO46" s="456" t="s">
        <v>44</v>
      </c>
      <c r="AP46" s="456" t="s">
        <v>44</v>
      </c>
      <c r="AQ46" s="456" t="s">
        <v>42</v>
      </c>
      <c r="AR46" s="456" t="s">
        <v>42</v>
      </c>
      <c r="AS46" s="456" t="s">
        <v>43</v>
      </c>
      <c r="AT46" s="456" t="s">
        <v>42</v>
      </c>
      <c r="AU46" s="456" t="s">
        <v>41</v>
      </c>
      <c r="AV46" s="456" t="s">
        <v>44</v>
      </c>
      <c r="AW46" s="456" t="s">
        <v>173</v>
      </c>
      <c r="AX46" s="456" t="s">
        <v>42</v>
      </c>
      <c r="AY46" s="456" t="s">
        <v>41</v>
      </c>
      <c r="AZ46" s="456" t="s">
        <v>44</v>
      </c>
      <c r="BA46" s="456" t="s">
        <v>42</v>
      </c>
      <c r="BB46" s="456" t="s">
        <v>42</v>
      </c>
      <c r="BD46" s="369" t="s">
        <v>44</v>
      </c>
      <c r="BE46" s="458">
        <v>3.0</v>
      </c>
      <c r="BF46" s="458">
        <v>3.0</v>
      </c>
      <c r="BG46" s="458">
        <v>3.0</v>
      </c>
      <c r="BH46" s="458">
        <v>3.0</v>
      </c>
      <c r="BI46" s="371">
        <f t="shared" si="1"/>
        <v>75</v>
      </c>
      <c r="BJ46" s="377" t="str">
        <f t="shared" si="2"/>
        <v>Adequado</v>
      </c>
      <c r="BK46" s="373"/>
      <c r="BL46" s="374">
        <f t="shared" si="3"/>
        <v>16</v>
      </c>
      <c r="BM46" s="374">
        <f t="shared" si="4"/>
        <v>329</v>
      </c>
      <c r="BN46" s="459" t="str">
        <f t="shared" si="5"/>
        <v>Adequado</v>
      </c>
      <c r="BO46" s="376">
        <f t="shared" si="6"/>
        <v>4</v>
      </c>
      <c r="BP46" s="374">
        <f t="shared" si="7"/>
        <v>78</v>
      </c>
      <c r="BQ46" s="377" t="str">
        <f t="shared" si="8"/>
        <v>Abaixo do Básico</v>
      </c>
      <c r="BR46" s="25"/>
    </row>
    <row r="47" ht="15.75" customHeight="1">
      <c r="A47" s="455">
        <v>18.0</v>
      </c>
      <c r="B47" s="378" t="s">
        <v>427</v>
      </c>
      <c r="C47" s="363" t="s">
        <v>170</v>
      </c>
      <c r="D47" s="447" t="s">
        <v>43</v>
      </c>
      <c r="E47" s="456" t="s">
        <v>44</v>
      </c>
      <c r="F47" s="456" t="s">
        <v>41</v>
      </c>
      <c r="G47" s="456" t="s">
        <v>41</v>
      </c>
      <c r="H47" s="456" t="s">
        <v>43</v>
      </c>
      <c r="I47" s="456" t="s">
        <v>42</v>
      </c>
      <c r="J47" s="456" t="s">
        <v>41</v>
      </c>
      <c r="K47" s="456" t="s">
        <v>44</v>
      </c>
      <c r="L47" s="456" t="s">
        <v>42</v>
      </c>
      <c r="M47" s="456" t="s">
        <v>41</v>
      </c>
      <c r="N47" s="456" t="s">
        <v>43</v>
      </c>
      <c r="O47" s="456" t="s">
        <v>42</v>
      </c>
      <c r="P47" s="456" t="s">
        <v>43</v>
      </c>
      <c r="Q47" s="456" t="s">
        <v>44</v>
      </c>
      <c r="R47" s="456" t="s">
        <v>41</v>
      </c>
      <c r="S47" s="456" t="s">
        <v>41</v>
      </c>
      <c r="T47" s="456" t="s">
        <v>42</v>
      </c>
      <c r="U47" s="456" t="s">
        <v>44</v>
      </c>
      <c r="V47" s="456" t="s">
        <v>41</v>
      </c>
      <c r="W47" s="456" t="s">
        <v>41</v>
      </c>
      <c r="X47" s="456" t="s">
        <v>43</v>
      </c>
      <c r="Y47" s="456" t="s">
        <v>42</v>
      </c>
      <c r="Z47" s="456" t="s">
        <v>42</v>
      </c>
      <c r="AA47" s="456" t="s">
        <v>43</v>
      </c>
      <c r="AB47" s="457" t="s">
        <v>43</v>
      </c>
      <c r="AC47" s="456" t="s">
        <v>43</v>
      </c>
      <c r="AD47" s="456" t="s">
        <v>41</v>
      </c>
      <c r="AE47" s="456" t="s">
        <v>44</v>
      </c>
      <c r="AF47" s="456" t="s">
        <v>42</v>
      </c>
      <c r="AG47" s="456" t="s">
        <v>41</v>
      </c>
      <c r="AH47" s="456" t="s">
        <v>43</v>
      </c>
      <c r="AI47" s="456" t="s">
        <v>44</v>
      </c>
      <c r="AJ47" s="456" t="s">
        <v>41</v>
      </c>
      <c r="AK47" s="456" t="s">
        <v>43</v>
      </c>
      <c r="AL47" s="456" t="s">
        <v>44</v>
      </c>
      <c r="AM47" s="456" t="s">
        <v>41</v>
      </c>
      <c r="AN47" s="456" t="s">
        <v>43</v>
      </c>
      <c r="AO47" s="456" t="s">
        <v>43</v>
      </c>
      <c r="AP47" s="456" t="s">
        <v>42</v>
      </c>
      <c r="AQ47" s="456" t="s">
        <v>41</v>
      </c>
      <c r="AR47" s="456" t="s">
        <v>41</v>
      </c>
      <c r="AS47" s="456" t="s">
        <v>41</v>
      </c>
      <c r="AT47" s="456" t="s">
        <v>42</v>
      </c>
      <c r="AU47" s="456" t="s">
        <v>43</v>
      </c>
      <c r="AV47" s="456" t="s">
        <v>44</v>
      </c>
      <c r="AW47" s="456" t="s">
        <v>42</v>
      </c>
      <c r="AX47" s="456" t="s">
        <v>43</v>
      </c>
      <c r="AY47" s="456" t="s">
        <v>41</v>
      </c>
      <c r="AZ47" s="456" t="s">
        <v>41</v>
      </c>
      <c r="BA47" s="456" t="s">
        <v>42</v>
      </c>
      <c r="BB47" s="456" t="s">
        <v>41</v>
      </c>
      <c r="BD47" s="369" t="s">
        <v>44</v>
      </c>
      <c r="BE47" s="458">
        <v>3.0</v>
      </c>
      <c r="BF47" s="458">
        <v>3.0</v>
      </c>
      <c r="BG47" s="458">
        <v>3.0</v>
      </c>
      <c r="BH47" s="458">
        <v>3.0</v>
      </c>
      <c r="BI47" s="371">
        <f t="shared" si="1"/>
        <v>75</v>
      </c>
      <c r="BJ47" s="377" t="str">
        <f t="shared" si="2"/>
        <v>Adequado</v>
      </c>
      <c r="BK47" s="373"/>
      <c r="BL47" s="374">
        <f t="shared" si="3"/>
        <v>13</v>
      </c>
      <c r="BM47" s="374">
        <f t="shared" si="4"/>
        <v>226</v>
      </c>
      <c r="BN47" s="459" t="str">
        <f t="shared" si="5"/>
        <v>Básico</v>
      </c>
      <c r="BO47" s="376">
        <f t="shared" si="6"/>
        <v>8</v>
      </c>
      <c r="BP47" s="374">
        <f t="shared" si="7"/>
        <v>156</v>
      </c>
      <c r="BQ47" s="377" t="str">
        <f t="shared" si="8"/>
        <v>Básico</v>
      </c>
      <c r="BR47" s="25"/>
    </row>
    <row r="48" ht="15.75" customHeight="1">
      <c r="A48" s="455">
        <v>19.0</v>
      </c>
      <c r="B48" s="378" t="s">
        <v>428</v>
      </c>
      <c r="C48" s="363" t="s">
        <v>170</v>
      </c>
      <c r="D48" s="447" t="s">
        <v>42</v>
      </c>
      <c r="E48" s="456" t="s">
        <v>173</v>
      </c>
      <c r="F48" s="456" t="s">
        <v>41</v>
      </c>
      <c r="G48" s="456" t="s">
        <v>42</v>
      </c>
      <c r="H48" s="456" t="s">
        <v>43</v>
      </c>
      <c r="I48" s="456" t="s">
        <v>42</v>
      </c>
      <c r="J48" s="456" t="s">
        <v>44</v>
      </c>
      <c r="K48" s="456" t="s">
        <v>44</v>
      </c>
      <c r="L48" s="456" t="s">
        <v>42</v>
      </c>
      <c r="M48" s="456" t="s">
        <v>41</v>
      </c>
      <c r="N48" s="456" t="s">
        <v>41</v>
      </c>
      <c r="O48" s="456" t="s">
        <v>43</v>
      </c>
      <c r="P48" s="456" t="s">
        <v>42</v>
      </c>
      <c r="Q48" s="456" t="s">
        <v>42</v>
      </c>
      <c r="R48" s="456" t="s">
        <v>44</v>
      </c>
      <c r="S48" s="456" t="s">
        <v>41</v>
      </c>
      <c r="T48" s="456" t="s">
        <v>42</v>
      </c>
      <c r="U48" s="456" t="s">
        <v>42</v>
      </c>
      <c r="V48" s="456" t="s">
        <v>42</v>
      </c>
      <c r="W48" s="456" t="s">
        <v>44</v>
      </c>
      <c r="X48" s="456" t="s">
        <v>41</v>
      </c>
      <c r="Y48" s="456" t="s">
        <v>41</v>
      </c>
      <c r="Z48" s="456" t="s">
        <v>42</v>
      </c>
      <c r="AA48" s="456" t="s">
        <v>44</v>
      </c>
      <c r="AB48" s="457" t="s">
        <v>41</v>
      </c>
      <c r="AC48" s="456" t="s">
        <v>42</v>
      </c>
      <c r="AD48" s="456" t="s">
        <v>44</v>
      </c>
      <c r="AE48" s="456" t="s">
        <v>42</v>
      </c>
      <c r="AF48" s="456" t="s">
        <v>41</v>
      </c>
      <c r="AG48" s="456" t="s">
        <v>43</v>
      </c>
      <c r="AH48" s="456" t="s">
        <v>42</v>
      </c>
      <c r="AI48" s="456" t="s">
        <v>41</v>
      </c>
      <c r="AJ48" s="456" t="s">
        <v>173</v>
      </c>
      <c r="AK48" s="456" t="s">
        <v>41</v>
      </c>
      <c r="AL48" s="456" t="s">
        <v>44</v>
      </c>
      <c r="AM48" s="456" t="s">
        <v>43</v>
      </c>
      <c r="AN48" s="456" t="s">
        <v>43</v>
      </c>
      <c r="AO48" s="456" t="s">
        <v>42</v>
      </c>
      <c r="AP48" s="456" t="s">
        <v>44</v>
      </c>
      <c r="AQ48" s="456" t="s">
        <v>41</v>
      </c>
      <c r="AR48" s="456" t="s">
        <v>42</v>
      </c>
      <c r="AS48" s="456" t="s">
        <v>41</v>
      </c>
      <c r="AT48" s="456" t="s">
        <v>41</v>
      </c>
      <c r="AU48" s="456" t="s">
        <v>43</v>
      </c>
      <c r="AV48" s="456" t="s">
        <v>44</v>
      </c>
      <c r="AW48" s="456" t="s">
        <v>41</v>
      </c>
      <c r="AX48" s="456" t="s">
        <v>43</v>
      </c>
      <c r="AY48" s="456" t="s">
        <v>42</v>
      </c>
      <c r="AZ48" s="456" t="s">
        <v>41</v>
      </c>
      <c r="BA48" s="456" t="s">
        <v>41</v>
      </c>
      <c r="BB48" s="456" t="s">
        <v>42</v>
      </c>
      <c r="BD48" s="369" t="s">
        <v>44</v>
      </c>
      <c r="BE48" s="458">
        <v>3.0</v>
      </c>
      <c r="BF48" s="458">
        <v>3.0</v>
      </c>
      <c r="BG48" s="458">
        <v>3.0</v>
      </c>
      <c r="BH48" s="458">
        <v>3.0</v>
      </c>
      <c r="BI48" s="371">
        <f t="shared" si="1"/>
        <v>75</v>
      </c>
      <c r="BJ48" s="377" t="str">
        <f t="shared" si="2"/>
        <v>Adequado</v>
      </c>
      <c r="BK48" s="373"/>
      <c r="BL48" s="374">
        <f t="shared" si="3"/>
        <v>11</v>
      </c>
      <c r="BM48" s="374">
        <f t="shared" si="4"/>
        <v>216</v>
      </c>
      <c r="BN48" s="459" t="str">
        <f t="shared" si="5"/>
        <v>Básico</v>
      </c>
      <c r="BO48" s="376">
        <f t="shared" si="6"/>
        <v>9</v>
      </c>
      <c r="BP48" s="374">
        <f t="shared" si="7"/>
        <v>171</v>
      </c>
      <c r="BQ48" s="377" t="str">
        <f t="shared" si="8"/>
        <v>Básico</v>
      </c>
      <c r="BR48" s="25"/>
    </row>
    <row r="49" ht="15.75" customHeight="1">
      <c r="A49" s="455">
        <v>20.0</v>
      </c>
      <c r="B49" s="378" t="s">
        <v>429</v>
      </c>
      <c r="C49" s="363" t="s">
        <v>170</v>
      </c>
      <c r="D49" s="447" t="s">
        <v>43</v>
      </c>
      <c r="E49" s="456" t="s">
        <v>44</v>
      </c>
      <c r="F49" s="456" t="s">
        <v>41</v>
      </c>
      <c r="G49" s="456" t="s">
        <v>42</v>
      </c>
      <c r="H49" s="456" t="s">
        <v>43</v>
      </c>
      <c r="I49" s="456" t="s">
        <v>43</v>
      </c>
      <c r="J49" s="456" t="s">
        <v>41</v>
      </c>
      <c r="K49" s="456" t="s">
        <v>44</v>
      </c>
      <c r="L49" s="456" t="s">
        <v>43</v>
      </c>
      <c r="M49" s="456" t="s">
        <v>42</v>
      </c>
      <c r="N49" s="456" t="s">
        <v>44</v>
      </c>
      <c r="O49" s="456" t="s">
        <v>42</v>
      </c>
      <c r="P49" s="456" t="s">
        <v>42</v>
      </c>
      <c r="Q49" s="456" t="s">
        <v>42</v>
      </c>
      <c r="R49" s="456" t="s">
        <v>44</v>
      </c>
      <c r="S49" s="456" t="s">
        <v>41</v>
      </c>
      <c r="T49" s="456" t="s">
        <v>43</v>
      </c>
      <c r="U49" s="456" t="s">
        <v>44</v>
      </c>
      <c r="V49" s="456" t="s">
        <v>42</v>
      </c>
      <c r="W49" s="456" t="s">
        <v>41</v>
      </c>
      <c r="X49" s="456" t="s">
        <v>44</v>
      </c>
      <c r="Y49" s="456" t="s">
        <v>43</v>
      </c>
      <c r="Z49" s="456" t="s">
        <v>42</v>
      </c>
      <c r="AA49" s="456" t="s">
        <v>42</v>
      </c>
      <c r="AB49" s="457" t="s">
        <v>44</v>
      </c>
      <c r="AC49" s="456" t="s">
        <v>44</v>
      </c>
      <c r="AD49" s="456" t="s">
        <v>42</v>
      </c>
      <c r="AE49" s="456" t="s">
        <v>43</v>
      </c>
      <c r="AF49" s="456" t="s">
        <v>43</v>
      </c>
      <c r="AG49" s="456" t="s">
        <v>43</v>
      </c>
      <c r="AH49" s="456" t="s">
        <v>42</v>
      </c>
      <c r="AI49" s="456" t="s">
        <v>42</v>
      </c>
      <c r="AJ49" s="456" t="s">
        <v>43</v>
      </c>
      <c r="AK49" s="456" t="s">
        <v>41</v>
      </c>
      <c r="AL49" s="456" t="s">
        <v>44</v>
      </c>
      <c r="AM49" s="456" t="s">
        <v>43</v>
      </c>
      <c r="AN49" s="456" t="s">
        <v>44</v>
      </c>
      <c r="AO49" s="456" t="s">
        <v>41</v>
      </c>
      <c r="AP49" s="456" t="s">
        <v>44</v>
      </c>
      <c r="AQ49" s="456" t="s">
        <v>43</v>
      </c>
      <c r="AR49" s="456" t="s">
        <v>41</v>
      </c>
      <c r="AS49" s="456" t="s">
        <v>42</v>
      </c>
      <c r="AT49" s="456" t="s">
        <v>41</v>
      </c>
      <c r="AU49" s="456" t="s">
        <v>42</v>
      </c>
      <c r="AV49" s="456" t="s">
        <v>44</v>
      </c>
      <c r="AW49" s="456" t="s">
        <v>42</v>
      </c>
      <c r="AX49" s="456" t="s">
        <v>41</v>
      </c>
      <c r="AY49" s="456" t="s">
        <v>44</v>
      </c>
      <c r="AZ49" s="456" t="s">
        <v>42</v>
      </c>
      <c r="BA49" s="456" t="s">
        <v>44</v>
      </c>
      <c r="BB49" s="456" t="s">
        <v>41</v>
      </c>
      <c r="BD49" s="369" t="s">
        <v>44</v>
      </c>
      <c r="BE49" s="458">
        <v>2.0</v>
      </c>
      <c r="BF49" s="458">
        <v>2.0</v>
      </c>
      <c r="BG49" s="458">
        <v>2.0</v>
      </c>
      <c r="BH49" s="458">
        <v>2.0</v>
      </c>
      <c r="BI49" s="371">
        <f t="shared" si="1"/>
        <v>50</v>
      </c>
      <c r="BJ49" s="377" t="str">
        <f t="shared" si="2"/>
        <v>Básico</v>
      </c>
      <c r="BK49" s="373"/>
      <c r="BL49" s="374">
        <f t="shared" si="3"/>
        <v>19</v>
      </c>
      <c r="BM49" s="374">
        <f t="shared" si="4"/>
        <v>358</v>
      </c>
      <c r="BN49" s="459" t="str">
        <f t="shared" si="5"/>
        <v>Adequado</v>
      </c>
      <c r="BO49" s="376">
        <f t="shared" si="6"/>
        <v>4</v>
      </c>
      <c r="BP49" s="374">
        <f t="shared" si="7"/>
        <v>92</v>
      </c>
      <c r="BQ49" s="377" t="str">
        <f t="shared" si="8"/>
        <v>Abaixo do Básico</v>
      </c>
      <c r="BR49" s="25"/>
    </row>
    <row r="50" ht="15.75" customHeight="1">
      <c r="A50" s="455">
        <v>21.0</v>
      </c>
      <c r="B50" s="378" t="s">
        <v>430</v>
      </c>
      <c r="C50" s="363" t="s">
        <v>170</v>
      </c>
      <c r="D50" s="447" t="s">
        <v>41</v>
      </c>
      <c r="E50" s="456" t="s">
        <v>42</v>
      </c>
      <c r="F50" s="456" t="s">
        <v>41</v>
      </c>
      <c r="G50" s="456" t="s">
        <v>44</v>
      </c>
      <c r="H50" s="456" t="s">
        <v>43</v>
      </c>
      <c r="I50" s="456" t="s">
        <v>42</v>
      </c>
      <c r="J50" s="456" t="s">
        <v>41</v>
      </c>
      <c r="K50" s="456" t="s">
        <v>44</v>
      </c>
      <c r="L50" s="456" t="s">
        <v>42</v>
      </c>
      <c r="M50" s="456" t="s">
        <v>44</v>
      </c>
      <c r="N50" s="456" t="s">
        <v>41</v>
      </c>
      <c r="O50" s="456" t="s">
        <v>43</v>
      </c>
      <c r="P50" s="456" t="s">
        <v>42</v>
      </c>
      <c r="Q50" s="456" t="s">
        <v>44</v>
      </c>
      <c r="R50" s="456" t="s">
        <v>41</v>
      </c>
      <c r="S50" s="456" t="s">
        <v>42</v>
      </c>
      <c r="T50" s="456" t="s">
        <v>41</v>
      </c>
      <c r="U50" s="456" t="s">
        <v>42</v>
      </c>
      <c r="V50" s="456" t="s">
        <v>44</v>
      </c>
      <c r="W50" s="456" t="s">
        <v>43</v>
      </c>
      <c r="X50" s="456" t="s">
        <v>44</v>
      </c>
      <c r="Y50" s="456" t="s">
        <v>41</v>
      </c>
      <c r="Z50" s="456" t="s">
        <v>42</v>
      </c>
      <c r="AA50" s="456" t="s">
        <v>173</v>
      </c>
      <c r="AB50" s="457" t="s">
        <v>43</v>
      </c>
      <c r="AC50" s="456" t="s">
        <v>44</v>
      </c>
      <c r="AD50" s="456" t="s">
        <v>42</v>
      </c>
      <c r="AE50" s="456" t="s">
        <v>42</v>
      </c>
      <c r="AF50" s="456" t="s">
        <v>41</v>
      </c>
      <c r="AG50" s="456" t="s">
        <v>44</v>
      </c>
      <c r="AH50" s="456" t="s">
        <v>42</v>
      </c>
      <c r="AI50" s="456" t="s">
        <v>43</v>
      </c>
      <c r="AJ50" s="456" t="s">
        <v>43</v>
      </c>
      <c r="AK50" s="456" t="s">
        <v>41</v>
      </c>
      <c r="AL50" s="456" t="s">
        <v>43</v>
      </c>
      <c r="AM50" s="456" t="s">
        <v>44</v>
      </c>
      <c r="AN50" s="456" t="s">
        <v>43</v>
      </c>
      <c r="AO50" s="456" t="s">
        <v>42</v>
      </c>
      <c r="AP50" s="456" t="s">
        <v>41</v>
      </c>
      <c r="AQ50" s="456" t="s">
        <v>42</v>
      </c>
      <c r="AR50" s="456" t="s">
        <v>44</v>
      </c>
      <c r="AS50" s="456" t="s">
        <v>43</v>
      </c>
      <c r="AT50" s="456" t="s">
        <v>41</v>
      </c>
      <c r="AU50" s="456" t="s">
        <v>42</v>
      </c>
      <c r="AV50" s="456" t="s">
        <v>44</v>
      </c>
      <c r="AW50" s="456" t="s">
        <v>41</v>
      </c>
      <c r="AX50" s="456" t="s">
        <v>44</v>
      </c>
      <c r="AY50" s="456" t="s">
        <v>41</v>
      </c>
      <c r="AZ50" s="456" t="s">
        <v>44</v>
      </c>
      <c r="BA50" s="456" t="s">
        <v>43</v>
      </c>
      <c r="BB50" s="456" t="s">
        <v>42</v>
      </c>
      <c r="BD50" s="369" t="s">
        <v>44</v>
      </c>
      <c r="BE50" s="458">
        <v>2.0</v>
      </c>
      <c r="BF50" s="458">
        <v>1.0</v>
      </c>
      <c r="BG50" s="458">
        <v>1.0</v>
      </c>
      <c r="BH50" s="458">
        <v>1.0</v>
      </c>
      <c r="BI50" s="371">
        <f t="shared" si="1"/>
        <v>31.25</v>
      </c>
      <c r="BJ50" s="377" t="str">
        <f t="shared" si="2"/>
        <v>Básico</v>
      </c>
      <c r="BK50" s="373"/>
      <c r="BL50" s="374">
        <f t="shared" si="3"/>
        <v>9</v>
      </c>
      <c r="BM50" s="374">
        <f t="shared" si="4"/>
        <v>160</v>
      </c>
      <c r="BN50" s="459" t="str">
        <f t="shared" si="5"/>
        <v>Básico</v>
      </c>
      <c r="BO50" s="376">
        <f t="shared" si="6"/>
        <v>7</v>
      </c>
      <c r="BP50" s="374">
        <f t="shared" si="7"/>
        <v>132</v>
      </c>
      <c r="BQ50" s="377" t="str">
        <f t="shared" si="8"/>
        <v>Básico</v>
      </c>
      <c r="BR50" s="25"/>
    </row>
    <row r="51" ht="15.75" customHeight="1">
      <c r="A51" s="455">
        <v>22.0</v>
      </c>
      <c r="B51" s="378" t="s">
        <v>431</v>
      </c>
      <c r="C51" s="363" t="s">
        <v>170</v>
      </c>
      <c r="D51" s="447" t="s">
        <v>43</v>
      </c>
      <c r="E51" s="456" t="s">
        <v>44</v>
      </c>
      <c r="F51" s="456" t="s">
        <v>41</v>
      </c>
      <c r="G51" s="456" t="s">
        <v>42</v>
      </c>
      <c r="H51" s="456" t="s">
        <v>43</v>
      </c>
      <c r="I51" s="456" t="s">
        <v>44</v>
      </c>
      <c r="J51" s="456" t="s">
        <v>44</v>
      </c>
      <c r="K51" s="456" t="s">
        <v>44</v>
      </c>
      <c r="L51" s="456" t="s">
        <v>41</v>
      </c>
      <c r="M51" s="456" t="s">
        <v>42</v>
      </c>
      <c r="N51" s="456" t="s">
        <v>44</v>
      </c>
      <c r="O51" s="456" t="s">
        <v>42</v>
      </c>
      <c r="P51" s="456" t="s">
        <v>42</v>
      </c>
      <c r="Q51" s="456" t="s">
        <v>44</v>
      </c>
      <c r="R51" s="456" t="s">
        <v>41</v>
      </c>
      <c r="S51" s="456" t="s">
        <v>41</v>
      </c>
      <c r="T51" s="456" t="s">
        <v>42</v>
      </c>
      <c r="U51" s="456" t="s">
        <v>44</v>
      </c>
      <c r="V51" s="456" t="s">
        <v>41</v>
      </c>
      <c r="W51" s="456" t="s">
        <v>41</v>
      </c>
      <c r="X51" s="456" t="s">
        <v>42</v>
      </c>
      <c r="Y51" s="456" t="s">
        <v>41</v>
      </c>
      <c r="Z51" s="456" t="s">
        <v>42</v>
      </c>
      <c r="AA51" s="456" t="s">
        <v>44</v>
      </c>
      <c r="AB51" s="457" t="s">
        <v>42</v>
      </c>
      <c r="AC51" s="456" t="s">
        <v>42</v>
      </c>
      <c r="AD51" s="456" t="s">
        <v>173</v>
      </c>
      <c r="AE51" s="456" t="s">
        <v>173</v>
      </c>
      <c r="AF51" s="456" t="s">
        <v>42</v>
      </c>
      <c r="AG51" s="456" t="s">
        <v>41</v>
      </c>
      <c r="AH51" s="456" t="s">
        <v>42</v>
      </c>
      <c r="AI51" s="456" t="s">
        <v>42</v>
      </c>
      <c r="AJ51" s="456" t="s">
        <v>41</v>
      </c>
      <c r="AK51" s="456" t="s">
        <v>41</v>
      </c>
      <c r="AL51" s="456" t="s">
        <v>41</v>
      </c>
      <c r="AM51" s="456" t="s">
        <v>42</v>
      </c>
      <c r="AN51" s="456" t="s">
        <v>44</v>
      </c>
      <c r="AO51" s="456" t="s">
        <v>41</v>
      </c>
      <c r="AP51" s="456" t="s">
        <v>42</v>
      </c>
      <c r="AQ51" s="456" t="s">
        <v>44</v>
      </c>
      <c r="AR51" s="456" t="s">
        <v>41</v>
      </c>
      <c r="AS51" s="456" t="s">
        <v>41</v>
      </c>
      <c r="AT51" s="456" t="s">
        <v>43</v>
      </c>
      <c r="AU51" s="456" t="s">
        <v>42</v>
      </c>
      <c r="AV51" s="456" t="s">
        <v>41</v>
      </c>
      <c r="AW51" s="456" t="s">
        <v>42</v>
      </c>
      <c r="AX51" s="456" t="s">
        <v>42</v>
      </c>
      <c r="AY51" s="456" t="s">
        <v>43</v>
      </c>
      <c r="AZ51" s="456" t="s">
        <v>44</v>
      </c>
      <c r="BA51" s="456" t="s">
        <v>44</v>
      </c>
      <c r="BB51" s="456" t="s">
        <v>41</v>
      </c>
      <c r="BD51" s="369" t="s">
        <v>44</v>
      </c>
      <c r="BE51" s="458">
        <v>2.0</v>
      </c>
      <c r="BF51" s="458">
        <v>2.0</v>
      </c>
      <c r="BG51" s="458">
        <v>2.0</v>
      </c>
      <c r="BH51" s="458">
        <v>2.0</v>
      </c>
      <c r="BI51" s="371">
        <f t="shared" si="1"/>
        <v>50</v>
      </c>
      <c r="BJ51" s="377" t="str">
        <f t="shared" si="2"/>
        <v>Básico</v>
      </c>
      <c r="BK51" s="373"/>
      <c r="BL51" s="374">
        <f t="shared" si="3"/>
        <v>16</v>
      </c>
      <c r="BM51" s="374">
        <f t="shared" si="4"/>
        <v>310</v>
      </c>
      <c r="BN51" s="459" t="str">
        <f t="shared" si="5"/>
        <v>Adequado</v>
      </c>
      <c r="BO51" s="376">
        <f t="shared" si="6"/>
        <v>3</v>
      </c>
      <c r="BP51" s="374">
        <f t="shared" si="7"/>
        <v>55</v>
      </c>
      <c r="BQ51" s="377" t="str">
        <f t="shared" si="8"/>
        <v>Abaixo do Básico</v>
      </c>
      <c r="BR51" s="25"/>
    </row>
    <row r="52" ht="15.75" customHeight="1">
      <c r="A52" s="455">
        <v>23.0</v>
      </c>
      <c r="B52" s="378" t="s">
        <v>432</v>
      </c>
      <c r="C52" s="363" t="s">
        <v>170</v>
      </c>
      <c r="D52" s="447" t="s">
        <v>44</v>
      </c>
      <c r="E52" s="456" t="s">
        <v>41</v>
      </c>
      <c r="F52" s="456" t="s">
        <v>42</v>
      </c>
      <c r="G52" s="456" t="s">
        <v>43</v>
      </c>
      <c r="H52" s="456" t="s">
        <v>42</v>
      </c>
      <c r="I52" s="456" t="s">
        <v>44</v>
      </c>
      <c r="J52" s="456" t="s">
        <v>44</v>
      </c>
      <c r="K52" s="456" t="s">
        <v>44</v>
      </c>
      <c r="L52" s="456" t="s">
        <v>41</v>
      </c>
      <c r="M52" s="456" t="s">
        <v>43</v>
      </c>
      <c r="N52" s="456" t="s">
        <v>41</v>
      </c>
      <c r="O52" s="456" t="s">
        <v>44</v>
      </c>
      <c r="P52" s="456" t="s">
        <v>42</v>
      </c>
      <c r="Q52" s="456" t="s">
        <v>44</v>
      </c>
      <c r="R52" s="456" t="s">
        <v>43</v>
      </c>
      <c r="S52" s="456" t="s">
        <v>41</v>
      </c>
      <c r="T52" s="456" t="s">
        <v>43</v>
      </c>
      <c r="U52" s="456" t="s">
        <v>44</v>
      </c>
      <c r="V52" s="456" t="s">
        <v>44</v>
      </c>
      <c r="W52" s="456" t="s">
        <v>43</v>
      </c>
      <c r="X52" s="456" t="s">
        <v>42</v>
      </c>
      <c r="Y52" s="456" t="s">
        <v>41</v>
      </c>
      <c r="Z52" s="456" t="s">
        <v>44</v>
      </c>
      <c r="AA52" s="456" t="s">
        <v>41</v>
      </c>
      <c r="AB52" s="457" t="s">
        <v>41</v>
      </c>
      <c r="AC52" s="456" t="s">
        <v>43</v>
      </c>
      <c r="AD52" s="456" t="s">
        <v>42</v>
      </c>
      <c r="AE52" s="456" t="s">
        <v>43</v>
      </c>
      <c r="AF52" s="456" t="s">
        <v>41</v>
      </c>
      <c r="AG52" s="456" t="s">
        <v>41</v>
      </c>
      <c r="AH52" s="456" t="s">
        <v>42</v>
      </c>
      <c r="AI52" s="456" t="s">
        <v>44</v>
      </c>
      <c r="AJ52" s="456" t="s">
        <v>44</v>
      </c>
      <c r="AK52" s="456" t="s">
        <v>43</v>
      </c>
      <c r="AL52" s="456" t="s">
        <v>41</v>
      </c>
      <c r="AM52" s="456" t="s">
        <v>41</v>
      </c>
      <c r="AN52" s="456" t="s">
        <v>43</v>
      </c>
      <c r="AO52" s="456" t="s">
        <v>42</v>
      </c>
      <c r="AP52" s="456" t="s">
        <v>41</v>
      </c>
      <c r="AQ52" s="456" t="s">
        <v>43</v>
      </c>
      <c r="AR52" s="456" t="s">
        <v>41</v>
      </c>
      <c r="AS52" s="456" t="s">
        <v>44</v>
      </c>
      <c r="AT52" s="456" t="s">
        <v>43</v>
      </c>
      <c r="AU52" s="456" t="s">
        <v>42</v>
      </c>
      <c r="AV52" s="456" t="s">
        <v>41</v>
      </c>
      <c r="AW52" s="456" t="s">
        <v>41</v>
      </c>
      <c r="AX52" s="456" t="s">
        <v>43</v>
      </c>
      <c r="AY52" s="456" t="s">
        <v>44</v>
      </c>
      <c r="AZ52" s="456" t="s">
        <v>44</v>
      </c>
      <c r="BA52" s="456" t="s">
        <v>42</v>
      </c>
      <c r="BB52" s="456" t="s">
        <v>43</v>
      </c>
      <c r="BD52" s="369" t="s">
        <v>44</v>
      </c>
      <c r="BE52" s="458">
        <v>3.0</v>
      </c>
      <c r="BF52" s="458">
        <v>3.0</v>
      </c>
      <c r="BG52" s="458">
        <v>3.0</v>
      </c>
      <c r="BH52" s="458">
        <v>3.0</v>
      </c>
      <c r="BI52" s="371">
        <f t="shared" si="1"/>
        <v>75</v>
      </c>
      <c r="BJ52" s="377" t="str">
        <f t="shared" si="2"/>
        <v>Adequado</v>
      </c>
      <c r="BK52" s="373"/>
      <c r="BL52" s="374">
        <f t="shared" si="3"/>
        <v>6</v>
      </c>
      <c r="BM52" s="374">
        <f t="shared" si="4"/>
        <v>94</v>
      </c>
      <c r="BN52" s="459" t="str">
        <f t="shared" si="5"/>
        <v>Abaixo do Básico</v>
      </c>
      <c r="BO52" s="376">
        <f t="shared" si="6"/>
        <v>7</v>
      </c>
      <c r="BP52" s="374">
        <f t="shared" si="7"/>
        <v>139</v>
      </c>
      <c r="BQ52" s="377" t="str">
        <f t="shared" si="8"/>
        <v>Básico</v>
      </c>
      <c r="BR52" s="25"/>
    </row>
    <row r="53" ht="15.75" customHeight="1">
      <c r="A53" s="455">
        <v>24.0</v>
      </c>
      <c r="B53" s="378" t="s">
        <v>433</v>
      </c>
      <c r="C53" s="363" t="s">
        <v>170</v>
      </c>
      <c r="D53" s="447" t="s">
        <v>41</v>
      </c>
      <c r="E53" s="456" t="s">
        <v>42</v>
      </c>
      <c r="F53" s="456" t="s">
        <v>41</v>
      </c>
      <c r="G53" s="456" t="s">
        <v>44</v>
      </c>
      <c r="H53" s="456" t="s">
        <v>43</v>
      </c>
      <c r="I53" s="456" t="s">
        <v>42</v>
      </c>
      <c r="J53" s="456" t="s">
        <v>41</v>
      </c>
      <c r="K53" s="456" t="s">
        <v>44</v>
      </c>
      <c r="L53" s="456" t="s">
        <v>42</v>
      </c>
      <c r="M53" s="456" t="s">
        <v>44</v>
      </c>
      <c r="N53" s="456" t="s">
        <v>41</v>
      </c>
      <c r="O53" s="456" t="s">
        <v>43</v>
      </c>
      <c r="P53" s="456" t="s">
        <v>42</v>
      </c>
      <c r="Q53" s="456" t="s">
        <v>44</v>
      </c>
      <c r="R53" s="456" t="s">
        <v>41</v>
      </c>
      <c r="S53" s="456" t="s">
        <v>42</v>
      </c>
      <c r="T53" s="456" t="s">
        <v>41</v>
      </c>
      <c r="U53" s="456" t="s">
        <v>42</v>
      </c>
      <c r="V53" s="456" t="s">
        <v>44</v>
      </c>
      <c r="W53" s="456" t="s">
        <v>43</v>
      </c>
      <c r="X53" s="456" t="s">
        <v>42</v>
      </c>
      <c r="Y53" s="456" t="s">
        <v>41</v>
      </c>
      <c r="Z53" s="456" t="s">
        <v>42</v>
      </c>
      <c r="AA53" s="456" t="s">
        <v>44</v>
      </c>
      <c r="AB53" s="457" t="s">
        <v>41</v>
      </c>
      <c r="AC53" s="456" t="s">
        <v>44</v>
      </c>
      <c r="AD53" s="456" t="s">
        <v>42</v>
      </c>
      <c r="AE53" s="456" t="s">
        <v>42</v>
      </c>
      <c r="AF53" s="456" t="s">
        <v>41</v>
      </c>
      <c r="AG53" s="456" t="s">
        <v>173</v>
      </c>
      <c r="AH53" s="456" t="s">
        <v>42</v>
      </c>
      <c r="AI53" s="456" t="s">
        <v>41</v>
      </c>
      <c r="AJ53" s="456" t="s">
        <v>42</v>
      </c>
      <c r="AK53" s="456" t="s">
        <v>44</v>
      </c>
      <c r="AL53" s="456" t="s">
        <v>43</v>
      </c>
      <c r="AM53" s="456" t="s">
        <v>42</v>
      </c>
      <c r="AN53" s="456" t="s">
        <v>41</v>
      </c>
      <c r="AO53" s="456" t="s">
        <v>42</v>
      </c>
      <c r="AP53" s="456" t="s">
        <v>44</v>
      </c>
      <c r="AQ53" s="456" t="s">
        <v>42</v>
      </c>
      <c r="AR53" s="456" t="s">
        <v>41</v>
      </c>
      <c r="AS53" s="456" t="s">
        <v>42</v>
      </c>
      <c r="AT53" s="456" t="s">
        <v>42</v>
      </c>
      <c r="AU53" s="456" t="s">
        <v>42</v>
      </c>
      <c r="AV53" s="456" t="s">
        <v>41</v>
      </c>
      <c r="AW53" s="456" t="s">
        <v>42</v>
      </c>
      <c r="AX53" s="456" t="s">
        <v>41</v>
      </c>
      <c r="AY53" s="456" t="s">
        <v>44</v>
      </c>
      <c r="AZ53" s="456" t="s">
        <v>43</v>
      </c>
      <c r="BA53" s="456" t="s">
        <v>41</v>
      </c>
      <c r="BB53" s="456" t="s">
        <v>42</v>
      </c>
      <c r="BD53" s="369" t="s">
        <v>44</v>
      </c>
      <c r="BE53" s="458">
        <v>2.0</v>
      </c>
      <c r="BF53" s="458">
        <v>2.0</v>
      </c>
      <c r="BG53" s="458">
        <v>2.0</v>
      </c>
      <c r="BH53" s="458">
        <v>2.0</v>
      </c>
      <c r="BI53" s="371">
        <f t="shared" si="1"/>
        <v>50</v>
      </c>
      <c r="BJ53" s="377" t="str">
        <f t="shared" si="2"/>
        <v>Básico</v>
      </c>
      <c r="BK53" s="373"/>
      <c r="BL53" s="374">
        <f t="shared" si="3"/>
        <v>8</v>
      </c>
      <c r="BM53" s="374">
        <f t="shared" si="4"/>
        <v>141</v>
      </c>
      <c r="BN53" s="459" t="str">
        <f t="shared" si="5"/>
        <v>Básico</v>
      </c>
      <c r="BO53" s="376">
        <f t="shared" si="6"/>
        <v>7</v>
      </c>
      <c r="BP53" s="374">
        <f t="shared" si="7"/>
        <v>132</v>
      </c>
      <c r="BQ53" s="377" t="str">
        <f t="shared" si="8"/>
        <v>Básico</v>
      </c>
      <c r="BR53" s="25"/>
    </row>
    <row r="54" ht="15.75" customHeight="1">
      <c r="A54" s="455">
        <v>25.0</v>
      </c>
      <c r="B54" s="378" t="s">
        <v>434</v>
      </c>
      <c r="C54" s="363" t="s">
        <v>170</v>
      </c>
      <c r="D54" s="447" t="s">
        <v>44</v>
      </c>
      <c r="E54" s="456" t="s">
        <v>41</v>
      </c>
      <c r="F54" s="456" t="s">
        <v>43</v>
      </c>
      <c r="G54" s="456" t="s">
        <v>42</v>
      </c>
      <c r="H54" s="456" t="s">
        <v>42</v>
      </c>
      <c r="I54" s="456" t="s">
        <v>173</v>
      </c>
      <c r="J54" s="456" t="s">
        <v>41</v>
      </c>
      <c r="K54" s="456" t="s">
        <v>42</v>
      </c>
      <c r="L54" s="456" t="s">
        <v>43</v>
      </c>
      <c r="M54" s="456" t="s">
        <v>44</v>
      </c>
      <c r="N54" s="456" t="s">
        <v>44</v>
      </c>
      <c r="O54" s="456" t="s">
        <v>42</v>
      </c>
      <c r="P54" s="456" t="s">
        <v>43</v>
      </c>
      <c r="Q54" s="456" t="s">
        <v>44</v>
      </c>
      <c r="R54" s="456" t="s">
        <v>42</v>
      </c>
      <c r="S54" s="456" t="s">
        <v>44</v>
      </c>
      <c r="T54" s="456" t="s">
        <v>41</v>
      </c>
      <c r="U54" s="456" t="s">
        <v>41</v>
      </c>
      <c r="V54" s="456" t="s">
        <v>43</v>
      </c>
      <c r="W54" s="456" t="s">
        <v>44</v>
      </c>
      <c r="X54" s="456" t="s">
        <v>44</v>
      </c>
      <c r="Y54" s="456" t="s">
        <v>42</v>
      </c>
      <c r="Z54" s="456" t="s">
        <v>41</v>
      </c>
      <c r="AA54" s="456" t="s">
        <v>43</v>
      </c>
      <c r="AB54" s="457" t="s">
        <v>43</v>
      </c>
      <c r="AC54" s="456" t="s">
        <v>44</v>
      </c>
      <c r="AD54" s="456" t="s">
        <v>42</v>
      </c>
      <c r="AE54" s="456" t="s">
        <v>41</v>
      </c>
      <c r="AF54" s="456" t="s">
        <v>44</v>
      </c>
      <c r="AG54" s="456" t="s">
        <v>42</v>
      </c>
      <c r="AH54" s="456" t="s">
        <v>42</v>
      </c>
      <c r="AI54" s="456" t="s">
        <v>44</v>
      </c>
      <c r="AJ54" s="456" t="s">
        <v>43</v>
      </c>
      <c r="AK54" s="456" t="s">
        <v>173</v>
      </c>
      <c r="AL54" s="456" t="s">
        <v>41</v>
      </c>
      <c r="AM54" s="456" t="s">
        <v>42</v>
      </c>
      <c r="AN54" s="456" t="s">
        <v>44</v>
      </c>
      <c r="AO54" s="456" t="s">
        <v>41</v>
      </c>
      <c r="AP54" s="456" t="s">
        <v>41</v>
      </c>
      <c r="AQ54" s="456" t="s">
        <v>44</v>
      </c>
      <c r="AR54" s="456" t="s">
        <v>43</v>
      </c>
      <c r="AS54" s="456" t="s">
        <v>44</v>
      </c>
      <c r="AT54" s="456" t="s">
        <v>42</v>
      </c>
      <c r="AU54" s="456" t="s">
        <v>43</v>
      </c>
      <c r="AV54" s="456" t="s">
        <v>41</v>
      </c>
      <c r="AW54" s="456" t="s">
        <v>42</v>
      </c>
      <c r="AX54" s="456" t="s">
        <v>44</v>
      </c>
      <c r="AY54" s="456" t="s">
        <v>42</v>
      </c>
      <c r="AZ54" s="456" t="s">
        <v>43</v>
      </c>
      <c r="BA54" s="456" t="s">
        <v>43</v>
      </c>
      <c r="BB54" s="456" t="s">
        <v>41</v>
      </c>
      <c r="BD54" s="369" t="s">
        <v>44</v>
      </c>
      <c r="BE54" s="458">
        <v>2.0</v>
      </c>
      <c r="BF54" s="458">
        <v>2.0</v>
      </c>
      <c r="BG54" s="458">
        <v>2.0</v>
      </c>
      <c r="BH54" s="458">
        <v>20.0</v>
      </c>
      <c r="BI54" s="371">
        <f t="shared" si="1"/>
        <v>162.5</v>
      </c>
      <c r="BJ54" s="377" t="str">
        <f t="shared" si="2"/>
        <v>Avançado</v>
      </c>
      <c r="BK54" s="373"/>
      <c r="BL54" s="374">
        <f t="shared" si="3"/>
        <v>8</v>
      </c>
      <c r="BM54" s="374">
        <f t="shared" si="4"/>
        <v>160</v>
      </c>
      <c r="BN54" s="459" t="str">
        <f t="shared" si="5"/>
        <v>Básico</v>
      </c>
      <c r="BO54" s="376">
        <f t="shared" si="6"/>
        <v>4</v>
      </c>
      <c r="BP54" s="374">
        <f t="shared" si="7"/>
        <v>85</v>
      </c>
      <c r="BQ54" s="377" t="str">
        <f t="shared" si="8"/>
        <v>Abaixo do Básico</v>
      </c>
      <c r="BR54" s="25"/>
    </row>
    <row r="55" ht="15.75" customHeight="1">
      <c r="A55" s="455">
        <v>26.0</v>
      </c>
      <c r="B55" s="378" t="s">
        <v>435</v>
      </c>
      <c r="C55" s="363" t="s">
        <v>170</v>
      </c>
      <c r="D55" s="447" t="s">
        <v>43</v>
      </c>
      <c r="E55" s="456" t="s">
        <v>41</v>
      </c>
      <c r="F55" s="456" t="s">
        <v>41</v>
      </c>
      <c r="G55" s="456" t="s">
        <v>42</v>
      </c>
      <c r="H55" s="456" t="s">
        <v>42</v>
      </c>
      <c r="I55" s="456" t="s">
        <v>43</v>
      </c>
      <c r="J55" s="456" t="s">
        <v>44</v>
      </c>
      <c r="K55" s="456" t="s">
        <v>42</v>
      </c>
      <c r="L55" s="456" t="s">
        <v>41</v>
      </c>
      <c r="M55" s="456" t="s">
        <v>41</v>
      </c>
      <c r="N55" s="456" t="s">
        <v>43</v>
      </c>
      <c r="O55" s="456" t="s">
        <v>43</v>
      </c>
      <c r="P55" s="456" t="s">
        <v>42</v>
      </c>
      <c r="Q55" s="456" t="s">
        <v>42</v>
      </c>
      <c r="R55" s="456" t="s">
        <v>44</v>
      </c>
      <c r="S55" s="456" t="s">
        <v>41</v>
      </c>
      <c r="T55" s="456" t="s">
        <v>42</v>
      </c>
      <c r="U55" s="456" t="s">
        <v>41</v>
      </c>
      <c r="V55" s="456" t="s">
        <v>43</v>
      </c>
      <c r="W55" s="456" t="s">
        <v>44</v>
      </c>
      <c r="X55" s="456" t="s">
        <v>41</v>
      </c>
      <c r="Y55" s="456" t="s">
        <v>41</v>
      </c>
      <c r="Z55" s="456" t="s">
        <v>42</v>
      </c>
      <c r="AA55" s="456" t="s">
        <v>41</v>
      </c>
      <c r="AB55" s="457" t="s">
        <v>44</v>
      </c>
      <c r="AC55" s="456" t="s">
        <v>44</v>
      </c>
      <c r="AD55" s="456" t="s">
        <v>43</v>
      </c>
      <c r="AE55" s="456" t="s">
        <v>42</v>
      </c>
      <c r="AF55" s="456" t="s">
        <v>44</v>
      </c>
      <c r="AG55" s="456" t="s">
        <v>43</v>
      </c>
      <c r="AH55" s="456" t="s">
        <v>42</v>
      </c>
      <c r="AI55" s="456" t="s">
        <v>41</v>
      </c>
      <c r="AJ55" s="456" t="s">
        <v>44</v>
      </c>
      <c r="AK55" s="456" t="s">
        <v>43</v>
      </c>
      <c r="AL55" s="456" t="s">
        <v>42</v>
      </c>
      <c r="AM55" s="456" t="s">
        <v>41</v>
      </c>
      <c r="AN55" s="456" t="s">
        <v>44</v>
      </c>
      <c r="AO55" s="456" t="s">
        <v>43</v>
      </c>
      <c r="AP55" s="456" t="s">
        <v>43</v>
      </c>
      <c r="AQ55" s="456" t="s">
        <v>44</v>
      </c>
      <c r="AR55" s="456" t="s">
        <v>41</v>
      </c>
      <c r="AS55" s="456" t="s">
        <v>44</v>
      </c>
      <c r="AT55" s="456" t="s">
        <v>43</v>
      </c>
      <c r="AU55" s="456" t="s">
        <v>42</v>
      </c>
      <c r="AV55" s="456" t="s">
        <v>41</v>
      </c>
      <c r="AW55" s="456" t="s">
        <v>44</v>
      </c>
      <c r="AX55" s="456" t="s">
        <v>42</v>
      </c>
      <c r="AY55" s="456" t="s">
        <v>42</v>
      </c>
      <c r="AZ55" s="456" t="s">
        <v>43</v>
      </c>
      <c r="BA55" s="456" t="s">
        <v>44</v>
      </c>
      <c r="BB55" s="456" t="s">
        <v>41</v>
      </c>
      <c r="BD55" s="369" t="s">
        <v>44</v>
      </c>
      <c r="BE55" s="458">
        <v>2.0</v>
      </c>
      <c r="BF55" s="458">
        <v>2.0</v>
      </c>
      <c r="BG55" s="458">
        <v>2.0</v>
      </c>
      <c r="BH55" s="458">
        <v>2.0</v>
      </c>
      <c r="BI55" s="371">
        <f t="shared" si="1"/>
        <v>50</v>
      </c>
      <c r="BJ55" s="377" t="str">
        <f t="shared" si="2"/>
        <v>Básico</v>
      </c>
      <c r="BK55" s="373"/>
      <c r="BL55" s="374">
        <f t="shared" si="3"/>
        <v>7</v>
      </c>
      <c r="BM55" s="374">
        <f t="shared" si="4"/>
        <v>141</v>
      </c>
      <c r="BN55" s="459" t="str">
        <f t="shared" si="5"/>
        <v>Básico</v>
      </c>
      <c r="BO55" s="376">
        <f t="shared" si="6"/>
        <v>7</v>
      </c>
      <c r="BP55" s="374">
        <f t="shared" si="7"/>
        <v>140</v>
      </c>
      <c r="BQ55" s="377" t="str">
        <f t="shared" si="8"/>
        <v>Básico</v>
      </c>
      <c r="BR55" s="25"/>
    </row>
    <row r="56" ht="15.75" customHeight="1">
      <c r="A56" s="455">
        <v>27.0</v>
      </c>
      <c r="B56" s="378" t="s">
        <v>436</v>
      </c>
      <c r="C56" s="363" t="s">
        <v>170</v>
      </c>
      <c r="D56" s="447" t="s">
        <v>43</v>
      </c>
      <c r="E56" s="456" t="s">
        <v>41</v>
      </c>
      <c r="F56" s="456" t="s">
        <v>41</v>
      </c>
      <c r="G56" s="456" t="s">
        <v>42</v>
      </c>
      <c r="H56" s="456" t="s">
        <v>42</v>
      </c>
      <c r="I56" s="456" t="s">
        <v>43</v>
      </c>
      <c r="J56" s="456" t="s">
        <v>42</v>
      </c>
      <c r="K56" s="456" t="s">
        <v>44</v>
      </c>
      <c r="L56" s="456" t="s">
        <v>42</v>
      </c>
      <c r="M56" s="456" t="s">
        <v>41</v>
      </c>
      <c r="N56" s="456" t="s">
        <v>41</v>
      </c>
      <c r="O56" s="456" t="s">
        <v>43</v>
      </c>
      <c r="P56" s="456" t="s">
        <v>42</v>
      </c>
      <c r="Q56" s="456" t="s">
        <v>42</v>
      </c>
      <c r="R56" s="456" t="s">
        <v>44</v>
      </c>
      <c r="S56" s="456" t="s">
        <v>41</v>
      </c>
      <c r="T56" s="456" t="s">
        <v>42</v>
      </c>
      <c r="U56" s="456" t="s">
        <v>41</v>
      </c>
      <c r="V56" s="456" t="s">
        <v>43</v>
      </c>
      <c r="W56" s="456" t="s">
        <v>44</v>
      </c>
      <c r="X56" s="456" t="s">
        <v>42</v>
      </c>
      <c r="Y56" s="456" t="s">
        <v>41</v>
      </c>
      <c r="Z56" s="456" t="s">
        <v>41</v>
      </c>
      <c r="AA56" s="456" t="s">
        <v>43</v>
      </c>
      <c r="AB56" s="457" t="s">
        <v>42</v>
      </c>
      <c r="AC56" s="456" t="s">
        <v>44</v>
      </c>
      <c r="AD56" s="456" t="s">
        <v>43</v>
      </c>
      <c r="AE56" s="456" t="s">
        <v>42</v>
      </c>
      <c r="AF56" s="456" t="s">
        <v>44</v>
      </c>
      <c r="AG56" s="456" t="s">
        <v>43</v>
      </c>
      <c r="AH56" s="456" t="s">
        <v>42</v>
      </c>
      <c r="AI56" s="456" t="s">
        <v>41</v>
      </c>
      <c r="AJ56" s="456" t="s">
        <v>44</v>
      </c>
      <c r="AK56" s="456" t="s">
        <v>43</v>
      </c>
      <c r="AL56" s="456" t="s">
        <v>42</v>
      </c>
      <c r="AM56" s="456" t="s">
        <v>41</v>
      </c>
      <c r="AN56" s="456" t="s">
        <v>44</v>
      </c>
      <c r="AO56" s="456" t="s">
        <v>43</v>
      </c>
      <c r="AP56" s="456" t="s">
        <v>43</v>
      </c>
      <c r="AQ56" s="456" t="s">
        <v>44</v>
      </c>
      <c r="AR56" s="456" t="s">
        <v>41</v>
      </c>
      <c r="AS56" s="456" t="s">
        <v>44</v>
      </c>
      <c r="AT56" s="456" t="s">
        <v>43</v>
      </c>
      <c r="AU56" s="456" t="s">
        <v>42</v>
      </c>
      <c r="AV56" s="456" t="s">
        <v>41</v>
      </c>
      <c r="AW56" s="456" t="s">
        <v>44</v>
      </c>
      <c r="AX56" s="456" t="s">
        <v>42</v>
      </c>
      <c r="AY56" s="456" t="s">
        <v>42</v>
      </c>
      <c r="AZ56" s="456" t="s">
        <v>43</v>
      </c>
      <c r="BA56" s="456" t="s">
        <v>44</v>
      </c>
      <c r="BB56" s="456" t="s">
        <v>41</v>
      </c>
      <c r="BD56" s="369" t="s">
        <v>44</v>
      </c>
      <c r="BE56" s="458">
        <v>3.0</v>
      </c>
      <c r="BF56" s="458">
        <v>3.0</v>
      </c>
      <c r="BG56" s="458">
        <v>3.0</v>
      </c>
      <c r="BH56" s="458">
        <v>3.0</v>
      </c>
      <c r="BI56" s="371">
        <f t="shared" si="1"/>
        <v>75</v>
      </c>
      <c r="BJ56" s="377" t="str">
        <f t="shared" si="2"/>
        <v>Adequado</v>
      </c>
      <c r="BK56" s="373"/>
      <c r="BL56" s="374">
        <f t="shared" si="3"/>
        <v>8</v>
      </c>
      <c r="BM56" s="374">
        <f t="shared" si="4"/>
        <v>150</v>
      </c>
      <c r="BN56" s="459" t="str">
        <f t="shared" si="5"/>
        <v>Básico</v>
      </c>
      <c r="BO56" s="376">
        <f t="shared" si="6"/>
        <v>7</v>
      </c>
      <c r="BP56" s="374">
        <f t="shared" si="7"/>
        <v>140</v>
      </c>
      <c r="BQ56" s="377" t="str">
        <f t="shared" si="8"/>
        <v>Básico</v>
      </c>
      <c r="BR56" s="25"/>
    </row>
    <row r="57" ht="15.75" customHeight="1">
      <c r="A57" s="455">
        <v>28.0</v>
      </c>
      <c r="B57" s="378" t="s">
        <v>437</v>
      </c>
      <c r="C57" s="363" t="s">
        <v>170</v>
      </c>
      <c r="D57" s="447" t="s">
        <v>41</v>
      </c>
      <c r="E57" s="456" t="s">
        <v>44</v>
      </c>
      <c r="F57" s="456" t="s">
        <v>42</v>
      </c>
      <c r="G57" s="456" t="s">
        <v>41</v>
      </c>
      <c r="H57" s="456" t="s">
        <v>43</v>
      </c>
      <c r="I57" s="456" t="s">
        <v>41</v>
      </c>
      <c r="J57" s="456" t="s">
        <v>42</v>
      </c>
      <c r="K57" s="456" t="s">
        <v>44</v>
      </c>
      <c r="L57" s="456" t="s">
        <v>42</v>
      </c>
      <c r="M57" s="456" t="s">
        <v>41</v>
      </c>
      <c r="N57" s="456" t="s">
        <v>43</v>
      </c>
      <c r="O57" s="456" t="s">
        <v>41</v>
      </c>
      <c r="P57" s="456" t="s">
        <v>42</v>
      </c>
      <c r="Q57" s="456" t="s">
        <v>44</v>
      </c>
      <c r="R57" s="456" t="s">
        <v>41</v>
      </c>
      <c r="S57" s="456" t="s">
        <v>43</v>
      </c>
      <c r="T57" s="456" t="s">
        <v>42</v>
      </c>
      <c r="U57" s="456" t="s">
        <v>41</v>
      </c>
      <c r="V57" s="456" t="s">
        <v>44</v>
      </c>
      <c r="W57" s="456" t="s">
        <v>43</v>
      </c>
      <c r="X57" s="456" t="s">
        <v>42</v>
      </c>
      <c r="Y57" s="456" t="s">
        <v>41</v>
      </c>
      <c r="Z57" s="456" t="s">
        <v>43</v>
      </c>
      <c r="AA57" s="456" t="s">
        <v>41</v>
      </c>
      <c r="AB57" s="457" t="s">
        <v>42</v>
      </c>
      <c r="AC57" s="456" t="s">
        <v>43</v>
      </c>
      <c r="AD57" s="456" t="s">
        <v>43</v>
      </c>
      <c r="AE57" s="456" t="s">
        <v>43</v>
      </c>
      <c r="AF57" s="456" t="s">
        <v>41</v>
      </c>
      <c r="AG57" s="456" t="s">
        <v>42</v>
      </c>
      <c r="AH57" s="456" t="s">
        <v>42</v>
      </c>
      <c r="AI57" s="456" t="s">
        <v>44</v>
      </c>
      <c r="AJ57" s="456" t="s">
        <v>43</v>
      </c>
      <c r="AK57" s="456" t="s">
        <v>41</v>
      </c>
      <c r="AL57" s="456" t="s">
        <v>41</v>
      </c>
      <c r="AM57" s="456" t="s">
        <v>44</v>
      </c>
      <c r="AN57" s="456" t="s">
        <v>41</v>
      </c>
      <c r="AO57" s="456" t="s">
        <v>44</v>
      </c>
      <c r="AP57" s="456" t="s">
        <v>44</v>
      </c>
      <c r="AQ57" s="456" t="s">
        <v>44</v>
      </c>
      <c r="AR57" s="456" t="s">
        <v>44</v>
      </c>
      <c r="AS57" s="456" t="s">
        <v>42</v>
      </c>
      <c r="AT57" s="456" t="s">
        <v>41</v>
      </c>
      <c r="AU57" s="456" t="s">
        <v>43</v>
      </c>
      <c r="AV57" s="456" t="s">
        <v>41</v>
      </c>
      <c r="AW57" s="456" t="s">
        <v>42</v>
      </c>
      <c r="AX57" s="456" t="s">
        <v>44</v>
      </c>
      <c r="AY57" s="456" t="s">
        <v>44</v>
      </c>
      <c r="AZ57" s="456" t="s">
        <v>44</v>
      </c>
      <c r="BA57" s="456" t="s">
        <v>43</v>
      </c>
      <c r="BB57" s="456" t="s">
        <v>43</v>
      </c>
      <c r="BD57" s="369" t="s">
        <v>44</v>
      </c>
      <c r="BE57" s="458">
        <v>2.0</v>
      </c>
      <c r="BF57" s="458">
        <v>2.0</v>
      </c>
      <c r="BG57" s="458">
        <v>2.0</v>
      </c>
      <c r="BH57" s="458">
        <v>2.0</v>
      </c>
      <c r="BI57" s="371">
        <f t="shared" si="1"/>
        <v>50</v>
      </c>
      <c r="BJ57" s="377" t="str">
        <f t="shared" si="2"/>
        <v>Básico</v>
      </c>
      <c r="BK57" s="373"/>
      <c r="BL57" s="374">
        <f t="shared" si="3"/>
        <v>7</v>
      </c>
      <c r="BM57" s="374">
        <f t="shared" si="4"/>
        <v>121</v>
      </c>
      <c r="BN57" s="459" t="str">
        <f t="shared" si="5"/>
        <v>Abaixo do Básico</v>
      </c>
      <c r="BO57" s="376">
        <f t="shared" si="6"/>
        <v>6</v>
      </c>
      <c r="BP57" s="374">
        <f t="shared" si="7"/>
        <v>109</v>
      </c>
      <c r="BQ57" s="377" t="str">
        <f t="shared" si="8"/>
        <v>Abaixo do Básico</v>
      </c>
      <c r="BR57" s="25"/>
    </row>
    <row r="58" ht="15.75" customHeight="1">
      <c r="A58" s="455">
        <v>29.0</v>
      </c>
      <c r="B58" s="378" t="s">
        <v>438</v>
      </c>
      <c r="C58" s="363" t="s">
        <v>170</v>
      </c>
      <c r="D58" s="447" t="s">
        <v>43</v>
      </c>
      <c r="E58" s="456" t="s">
        <v>41</v>
      </c>
      <c r="F58" s="456" t="s">
        <v>41</v>
      </c>
      <c r="G58" s="456" t="s">
        <v>42</v>
      </c>
      <c r="H58" s="456" t="s">
        <v>42</v>
      </c>
      <c r="I58" s="456" t="s">
        <v>43</v>
      </c>
      <c r="J58" s="456" t="s">
        <v>42</v>
      </c>
      <c r="K58" s="456" t="s">
        <v>44</v>
      </c>
      <c r="L58" s="456" t="s">
        <v>42</v>
      </c>
      <c r="M58" s="456" t="s">
        <v>41</v>
      </c>
      <c r="N58" s="456" t="s">
        <v>41</v>
      </c>
      <c r="O58" s="456" t="s">
        <v>43</v>
      </c>
      <c r="P58" s="456" t="s">
        <v>42</v>
      </c>
      <c r="Q58" s="456" t="s">
        <v>42</v>
      </c>
      <c r="R58" s="456" t="s">
        <v>44</v>
      </c>
      <c r="S58" s="456" t="s">
        <v>41</v>
      </c>
      <c r="T58" s="456" t="s">
        <v>42</v>
      </c>
      <c r="U58" s="456" t="s">
        <v>41</v>
      </c>
      <c r="V58" s="456" t="s">
        <v>43</v>
      </c>
      <c r="W58" s="456" t="s">
        <v>44</v>
      </c>
      <c r="X58" s="456" t="s">
        <v>41</v>
      </c>
      <c r="Y58" s="456" t="s">
        <v>41</v>
      </c>
      <c r="Z58" s="456" t="s">
        <v>42</v>
      </c>
      <c r="AA58" s="456" t="s">
        <v>41</v>
      </c>
      <c r="AB58" s="457" t="s">
        <v>44</v>
      </c>
      <c r="AC58" s="456" t="s">
        <v>44</v>
      </c>
      <c r="AD58" s="456" t="s">
        <v>43</v>
      </c>
      <c r="AE58" s="456" t="s">
        <v>42</v>
      </c>
      <c r="AF58" s="456" t="s">
        <v>44</v>
      </c>
      <c r="AG58" s="456" t="s">
        <v>43</v>
      </c>
      <c r="AH58" s="456" t="s">
        <v>173</v>
      </c>
      <c r="AI58" s="456" t="s">
        <v>44</v>
      </c>
      <c r="AJ58" s="456" t="s">
        <v>42</v>
      </c>
      <c r="AK58" s="456" t="s">
        <v>41</v>
      </c>
      <c r="AL58" s="456" t="s">
        <v>43</v>
      </c>
      <c r="AM58" s="456" t="s">
        <v>42</v>
      </c>
      <c r="AN58" s="456" t="s">
        <v>41</v>
      </c>
      <c r="AO58" s="456" t="s">
        <v>43</v>
      </c>
      <c r="AP58" s="456" t="s">
        <v>42</v>
      </c>
      <c r="AQ58" s="456" t="s">
        <v>44</v>
      </c>
      <c r="AR58" s="456" t="s">
        <v>42</v>
      </c>
      <c r="AS58" s="456" t="s">
        <v>41</v>
      </c>
      <c r="AT58" s="456" t="s">
        <v>43</v>
      </c>
      <c r="AU58" s="456" t="s">
        <v>42</v>
      </c>
      <c r="AV58" s="456" t="s">
        <v>41</v>
      </c>
      <c r="AW58" s="456" t="s">
        <v>43</v>
      </c>
      <c r="AX58" s="456" t="s">
        <v>42</v>
      </c>
      <c r="AY58" s="456" t="s">
        <v>43</v>
      </c>
      <c r="AZ58" s="456" t="s">
        <v>42</v>
      </c>
      <c r="BA58" s="456" t="s">
        <v>41</v>
      </c>
      <c r="BB58" s="456" t="s">
        <v>42</v>
      </c>
      <c r="BD58" s="369" t="s">
        <v>44</v>
      </c>
      <c r="BE58" s="458">
        <v>2.0</v>
      </c>
      <c r="BF58" s="458">
        <v>2.0</v>
      </c>
      <c r="BG58" s="458">
        <v>2.0</v>
      </c>
      <c r="BH58" s="458">
        <v>2.0</v>
      </c>
      <c r="BI58" s="371">
        <f t="shared" si="1"/>
        <v>50</v>
      </c>
      <c r="BJ58" s="377" t="str">
        <f t="shared" si="2"/>
        <v>Básico</v>
      </c>
      <c r="BK58" s="373"/>
      <c r="BL58" s="374">
        <f t="shared" si="3"/>
        <v>8</v>
      </c>
      <c r="BM58" s="374">
        <f t="shared" si="4"/>
        <v>141</v>
      </c>
      <c r="BN58" s="459" t="str">
        <f t="shared" si="5"/>
        <v>Básico</v>
      </c>
      <c r="BO58" s="376">
        <f t="shared" si="6"/>
        <v>6</v>
      </c>
      <c r="BP58" s="374">
        <f t="shared" si="7"/>
        <v>103</v>
      </c>
      <c r="BQ58" s="377" t="str">
        <f t="shared" si="8"/>
        <v>Abaixo do Básico</v>
      </c>
      <c r="BR58" s="25"/>
    </row>
    <row r="59" ht="15.75" customHeight="1">
      <c r="A59" s="460">
        <v>30.0</v>
      </c>
      <c r="B59" s="378" t="s">
        <v>439</v>
      </c>
      <c r="C59" s="363" t="s">
        <v>170</v>
      </c>
      <c r="D59" s="447" t="s">
        <v>42</v>
      </c>
      <c r="E59" s="456" t="s">
        <v>44</v>
      </c>
      <c r="F59" s="456" t="s">
        <v>41</v>
      </c>
      <c r="G59" s="456" t="s">
        <v>42</v>
      </c>
      <c r="H59" s="456" t="s">
        <v>41</v>
      </c>
      <c r="I59" s="456" t="s">
        <v>41</v>
      </c>
      <c r="J59" s="456" t="s">
        <v>44</v>
      </c>
      <c r="K59" s="456" t="s">
        <v>43</v>
      </c>
      <c r="L59" s="456" t="s">
        <v>42</v>
      </c>
      <c r="M59" s="456" t="s">
        <v>44</v>
      </c>
      <c r="N59" s="456" t="s">
        <v>43</v>
      </c>
      <c r="O59" s="456" t="s">
        <v>41</v>
      </c>
      <c r="P59" s="456" t="s">
        <v>41</v>
      </c>
      <c r="Q59" s="456" t="s">
        <v>44</v>
      </c>
      <c r="R59" s="456" t="s">
        <v>43</v>
      </c>
      <c r="S59" s="456" t="s">
        <v>43</v>
      </c>
      <c r="T59" s="456" t="s">
        <v>44</v>
      </c>
      <c r="U59" s="456" t="s">
        <v>41</v>
      </c>
      <c r="V59" s="456" t="s">
        <v>41</v>
      </c>
      <c r="W59" s="456" t="s">
        <v>42</v>
      </c>
      <c r="X59" s="456" t="s">
        <v>43</v>
      </c>
      <c r="Y59" s="456" t="s">
        <v>41</v>
      </c>
      <c r="Z59" s="456" t="s">
        <v>44</v>
      </c>
      <c r="AA59" s="456" t="s">
        <v>43</v>
      </c>
      <c r="AB59" s="457" t="s">
        <v>42</v>
      </c>
      <c r="AC59" s="456" t="s">
        <v>42</v>
      </c>
      <c r="AD59" s="456" t="s">
        <v>43</v>
      </c>
      <c r="AE59" s="456" t="s">
        <v>41</v>
      </c>
      <c r="AF59" s="456" t="s">
        <v>44</v>
      </c>
      <c r="AG59" s="456" t="s">
        <v>43</v>
      </c>
      <c r="AH59" s="456" t="s">
        <v>42</v>
      </c>
      <c r="AI59" s="456" t="s">
        <v>41</v>
      </c>
      <c r="AJ59" s="456" t="s">
        <v>44</v>
      </c>
      <c r="AK59" s="456" t="s">
        <v>41</v>
      </c>
      <c r="AL59" s="456" t="s">
        <v>43</v>
      </c>
      <c r="AM59" s="456" t="s">
        <v>44</v>
      </c>
      <c r="AN59" s="456" t="s">
        <v>41</v>
      </c>
      <c r="AO59" s="456" t="s">
        <v>42</v>
      </c>
      <c r="AP59" s="456" t="s">
        <v>44</v>
      </c>
      <c r="AQ59" s="456" t="s">
        <v>41</v>
      </c>
      <c r="AR59" s="456" t="s">
        <v>41</v>
      </c>
      <c r="AS59" s="456" t="s">
        <v>43</v>
      </c>
      <c r="AT59" s="456" t="s">
        <v>42</v>
      </c>
      <c r="AU59" s="456" t="s">
        <v>44</v>
      </c>
      <c r="AV59" s="456" t="s">
        <v>41</v>
      </c>
      <c r="AW59" s="456" t="s">
        <v>43</v>
      </c>
      <c r="AX59" s="456" t="s">
        <v>44</v>
      </c>
      <c r="AY59" s="456" t="s">
        <v>43</v>
      </c>
      <c r="AZ59" s="456" t="s">
        <v>43</v>
      </c>
      <c r="BA59" s="456" t="s">
        <v>44</v>
      </c>
      <c r="BB59" s="456" t="s">
        <v>41</v>
      </c>
      <c r="BD59" s="369" t="s">
        <v>44</v>
      </c>
      <c r="BE59" s="458">
        <v>2.0</v>
      </c>
      <c r="BF59" s="458">
        <v>1.0</v>
      </c>
      <c r="BG59" s="458">
        <v>1.0</v>
      </c>
      <c r="BH59" s="458">
        <v>1.0</v>
      </c>
      <c r="BI59" s="371">
        <f t="shared" si="1"/>
        <v>31.25</v>
      </c>
      <c r="BJ59" s="377" t="str">
        <f t="shared" si="2"/>
        <v>Básico</v>
      </c>
      <c r="BK59" s="373"/>
      <c r="BL59" s="374">
        <f t="shared" si="3"/>
        <v>5</v>
      </c>
      <c r="BM59" s="374">
        <f t="shared" si="4"/>
        <v>93</v>
      </c>
      <c r="BN59" s="459" t="str">
        <f t="shared" si="5"/>
        <v>Abaixo do Básico</v>
      </c>
      <c r="BO59" s="376">
        <f t="shared" si="6"/>
        <v>2</v>
      </c>
      <c r="BP59" s="374">
        <f t="shared" si="7"/>
        <v>39</v>
      </c>
      <c r="BQ59" s="377" t="str">
        <f t="shared" si="8"/>
        <v>Abaixo do Básico</v>
      </c>
      <c r="BR59" s="25"/>
    </row>
    <row r="60" ht="15.75" customHeight="1">
      <c r="A60" s="460">
        <v>31.0</v>
      </c>
      <c r="B60" s="378"/>
      <c r="C60" s="363"/>
      <c r="D60" s="447"/>
      <c r="E60" s="456"/>
      <c r="F60" s="456"/>
      <c r="G60" s="456"/>
      <c r="H60" s="456"/>
      <c r="I60" s="456"/>
      <c r="J60" s="456"/>
      <c r="K60" s="456"/>
      <c r="L60" s="456"/>
      <c r="M60" s="456"/>
      <c r="N60" s="456"/>
      <c r="O60" s="456"/>
      <c r="P60" s="456"/>
      <c r="Q60" s="456"/>
      <c r="R60" s="456"/>
      <c r="S60" s="456"/>
      <c r="T60" s="456"/>
      <c r="U60" s="456"/>
      <c r="V60" s="456"/>
      <c r="W60" s="456"/>
      <c r="X60" s="456"/>
      <c r="Y60" s="456"/>
      <c r="Z60" s="456"/>
      <c r="AA60" s="456"/>
      <c r="AB60" s="457"/>
      <c r="AC60" s="456"/>
      <c r="AD60" s="456"/>
      <c r="AE60" s="456"/>
      <c r="AF60" s="456"/>
      <c r="AG60" s="456"/>
      <c r="AH60" s="456"/>
      <c r="AI60" s="456"/>
      <c r="AJ60" s="456"/>
      <c r="AK60" s="456"/>
      <c r="AL60" s="456"/>
      <c r="AM60" s="456"/>
      <c r="AN60" s="456"/>
      <c r="AO60" s="456"/>
      <c r="AP60" s="456"/>
      <c r="AQ60" s="456"/>
      <c r="AR60" s="456"/>
      <c r="AS60" s="456"/>
      <c r="AT60" s="456"/>
      <c r="AU60" s="456"/>
      <c r="AV60" s="456"/>
      <c r="AW60" s="456"/>
      <c r="AX60" s="456"/>
      <c r="AY60" s="456"/>
      <c r="AZ60" s="456"/>
      <c r="BA60" s="456"/>
      <c r="BB60" s="456"/>
      <c r="BD60" s="369"/>
      <c r="BE60" s="458"/>
      <c r="BF60" s="458"/>
      <c r="BG60" s="458"/>
      <c r="BH60" s="458"/>
      <c r="BI60" s="371"/>
      <c r="BJ60" s="377"/>
      <c r="BK60" s="373"/>
      <c r="BL60" s="374"/>
      <c r="BM60" s="374"/>
      <c r="BN60" s="459"/>
      <c r="BO60" s="376"/>
      <c r="BP60" s="374"/>
      <c r="BQ60" s="377"/>
      <c r="BR60" s="25"/>
    </row>
    <row r="61" ht="15.75" customHeight="1">
      <c r="A61" s="460">
        <v>32.0</v>
      </c>
      <c r="B61" s="378"/>
      <c r="C61" s="363"/>
      <c r="D61" s="461"/>
      <c r="E61" s="456"/>
      <c r="F61" s="456"/>
      <c r="G61" s="456"/>
      <c r="H61" s="456"/>
      <c r="I61" s="456"/>
      <c r="J61" s="456"/>
      <c r="K61" s="456"/>
      <c r="L61" s="456"/>
      <c r="M61" s="456"/>
      <c r="N61" s="456"/>
      <c r="O61" s="456"/>
      <c r="P61" s="456"/>
      <c r="Q61" s="456"/>
      <c r="R61" s="456"/>
      <c r="S61" s="456"/>
      <c r="T61" s="456"/>
      <c r="U61" s="456"/>
      <c r="V61" s="456"/>
      <c r="W61" s="456"/>
      <c r="X61" s="456"/>
      <c r="Y61" s="456"/>
      <c r="Z61" s="456"/>
      <c r="AA61" s="456"/>
      <c r="AB61" s="457"/>
      <c r="AC61" s="456"/>
      <c r="AD61" s="456"/>
      <c r="AE61" s="456"/>
      <c r="AF61" s="456"/>
      <c r="AG61" s="456"/>
      <c r="AH61" s="456"/>
      <c r="AI61" s="456"/>
      <c r="AJ61" s="456"/>
      <c r="AK61" s="456"/>
      <c r="AL61" s="456"/>
      <c r="AM61" s="456"/>
      <c r="AN61" s="456"/>
      <c r="AO61" s="456"/>
      <c r="AP61" s="456"/>
      <c r="AQ61" s="456"/>
      <c r="AR61" s="456"/>
      <c r="AS61" s="456"/>
      <c r="AT61" s="456"/>
      <c r="AU61" s="456"/>
      <c r="AV61" s="456"/>
      <c r="AW61" s="456"/>
      <c r="AX61" s="456"/>
      <c r="AY61" s="456"/>
      <c r="AZ61" s="456"/>
      <c r="BA61" s="456"/>
      <c r="BB61" s="456"/>
      <c r="BD61" s="369"/>
      <c r="BE61" s="114"/>
      <c r="BF61" s="114"/>
      <c r="BG61" s="114"/>
      <c r="BH61" s="114"/>
      <c r="BI61" s="371"/>
      <c r="BJ61" s="377"/>
      <c r="BK61" s="373"/>
      <c r="BL61" s="374"/>
      <c r="BM61" s="374"/>
      <c r="BN61" s="459"/>
      <c r="BO61" s="376"/>
      <c r="BP61" s="374"/>
      <c r="BQ61" s="377"/>
      <c r="BR61" s="25"/>
    </row>
    <row r="62" ht="15.75" customHeight="1">
      <c r="A62" s="460">
        <v>33.0</v>
      </c>
      <c r="B62" s="378"/>
      <c r="C62" s="363"/>
      <c r="D62" s="461"/>
      <c r="E62" s="456"/>
      <c r="F62" s="456"/>
      <c r="G62" s="456"/>
      <c r="H62" s="456"/>
      <c r="I62" s="456"/>
      <c r="J62" s="456"/>
      <c r="K62" s="456"/>
      <c r="L62" s="456"/>
      <c r="M62" s="456"/>
      <c r="N62" s="456"/>
      <c r="O62" s="456"/>
      <c r="P62" s="456"/>
      <c r="Q62" s="456"/>
      <c r="R62" s="456"/>
      <c r="S62" s="456"/>
      <c r="T62" s="456"/>
      <c r="U62" s="456"/>
      <c r="V62" s="456"/>
      <c r="W62" s="456"/>
      <c r="X62" s="456"/>
      <c r="Y62" s="456"/>
      <c r="Z62" s="456"/>
      <c r="AA62" s="456"/>
      <c r="AB62" s="457"/>
      <c r="AC62" s="456"/>
      <c r="AD62" s="456"/>
      <c r="AE62" s="456"/>
      <c r="AF62" s="456"/>
      <c r="AG62" s="456"/>
      <c r="AH62" s="456"/>
      <c r="AI62" s="456"/>
      <c r="AJ62" s="456"/>
      <c r="AK62" s="456"/>
      <c r="AL62" s="456"/>
      <c r="AM62" s="456"/>
      <c r="AN62" s="456"/>
      <c r="AO62" s="456"/>
      <c r="AP62" s="456"/>
      <c r="AQ62" s="456"/>
      <c r="AR62" s="456"/>
      <c r="AS62" s="456"/>
      <c r="AT62" s="456"/>
      <c r="AU62" s="456"/>
      <c r="AV62" s="456"/>
      <c r="AW62" s="456"/>
      <c r="AX62" s="456"/>
      <c r="AY62" s="456"/>
      <c r="AZ62" s="456"/>
      <c r="BA62" s="456"/>
      <c r="BB62" s="456"/>
      <c r="BD62" s="369"/>
      <c r="BE62" s="114"/>
      <c r="BF62" s="114"/>
      <c r="BG62" s="114"/>
      <c r="BH62" s="114"/>
      <c r="BI62" s="371"/>
      <c r="BJ62" s="377"/>
      <c r="BK62" s="373"/>
      <c r="BL62" s="374"/>
      <c r="BM62" s="374"/>
      <c r="BN62" s="459"/>
      <c r="BO62" s="376"/>
      <c r="BP62" s="374"/>
      <c r="BQ62" s="377"/>
      <c r="BR62" s="25"/>
    </row>
    <row r="63" ht="15.75" customHeight="1">
      <c r="A63" s="460">
        <v>34.0</v>
      </c>
      <c r="B63" s="378"/>
      <c r="C63" s="363"/>
      <c r="D63" s="461"/>
      <c r="E63" s="456"/>
      <c r="F63" s="456"/>
      <c r="G63" s="456"/>
      <c r="H63" s="456"/>
      <c r="I63" s="456"/>
      <c r="J63" s="456"/>
      <c r="K63" s="456"/>
      <c r="L63" s="456"/>
      <c r="M63" s="456"/>
      <c r="N63" s="456"/>
      <c r="O63" s="456"/>
      <c r="P63" s="456"/>
      <c r="Q63" s="456"/>
      <c r="R63" s="456"/>
      <c r="S63" s="456"/>
      <c r="T63" s="456"/>
      <c r="U63" s="456"/>
      <c r="V63" s="456"/>
      <c r="W63" s="456"/>
      <c r="X63" s="456"/>
      <c r="Y63" s="456"/>
      <c r="Z63" s="456"/>
      <c r="AA63" s="456"/>
      <c r="AB63" s="457"/>
      <c r="AC63" s="456"/>
      <c r="AD63" s="456"/>
      <c r="AE63" s="456"/>
      <c r="AF63" s="456"/>
      <c r="AG63" s="456"/>
      <c r="AH63" s="456"/>
      <c r="AI63" s="456"/>
      <c r="AJ63" s="456"/>
      <c r="AK63" s="456"/>
      <c r="AL63" s="456"/>
      <c r="AM63" s="456"/>
      <c r="AN63" s="456"/>
      <c r="AO63" s="456"/>
      <c r="AP63" s="456"/>
      <c r="AQ63" s="456"/>
      <c r="AR63" s="456"/>
      <c r="AS63" s="456"/>
      <c r="AT63" s="456"/>
      <c r="AU63" s="456"/>
      <c r="AV63" s="456"/>
      <c r="AW63" s="456"/>
      <c r="AX63" s="456"/>
      <c r="AY63" s="456"/>
      <c r="AZ63" s="456"/>
      <c r="BA63" s="456"/>
      <c r="BB63" s="456"/>
      <c r="BD63" s="369"/>
      <c r="BE63" s="114"/>
      <c r="BF63" s="114"/>
      <c r="BG63" s="114"/>
      <c r="BH63" s="114"/>
      <c r="BI63" s="371"/>
      <c r="BJ63" s="377"/>
      <c r="BK63" s="373"/>
      <c r="BL63" s="374"/>
      <c r="BM63" s="374"/>
      <c r="BN63" s="459"/>
      <c r="BO63" s="376"/>
      <c r="BP63" s="374"/>
      <c r="BQ63" s="377"/>
      <c r="BR63" s="25"/>
    </row>
    <row r="64" ht="15.75" customHeight="1">
      <c r="A64" s="460">
        <v>35.0</v>
      </c>
      <c r="B64" s="378"/>
      <c r="C64" s="363"/>
      <c r="D64" s="461"/>
      <c r="E64" s="456"/>
      <c r="F64" s="456"/>
      <c r="G64" s="456"/>
      <c r="H64" s="456"/>
      <c r="I64" s="456"/>
      <c r="J64" s="456"/>
      <c r="K64" s="456"/>
      <c r="L64" s="456"/>
      <c r="M64" s="456"/>
      <c r="N64" s="456"/>
      <c r="O64" s="456"/>
      <c r="P64" s="456"/>
      <c r="Q64" s="456"/>
      <c r="R64" s="456"/>
      <c r="S64" s="456"/>
      <c r="T64" s="456"/>
      <c r="U64" s="456"/>
      <c r="V64" s="456"/>
      <c r="W64" s="456"/>
      <c r="X64" s="456"/>
      <c r="Y64" s="456"/>
      <c r="Z64" s="456"/>
      <c r="AA64" s="456"/>
      <c r="AB64" s="457"/>
      <c r="AC64" s="456"/>
      <c r="AD64" s="456"/>
      <c r="AE64" s="456"/>
      <c r="AF64" s="456"/>
      <c r="AG64" s="456"/>
      <c r="AH64" s="456"/>
      <c r="AI64" s="456"/>
      <c r="AJ64" s="456"/>
      <c r="AK64" s="456"/>
      <c r="AL64" s="456"/>
      <c r="AM64" s="456"/>
      <c r="AN64" s="456"/>
      <c r="AO64" s="456"/>
      <c r="AP64" s="456"/>
      <c r="AQ64" s="456"/>
      <c r="AR64" s="456"/>
      <c r="AS64" s="456"/>
      <c r="AT64" s="456"/>
      <c r="AU64" s="456"/>
      <c r="AV64" s="456"/>
      <c r="AW64" s="456"/>
      <c r="AX64" s="456"/>
      <c r="AY64" s="456"/>
      <c r="AZ64" s="456"/>
      <c r="BA64" s="456"/>
      <c r="BB64" s="456"/>
      <c r="BD64" s="369"/>
      <c r="BE64" s="114"/>
      <c r="BF64" s="114"/>
      <c r="BG64" s="114"/>
      <c r="BH64" s="114"/>
      <c r="BI64" s="371"/>
      <c r="BJ64" s="377"/>
      <c r="BK64" s="373"/>
      <c r="BL64" s="374"/>
      <c r="BM64" s="374"/>
      <c r="BN64" s="459"/>
      <c r="BO64" s="376"/>
      <c r="BP64" s="374"/>
      <c r="BQ64" s="377"/>
      <c r="BR64" s="25"/>
    </row>
    <row r="65" ht="15.75" customHeight="1">
      <c r="A65" s="460">
        <v>36.0</v>
      </c>
      <c r="B65" s="378"/>
      <c r="C65" s="363"/>
      <c r="D65" s="461"/>
      <c r="E65" s="456"/>
      <c r="F65" s="456"/>
      <c r="G65" s="456"/>
      <c r="H65" s="456"/>
      <c r="I65" s="456"/>
      <c r="J65" s="456"/>
      <c r="K65" s="456"/>
      <c r="L65" s="456"/>
      <c r="M65" s="456"/>
      <c r="N65" s="456"/>
      <c r="O65" s="456"/>
      <c r="P65" s="456"/>
      <c r="Q65" s="456"/>
      <c r="R65" s="456"/>
      <c r="S65" s="456"/>
      <c r="T65" s="456"/>
      <c r="U65" s="456"/>
      <c r="V65" s="456"/>
      <c r="W65" s="456"/>
      <c r="X65" s="456"/>
      <c r="Y65" s="456"/>
      <c r="Z65" s="456"/>
      <c r="AA65" s="456"/>
      <c r="AB65" s="457"/>
      <c r="AC65" s="456"/>
      <c r="AD65" s="456"/>
      <c r="AE65" s="456"/>
      <c r="AF65" s="456"/>
      <c r="AG65" s="456"/>
      <c r="AH65" s="456"/>
      <c r="AI65" s="456"/>
      <c r="AJ65" s="456"/>
      <c r="AK65" s="456"/>
      <c r="AL65" s="456"/>
      <c r="AM65" s="456"/>
      <c r="AN65" s="456"/>
      <c r="AO65" s="456"/>
      <c r="AP65" s="456"/>
      <c r="AQ65" s="456"/>
      <c r="AR65" s="456"/>
      <c r="AS65" s="456"/>
      <c r="AT65" s="456"/>
      <c r="AU65" s="456"/>
      <c r="AV65" s="456"/>
      <c r="AW65" s="456"/>
      <c r="AX65" s="456"/>
      <c r="AY65" s="456"/>
      <c r="AZ65" s="456"/>
      <c r="BA65" s="456"/>
      <c r="BB65" s="456"/>
      <c r="BD65" s="369"/>
      <c r="BE65" s="114"/>
      <c r="BF65" s="114"/>
      <c r="BG65" s="114"/>
      <c r="BH65" s="114"/>
      <c r="BI65" s="371"/>
      <c r="BJ65" s="377"/>
      <c r="BK65" s="373"/>
      <c r="BL65" s="374"/>
      <c r="BM65" s="374"/>
      <c r="BN65" s="459"/>
      <c r="BO65" s="376"/>
      <c r="BP65" s="374"/>
      <c r="BQ65" s="377"/>
      <c r="BR65" s="25"/>
    </row>
    <row r="66" ht="15.75" customHeight="1">
      <c r="A66" s="460">
        <v>37.0</v>
      </c>
      <c r="B66" s="378"/>
      <c r="C66" s="363"/>
      <c r="D66" s="461"/>
      <c r="E66" s="456"/>
      <c r="F66" s="456"/>
      <c r="G66" s="456"/>
      <c r="H66" s="456"/>
      <c r="I66" s="456"/>
      <c r="J66" s="456"/>
      <c r="K66" s="456"/>
      <c r="L66" s="456"/>
      <c r="M66" s="456"/>
      <c r="N66" s="456"/>
      <c r="O66" s="456"/>
      <c r="P66" s="456"/>
      <c r="Q66" s="456"/>
      <c r="R66" s="456"/>
      <c r="S66" s="456"/>
      <c r="T66" s="456"/>
      <c r="U66" s="456"/>
      <c r="V66" s="456"/>
      <c r="W66" s="456"/>
      <c r="X66" s="456"/>
      <c r="Y66" s="456"/>
      <c r="Z66" s="456"/>
      <c r="AA66" s="456"/>
      <c r="AB66" s="457"/>
      <c r="AC66" s="456"/>
      <c r="AD66" s="456"/>
      <c r="AE66" s="456"/>
      <c r="AF66" s="456"/>
      <c r="AG66" s="456"/>
      <c r="AH66" s="456"/>
      <c r="AI66" s="456"/>
      <c r="AJ66" s="456"/>
      <c r="AK66" s="456"/>
      <c r="AL66" s="456"/>
      <c r="AM66" s="456"/>
      <c r="AN66" s="456"/>
      <c r="AO66" s="456"/>
      <c r="AP66" s="456"/>
      <c r="AQ66" s="456"/>
      <c r="AR66" s="456"/>
      <c r="AS66" s="456"/>
      <c r="AT66" s="456"/>
      <c r="AU66" s="456"/>
      <c r="AV66" s="456"/>
      <c r="AW66" s="456"/>
      <c r="AX66" s="456"/>
      <c r="AY66" s="456"/>
      <c r="AZ66" s="456"/>
      <c r="BA66" s="456"/>
      <c r="BB66" s="456"/>
      <c r="BD66" s="369"/>
      <c r="BE66" s="114"/>
      <c r="BF66" s="114"/>
      <c r="BG66" s="114"/>
      <c r="BH66" s="114"/>
      <c r="BI66" s="371"/>
      <c r="BJ66" s="377"/>
      <c r="BK66" s="373"/>
      <c r="BL66" s="374"/>
      <c r="BM66" s="374"/>
      <c r="BN66" s="459"/>
      <c r="BO66" s="376"/>
      <c r="BP66" s="374"/>
      <c r="BQ66" s="377"/>
      <c r="BR66" s="25"/>
    </row>
    <row r="67" ht="15.75" customHeight="1">
      <c r="A67" s="460">
        <v>38.0</v>
      </c>
      <c r="B67" s="378"/>
      <c r="C67" s="363"/>
      <c r="D67" s="461"/>
      <c r="E67" s="456"/>
      <c r="F67" s="456"/>
      <c r="G67" s="456"/>
      <c r="H67" s="456"/>
      <c r="I67" s="456"/>
      <c r="J67" s="456"/>
      <c r="K67" s="456"/>
      <c r="L67" s="456"/>
      <c r="M67" s="456"/>
      <c r="N67" s="456"/>
      <c r="O67" s="456"/>
      <c r="P67" s="456"/>
      <c r="Q67" s="456"/>
      <c r="R67" s="456"/>
      <c r="S67" s="456"/>
      <c r="T67" s="456"/>
      <c r="U67" s="456"/>
      <c r="V67" s="456"/>
      <c r="W67" s="456"/>
      <c r="X67" s="456"/>
      <c r="Y67" s="456"/>
      <c r="Z67" s="456"/>
      <c r="AA67" s="456"/>
      <c r="AB67" s="457"/>
      <c r="AC67" s="456"/>
      <c r="AD67" s="456"/>
      <c r="AE67" s="456"/>
      <c r="AF67" s="456"/>
      <c r="AG67" s="456"/>
      <c r="AH67" s="456"/>
      <c r="AI67" s="456"/>
      <c r="AJ67" s="456"/>
      <c r="AK67" s="456"/>
      <c r="AL67" s="456"/>
      <c r="AM67" s="456"/>
      <c r="AN67" s="456"/>
      <c r="AO67" s="456"/>
      <c r="AP67" s="456"/>
      <c r="AQ67" s="456"/>
      <c r="AR67" s="456"/>
      <c r="AS67" s="456"/>
      <c r="AT67" s="456"/>
      <c r="AU67" s="456"/>
      <c r="AV67" s="456"/>
      <c r="AW67" s="456"/>
      <c r="AX67" s="456"/>
      <c r="AY67" s="456"/>
      <c r="AZ67" s="456"/>
      <c r="BA67" s="456"/>
      <c r="BB67" s="456"/>
      <c r="BD67" s="369"/>
      <c r="BE67" s="114"/>
      <c r="BF67" s="114"/>
      <c r="BG67" s="114"/>
      <c r="BH67" s="114"/>
      <c r="BI67" s="371"/>
      <c r="BJ67" s="377"/>
      <c r="BK67" s="373"/>
      <c r="BL67" s="374"/>
      <c r="BM67" s="374"/>
      <c r="BN67" s="459"/>
      <c r="BO67" s="376"/>
      <c r="BP67" s="374"/>
      <c r="BQ67" s="377"/>
      <c r="BR67" s="25"/>
    </row>
    <row r="68" ht="15.75" customHeight="1">
      <c r="A68" s="460">
        <v>39.0</v>
      </c>
      <c r="B68" s="378"/>
      <c r="C68" s="363"/>
      <c r="D68" s="461"/>
      <c r="E68" s="456"/>
      <c r="F68" s="456"/>
      <c r="G68" s="456"/>
      <c r="H68" s="456"/>
      <c r="I68" s="456"/>
      <c r="J68" s="456"/>
      <c r="K68" s="456"/>
      <c r="L68" s="456"/>
      <c r="M68" s="456"/>
      <c r="N68" s="456"/>
      <c r="O68" s="456"/>
      <c r="P68" s="456"/>
      <c r="Q68" s="456"/>
      <c r="R68" s="456"/>
      <c r="S68" s="456"/>
      <c r="T68" s="456"/>
      <c r="U68" s="456"/>
      <c r="V68" s="456"/>
      <c r="W68" s="456"/>
      <c r="X68" s="456"/>
      <c r="Y68" s="456"/>
      <c r="Z68" s="456"/>
      <c r="AA68" s="456"/>
      <c r="AB68" s="457"/>
      <c r="AC68" s="456"/>
      <c r="AD68" s="456"/>
      <c r="AE68" s="456"/>
      <c r="AF68" s="456"/>
      <c r="AG68" s="456"/>
      <c r="AH68" s="456"/>
      <c r="AI68" s="456"/>
      <c r="AJ68" s="456"/>
      <c r="AK68" s="456"/>
      <c r="AL68" s="456"/>
      <c r="AM68" s="456"/>
      <c r="AN68" s="456"/>
      <c r="AO68" s="456"/>
      <c r="AP68" s="456"/>
      <c r="AQ68" s="456"/>
      <c r="AR68" s="456"/>
      <c r="AS68" s="456"/>
      <c r="AT68" s="456"/>
      <c r="AU68" s="456"/>
      <c r="AV68" s="456"/>
      <c r="AW68" s="456"/>
      <c r="AX68" s="456"/>
      <c r="AY68" s="456"/>
      <c r="AZ68" s="456"/>
      <c r="BA68" s="456"/>
      <c r="BB68" s="456"/>
      <c r="BD68" s="369"/>
      <c r="BE68" s="114"/>
      <c r="BF68" s="114"/>
      <c r="BG68" s="114"/>
      <c r="BH68" s="114"/>
      <c r="BI68" s="371"/>
      <c r="BJ68" s="377"/>
      <c r="BK68" s="373"/>
      <c r="BL68" s="374"/>
      <c r="BM68" s="374"/>
      <c r="BN68" s="459"/>
      <c r="BO68" s="376"/>
      <c r="BP68" s="374"/>
      <c r="BQ68" s="377"/>
      <c r="BR68" s="25"/>
    </row>
    <row r="69" ht="15.75" customHeight="1">
      <c r="A69" s="460">
        <v>40.0</v>
      </c>
      <c r="B69" s="378"/>
      <c r="C69" s="363"/>
      <c r="D69" s="461"/>
      <c r="E69" s="456"/>
      <c r="F69" s="456"/>
      <c r="G69" s="456"/>
      <c r="H69" s="456"/>
      <c r="I69" s="456"/>
      <c r="J69" s="456"/>
      <c r="K69" s="456"/>
      <c r="L69" s="456"/>
      <c r="M69" s="456"/>
      <c r="N69" s="456"/>
      <c r="O69" s="456"/>
      <c r="P69" s="456"/>
      <c r="Q69" s="456"/>
      <c r="R69" s="456"/>
      <c r="S69" s="456"/>
      <c r="T69" s="456"/>
      <c r="U69" s="456"/>
      <c r="V69" s="456"/>
      <c r="W69" s="456"/>
      <c r="X69" s="456"/>
      <c r="Y69" s="456"/>
      <c r="Z69" s="456"/>
      <c r="AA69" s="456"/>
      <c r="AB69" s="457"/>
      <c r="AC69" s="456"/>
      <c r="AD69" s="456"/>
      <c r="AE69" s="456"/>
      <c r="AF69" s="456"/>
      <c r="AG69" s="456"/>
      <c r="AH69" s="456"/>
      <c r="AI69" s="456"/>
      <c r="AJ69" s="456"/>
      <c r="AK69" s="456"/>
      <c r="AL69" s="456"/>
      <c r="AM69" s="456"/>
      <c r="AN69" s="456"/>
      <c r="AO69" s="456"/>
      <c r="AP69" s="456"/>
      <c r="AQ69" s="456"/>
      <c r="AR69" s="456"/>
      <c r="AS69" s="456"/>
      <c r="AT69" s="456"/>
      <c r="AU69" s="456"/>
      <c r="AV69" s="456"/>
      <c r="AW69" s="456"/>
      <c r="AX69" s="456"/>
      <c r="AY69" s="456"/>
      <c r="AZ69" s="456"/>
      <c r="BA69" s="456"/>
      <c r="BB69" s="456"/>
      <c r="BD69" s="369"/>
      <c r="BE69" s="114"/>
      <c r="BF69" s="114"/>
      <c r="BG69" s="114"/>
      <c r="BH69" s="114"/>
      <c r="BI69" s="371"/>
      <c r="BJ69" s="377"/>
      <c r="BK69" s="373"/>
      <c r="BL69" s="374"/>
      <c r="BM69" s="374"/>
      <c r="BN69" s="459"/>
      <c r="BO69" s="376"/>
      <c r="BP69" s="374"/>
      <c r="BQ69" s="377"/>
      <c r="BR69" s="25"/>
    </row>
    <row r="70" ht="15.75" customHeight="1">
      <c r="A70" s="462" t="s">
        <v>202</v>
      </c>
      <c r="B70" s="29"/>
      <c r="C70" s="41"/>
      <c r="D70" s="387">
        <f>COUNTIF(D30:D69,"B")</f>
        <v>2</v>
      </c>
      <c r="E70" s="387">
        <f>COUNTIF(E30:E69,"C")</f>
        <v>8</v>
      </c>
      <c r="F70" s="387">
        <f>COUNTIF(F30:F69,"D")</f>
        <v>1</v>
      </c>
      <c r="G70" s="387">
        <f>COUNTIF(G30:G69,"A")</f>
        <v>2</v>
      </c>
      <c r="H70" s="387">
        <f>COUNTIF(H30:H69,"B")</f>
        <v>7</v>
      </c>
      <c r="I70" s="387">
        <f>COUNTIF(I30:I69,"D")</f>
        <v>7</v>
      </c>
      <c r="J70" s="387">
        <f t="shared" ref="J70:K70" si="9">COUNTIF(J30:J69,"B")</f>
        <v>7</v>
      </c>
      <c r="K70" s="387">
        <f t="shared" si="9"/>
        <v>4</v>
      </c>
      <c r="L70" s="387">
        <f t="shared" ref="L70:M70" si="10">COUNTIF(L30:L69,"C")</f>
        <v>10</v>
      </c>
      <c r="M70" s="387">
        <f t="shared" si="10"/>
        <v>8</v>
      </c>
      <c r="N70" s="387">
        <f>COUNTIF(N30:N69,"B")</f>
        <v>1</v>
      </c>
      <c r="O70" s="387">
        <f>COUNTIF(O30:O69,"A")</f>
        <v>3</v>
      </c>
      <c r="P70" s="387">
        <f>COUNTIF(P30:P69,"D")</f>
        <v>5</v>
      </c>
      <c r="Q70" s="387">
        <f>COUNTIF(Q30:Q69,"C")</f>
        <v>2</v>
      </c>
      <c r="R70" s="387">
        <f>COUNTIF(R30:R69,"B")</f>
        <v>2</v>
      </c>
      <c r="S70" s="387">
        <f>COUNTIF(S30:S69,"A")</f>
        <v>3</v>
      </c>
      <c r="T70" s="387">
        <f t="shared" ref="T70:V70" si="11">COUNTIF(T30:T69,"B")</f>
        <v>17</v>
      </c>
      <c r="U70" s="387">
        <f t="shared" si="11"/>
        <v>5</v>
      </c>
      <c r="V70" s="387">
        <f t="shared" si="11"/>
        <v>7</v>
      </c>
      <c r="W70" s="387">
        <f>COUNTIF(W30:W69,"A")</f>
        <v>7</v>
      </c>
      <c r="X70" s="387">
        <f t="shared" ref="X70:Y70" si="12">COUNTIF(X30:X69,"C")</f>
        <v>6</v>
      </c>
      <c r="Y70" s="387">
        <f t="shared" si="12"/>
        <v>16</v>
      </c>
      <c r="Z70" s="387">
        <f>COUNTIF(Z30:Z69,"A")</f>
        <v>2</v>
      </c>
      <c r="AA70" s="387">
        <f>COUNTIF(AA30:AA69,"D")</f>
        <v>5</v>
      </c>
      <c r="AB70" s="388">
        <f t="shared" ref="AB70:AC70" si="13">COUNTIF(AB30:AB69,"C")</f>
        <v>7</v>
      </c>
      <c r="AC70" s="463">
        <f t="shared" si="13"/>
        <v>4</v>
      </c>
      <c r="AD70" s="387">
        <f>COUNTIF(AD30:AD69,"B")</f>
        <v>11</v>
      </c>
      <c r="AE70" s="387">
        <f t="shared" ref="AE70:AF70" si="14">COUNTIF(AE30:AE69,"A")</f>
        <v>2</v>
      </c>
      <c r="AF70" s="387">
        <f t="shared" si="14"/>
        <v>8</v>
      </c>
      <c r="AG70" s="387">
        <f>COUNTIF(AG30:AG69,"D")</f>
        <v>9</v>
      </c>
      <c r="AH70" s="387">
        <f t="shared" ref="AH70:AK70" si="15">COUNTIF(AH30:AH69,"A")</f>
        <v>3</v>
      </c>
      <c r="AI70" s="387">
        <f t="shared" si="15"/>
        <v>10</v>
      </c>
      <c r="AJ70" s="387">
        <f t="shared" si="15"/>
        <v>9</v>
      </c>
      <c r="AK70" s="387">
        <f t="shared" si="15"/>
        <v>4</v>
      </c>
      <c r="AL70" s="387">
        <f>COUNTIF(AL30:AL69,"D")</f>
        <v>6</v>
      </c>
      <c r="AM70" s="387">
        <f>COUNTIF(AM30:AM69,"B")</f>
        <v>8</v>
      </c>
      <c r="AN70" s="387">
        <f>COUNTIF(AN30:AN69,"A")</f>
        <v>7</v>
      </c>
      <c r="AO70" s="387">
        <f>COUNTIF(AO30:AO69,"D")</f>
        <v>9</v>
      </c>
      <c r="AP70" s="387">
        <f>COUNTIF(AP30:AP69,"B")</f>
        <v>6</v>
      </c>
      <c r="AQ70" s="387">
        <f>COUNTIF(AQ30:AQ69,"D")</f>
        <v>7</v>
      </c>
      <c r="AR70" s="387">
        <f>COUNTIF(AR30:AR69,"C")</f>
        <v>10</v>
      </c>
      <c r="AS70" s="387">
        <f t="shared" ref="AS70:AT70" si="16">COUNTIF(AS30:AS69,"A")</f>
        <v>10</v>
      </c>
      <c r="AT70" s="387">
        <f t="shared" si="16"/>
        <v>2</v>
      </c>
      <c r="AU70" s="387">
        <f t="shared" ref="AU70:AV70" si="17">COUNTIF(AU30:AU69,"D")</f>
        <v>6</v>
      </c>
      <c r="AV70" s="387">
        <f t="shared" si="17"/>
        <v>2</v>
      </c>
      <c r="AW70" s="387">
        <f>COUNTIF(AW30:AW69,"B")</f>
        <v>10</v>
      </c>
      <c r="AX70" s="387">
        <f t="shared" ref="AX70:AZ70" si="18">COUNTIF(AX30:AX69,"D")</f>
        <v>6</v>
      </c>
      <c r="AY70" s="387">
        <f t="shared" si="18"/>
        <v>4</v>
      </c>
      <c r="AZ70" s="387">
        <f t="shared" si="18"/>
        <v>7</v>
      </c>
      <c r="BA70" s="387">
        <f>COUNTIF(BA30:BA69,"A")</f>
        <v>8</v>
      </c>
      <c r="BB70" s="387">
        <f>COUNTIF(BB30:BB69,"D")</f>
        <v>3</v>
      </c>
    </row>
    <row r="71" ht="108.0" customHeight="1">
      <c r="BC71" s="88"/>
    </row>
    <row r="72" ht="12.0" customHeight="1">
      <c r="A72" s="89"/>
      <c r="B72" s="90"/>
      <c r="C72" s="90"/>
      <c r="D72" s="257" t="s">
        <v>51</v>
      </c>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41"/>
      <c r="AK72" s="93"/>
      <c r="AL72" s="464" t="s">
        <v>87</v>
      </c>
      <c r="AM72" s="34"/>
      <c r="AN72" s="34"/>
      <c r="AO72" s="34"/>
      <c r="AP72" s="34"/>
      <c r="AQ72" s="34"/>
      <c r="AR72" s="34"/>
      <c r="AS72" s="34"/>
      <c r="AT72" s="34"/>
      <c r="AU72" s="97"/>
    </row>
    <row r="73" ht="12.0" customHeight="1">
      <c r="A73" s="94"/>
      <c r="B73" s="95"/>
      <c r="C73" s="95"/>
      <c r="D73" s="96" t="s">
        <v>52</v>
      </c>
      <c r="E73" s="97"/>
      <c r="F73" s="98" t="s">
        <v>53</v>
      </c>
      <c r="G73" s="259" t="s">
        <v>54</v>
      </c>
      <c r="H73" s="260" t="s">
        <v>55</v>
      </c>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97"/>
      <c r="AK73" s="101"/>
      <c r="AL73" s="102"/>
      <c r="AM73" s="23"/>
      <c r="AN73" s="23"/>
      <c r="AO73" s="23"/>
      <c r="AP73" s="23"/>
      <c r="AQ73" s="23"/>
      <c r="AR73" s="23"/>
      <c r="AS73" s="23"/>
      <c r="AT73" s="23"/>
      <c r="AU73" s="24"/>
    </row>
    <row r="74">
      <c r="A74" s="94"/>
      <c r="B74" s="95"/>
      <c r="C74" s="95"/>
      <c r="D74" s="102"/>
      <c r="E74" s="24"/>
      <c r="F74" s="65"/>
      <c r="G74" s="102"/>
      <c r="H74" s="102"/>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4"/>
      <c r="AK74" s="101"/>
      <c r="AL74" s="465"/>
      <c r="AM74" s="466"/>
      <c r="AN74" s="406" t="s">
        <v>10</v>
      </c>
      <c r="AO74" s="467" t="s">
        <v>44</v>
      </c>
      <c r="AP74" s="408" t="s">
        <v>10</v>
      </c>
      <c r="AQ74" s="468" t="s">
        <v>42</v>
      </c>
      <c r="AR74" s="408" t="s">
        <v>10</v>
      </c>
      <c r="AS74" s="468" t="s">
        <v>41</v>
      </c>
      <c r="AT74" s="408" t="s">
        <v>10</v>
      </c>
      <c r="AU74" s="468" t="s">
        <v>43</v>
      </c>
      <c r="AV74" s="262"/>
      <c r="AW74" s="263"/>
    </row>
    <row r="75">
      <c r="A75" s="94"/>
      <c r="B75" s="95"/>
      <c r="C75" s="95"/>
      <c r="D75" s="264" t="s">
        <v>16</v>
      </c>
      <c r="E75" s="112">
        <v>1.0</v>
      </c>
      <c r="F75" s="113">
        <f>D70</f>
        <v>2</v>
      </c>
      <c r="G75" s="265">
        <f t="shared" ref="G75:G125" si="19">SUM(F75/C$17*100)</f>
        <v>6.666666667</v>
      </c>
      <c r="H75" s="266" t="s">
        <v>119</v>
      </c>
      <c r="I75" s="267"/>
      <c r="J75" s="267"/>
      <c r="K75" s="267"/>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8"/>
      <c r="AK75" s="111"/>
      <c r="AL75" s="156" t="s">
        <v>16</v>
      </c>
      <c r="AM75" s="469">
        <v>1.0</v>
      </c>
      <c r="AN75" s="208">
        <f>COUNTIF(D30:D69,"A")</f>
        <v>5</v>
      </c>
      <c r="AO75" s="470">
        <f t="shared" ref="AO75:AO125" si="20">SUM(AN75/C$17*100)</f>
        <v>16.66666667</v>
      </c>
      <c r="AP75" s="208">
        <f>COUNTIF(D30:D69,"B")</f>
        <v>2</v>
      </c>
      <c r="AQ75" s="471">
        <f t="shared" ref="AQ75:AQ125" si="21">SUM(AP75/C$17*100)</f>
        <v>6.666666667</v>
      </c>
      <c r="AR75" s="208">
        <f>COUNTIF(D30:D69,"C")</f>
        <v>6</v>
      </c>
      <c r="AS75" s="471">
        <f t="shared" ref="AS75:AS125" si="22">SUM(AR75/C$17*100)</f>
        <v>20</v>
      </c>
      <c r="AT75" s="208">
        <f>COUNTIF(D30:D69,"D")</f>
        <v>13</v>
      </c>
      <c r="AU75" s="471">
        <f t="shared" ref="AU75:AU125" si="23">SUM(AT75/C$17*100)</f>
        <v>43.33333333</v>
      </c>
      <c r="AV75" s="271"/>
      <c r="AW75" s="272"/>
    </row>
    <row r="76">
      <c r="A76" s="94"/>
      <c r="B76" s="95"/>
      <c r="C76" s="95"/>
      <c r="D76" s="47"/>
      <c r="E76" s="112">
        <v>2.0</v>
      </c>
      <c r="F76" s="113">
        <f>E70</f>
        <v>8</v>
      </c>
      <c r="G76" s="265">
        <f t="shared" si="19"/>
        <v>26.66666667</v>
      </c>
      <c r="H76" s="266" t="s">
        <v>119</v>
      </c>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8"/>
      <c r="AK76" s="111"/>
      <c r="AM76" s="469">
        <v>2.0</v>
      </c>
      <c r="AN76" s="208">
        <f>COUNTIF(E30:E69,"A")</f>
        <v>9</v>
      </c>
      <c r="AO76" s="470">
        <f t="shared" si="20"/>
        <v>30</v>
      </c>
      <c r="AP76" s="208">
        <f>COUNTIF(E30:E69,"B")</f>
        <v>6</v>
      </c>
      <c r="AQ76" s="471">
        <f t="shared" si="21"/>
        <v>20</v>
      </c>
      <c r="AR76" s="208">
        <f>COUNTIF(E30:E69,"C")</f>
        <v>8</v>
      </c>
      <c r="AS76" s="471">
        <f t="shared" si="22"/>
        <v>26.66666667</v>
      </c>
      <c r="AT76" s="208">
        <f>COUNTIF(E30:E69,"D")</f>
        <v>2</v>
      </c>
      <c r="AU76" s="471">
        <f t="shared" si="23"/>
        <v>6.666666667</v>
      </c>
      <c r="AV76" s="271"/>
      <c r="AW76" s="272"/>
    </row>
    <row r="77">
      <c r="A77" s="94"/>
      <c r="B77" s="95"/>
      <c r="C77" s="95"/>
      <c r="D77" s="47"/>
      <c r="E77" s="112">
        <v>3.0</v>
      </c>
      <c r="F77" s="114">
        <f>F70</f>
        <v>1</v>
      </c>
      <c r="G77" s="265">
        <f t="shared" si="19"/>
        <v>3.333333333</v>
      </c>
      <c r="H77" s="266" t="s">
        <v>120</v>
      </c>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8"/>
      <c r="AK77" s="111"/>
      <c r="AM77" s="469">
        <v>3.0</v>
      </c>
      <c r="AN77" s="208">
        <f>COUNTIF(F30:F69,"A")</f>
        <v>0</v>
      </c>
      <c r="AO77" s="470">
        <f t="shared" si="20"/>
        <v>0</v>
      </c>
      <c r="AP77" s="208">
        <f>COUNTIF(F30:F69,"B")</f>
        <v>4</v>
      </c>
      <c r="AQ77" s="471">
        <f t="shared" si="21"/>
        <v>13.33333333</v>
      </c>
      <c r="AR77" s="208">
        <f>COUNTIF(F30:F69,"C")</f>
        <v>21</v>
      </c>
      <c r="AS77" s="471">
        <f t="shared" si="22"/>
        <v>70</v>
      </c>
      <c r="AT77" s="208">
        <f>COUNTIF(F30:F69,"D")</f>
        <v>1</v>
      </c>
      <c r="AU77" s="471">
        <f t="shared" si="23"/>
        <v>3.333333333</v>
      </c>
      <c r="AV77" s="271"/>
      <c r="AW77" s="272"/>
    </row>
    <row r="78">
      <c r="A78" s="94"/>
      <c r="B78" s="95"/>
      <c r="C78" s="95"/>
      <c r="D78" s="47"/>
      <c r="E78" s="112">
        <v>4.0</v>
      </c>
      <c r="F78" s="113">
        <f>G70</f>
        <v>2</v>
      </c>
      <c r="G78" s="265">
        <f t="shared" si="19"/>
        <v>6.666666667</v>
      </c>
      <c r="H78" s="273" t="s">
        <v>121</v>
      </c>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8"/>
      <c r="AK78" s="111"/>
      <c r="AM78" s="469">
        <v>4.0</v>
      </c>
      <c r="AN78" s="208">
        <f>COUNTIF(G30:G69,"A")</f>
        <v>2</v>
      </c>
      <c r="AO78" s="470">
        <f t="shared" si="20"/>
        <v>6.666666667</v>
      </c>
      <c r="AP78" s="208">
        <f>COUNTIF(G30:G69,"B")</f>
        <v>14</v>
      </c>
      <c r="AQ78" s="471">
        <f t="shared" si="21"/>
        <v>46.66666667</v>
      </c>
      <c r="AR78" s="208">
        <f>COUNTIF(G30:G69,"C")</f>
        <v>6</v>
      </c>
      <c r="AS78" s="471">
        <f t="shared" si="22"/>
        <v>20</v>
      </c>
      <c r="AT78" s="208">
        <f>COUNTIF(G30:G69,"D")</f>
        <v>4</v>
      </c>
      <c r="AU78" s="471">
        <f t="shared" si="23"/>
        <v>13.33333333</v>
      </c>
      <c r="AV78" s="271"/>
      <c r="AW78" s="272"/>
    </row>
    <row r="79">
      <c r="A79" s="94"/>
      <c r="B79" s="95"/>
      <c r="C79" s="95"/>
      <c r="D79" s="47"/>
      <c r="E79" s="112">
        <v>5.0</v>
      </c>
      <c r="F79" s="113">
        <f>H70</f>
        <v>7</v>
      </c>
      <c r="G79" s="265">
        <f t="shared" si="19"/>
        <v>23.33333333</v>
      </c>
      <c r="H79" s="274" t="s">
        <v>122</v>
      </c>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8"/>
      <c r="AK79" s="111"/>
      <c r="AM79" s="469">
        <v>5.0</v>
      </c>
      <c r="AN79" s="208">
        <f>COUNTIF(H30:H69,"A")</f>
        <v>5</v>
      </c>
      <c r="AO79" s="470">
        <f t="shared" si="20"/>
        <v>16.66666667</v>
      </c>
      <c r="AP79" s="208">
        <f>COUNTIF(H30:H69,"B")</f>
        <v>7</v>
      </c>
      <c r="AQ79" s="471">
        <f t="shared" si="21"/>
        <v>23.33333333</v>
      </c>
      <c r="AR79" s="208">
        <f>COUNTIF(H30:H69,"C")</f>
        <v>1</v>
      </c>
      <c r="AS79" s="471">
        <f t="shared" si="22"/>
        <v>3.333333333</v>
      </c>
      <c r="AT79" s="208">
        <f>COUNTIF(H30:H69,"D")</f>
        <v>13</v>
      </c>
      <c r="AU79" s="471">
        <f t="shared" si="23"/>
        <v>43.33333333</v>
      </c>
      <c r="AV79" s="271"/>
      <c r="AW79" s="272"/>
    </row>
    <row r="80">
      <c r="A80" s="94"/>
      <c r="B80" s="95"/>
      <c r="C80" s="95"/>
      <c r="D80" s="47"/>
      <c r="E80" s="112">
        <v>6.0</v>
      </c>
      <c r="F80" s="113">
        <f>I70</f>
        <v>7</v>
      </c>
      <c r="G80" s="265">
        <f t="shared" si="19"/>
        <v>23.33333333</v>
      </c>
      <c r="H80" s="275" t="s">
        <v>123</v>
      </c>
      <c r="I80" s="276"/>
      <c r="J80" s="276"/>
      <c r="K80" s="276"/>
      <c r="L80" s="276"/>
      <c r="M80" s="276"/>
      <c r="N80" s="276"/>
      <c r="O80" s="276"/>
      <c r="P80" s="276"/>
      <c r="Q80" s="276"/>
      <c r="R80" s="276"/>
      <c r="S80" s="276"/>
      <c r="T80" s="276"/>
      <c r="U80" s="276"/>
      <c r="V80" s="276"/>
      <c r="W80" s="276"/>
      <c r="X80" s="276"/>
      <c r="Y80" s="276"/>
      <c r="Z80" s="276"/>
      <c r="AA80" s="276"/>
      <c r="AB80" s="276"/>
      <c r="AC80" s="276"/>
      <c r="AD80" s="276"/>
      <c r="AE80" s="276"/>
      <c r="AF80" s="276"/>
      <c r="AG80" s="276"/>
      <c r="AH80" s="276"/>
      <c r="AI80" s="276"/>
      <c r="AJ80" s="277"/>
      <c r="AK80" s="278"/>
      <c r="AM80" s="469">
        <v>6.0</v>
      </c>
      <c r="AN80" s="208">
        <f>COUNTIF(I30:I69,"A")</f>
        <v>4</v>
      </c>
      <c r="AO80" s="470">
        <f t="shared" si="20"/>
        <v>13.33333333</v>
      </c>
      <c r="AP80" s="208">
        <f>COUNTIF(I30:I69,"B")</f>
        <v>9</v>
      </c>
      <c r="AQ80" s="471">
        <f t="shared" si="21"/>
        <v>30</v>
      </c>
      <c r="AR80" s="208">
        <f>COUNTIF(I30:I69,"C")</f>
        <v>5</v>
      </c>
      <c r="AS80" s="471">
        <f t="shared" si="22"/>
        <v>16.66666667</v>
      </c>
      <c r="AT80" s="208">
        <f>COUNTIF(I30:I69,"D")</f>
        <v>7</v>
      </c>
      <c r="AU80" s="471">
        <f t="shared" si="23"/>
        <v>23.33333333</v>
      </c>
      <c r="AV80" s="271"/>
      <c r="AW80" s="272"/>
    </row>
    <row r="81">
      <c r="A81" s="94"/>
      <c r="B81" s="95"/>
      <c r="C81" s="95"/>
      <c r="D81" s="47"/>
      <c r="E81" s="112">
        <v>7.0</v>
      </c>
      <c r="F81" s="113">
        <f>J70</f>
        <v>7</v>
      </c>
      <c r="G81" s="265">
        <f t="shared" si="19"/>
        <v>23.33333333</v>
      </c>
      <c r="H81" s="273" t="s">
        <v>124</v>
      </c>
      <c r="I81" s="276"/>
      <c r="J81" s="276"/>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276"/>
      <c r="AH81" s="276"/>
      <c r="AI81" s="276"/>
      <c r="AJ81" s="277"/>
      <c r="AK81" s="111"/>
      <c r="AM81" s="469">
        <v>7.0</v>
      </c>
      <c r="AN81" s="208">
        <f>COUNTIF(J30:J69,"A")</f>
        <v>11</v>
      </c>
      <c r="AO81" s="470">
        <f t="shared" si="20"/>
        <v>36.66666667</v>
      </c>
      <c r="AP81" s="208">
        <f>COUNTIF(J30:J69,"B")</f>
        <v>7</v>
      </c>
      <c r="AQ81" s="471">
        <f t="shared" si="21"/>
        <v>23.33333333</v>
      </c>
      <c r="AR81" s="208">
        <f>COUNTIF(J30:J69,"C")</f>
        <v>6</v>
      </c>
      <c r="AS81" s="471">
        <f t="shared" si="22"/>
        <v>20</v>
      </c>
      <c r="AT81" s="208">
        <f>COUNTIF(J30:J69,"D")</f>
        <v>2</v>
      </c>
      <c r="AU81" s="471">
        <f t="shared" si="23"/>
        <v>6.666666667</v>
      </c>
      <c r="AV81" s="271"/>
      <c r="AW81" s="272"/>
    </row>
    <row r="82">
      <c r="A82" s="94"/>
      <c r="B82" s="95"/>
      <c r="C82" s="95"/>
      <c r="D82" s="47"/>
      <c r="E82" s="112">
        <v>8.0</v>
      </c>
      <c r="F82" s="113">
        <f>K70</f>
        <v>4</v>
      </c>
      <c r="G82" s="265">
        <f t="shared" si="19"/>
        <v>13.33333333</v>
      </c>
      <c r="H82" s="266" t="s">
        <v>123</v>
      </c>
      <c r="I82" s="279"/>
      <c r="J82" s="279"/>
      <c r="K82" s="279"/>
      <c r="L82" s="279"/>
      <c r="M82" s="279"/>
      <c r="N82" s="279"/>
      <c r="O82" s="279"/>
      <c r="P82" s="279"/>
      <c r="Q82" s="279"/>
      <c r="R82" s="279"/>
      <c r="S82" s="279"/>
      <c r="T82" s="279"/>
      <c r="U82" s="279"/>
      <c r="V82" s="279"/>
      <c r="W82" s="279"/>
      <c r="X82" s="279"/>
      <c r="Y82" s="279"/>
      <c r="Z82" s="279"/>
      <c r="AA82" s="279"/>
      <c r="AB82" s="279"/>
      <c r="AC82" s="279"/>
      <c r="AD82" s="279"/>
      <c r="AE82" s="279"/>
      <c r="AF82" s="279"/>
      <c r="AG82" s="279"/>
      <c r="AH82" s="279"/>
      <c r="AI82" s="279"/>
      <c r="AJ82" s="280"/>
      <c r="AK82" s="115"/>
      <c r="AM82" s="469">
        <v>8.0</v>
      </c>
      <c r="AN82" s="208">
        <f>COUNTIF(K30:K69,"A")</f>
        <v>18</v>
      </c>
      <c r="AO82" s="470">
        <f t="shared" si="20"/>
        <v>60</v>
      </c>
      <c r="AP82" s="208">
        <f>COUNTIF(K30:K69,"B")</f>
        <v>4</v>
      </c>
      <c r="AQ82" s="471">
        <f t="shared" si="21"/>
        <v>13.33333333</v>
      </c>
      <c r="AR82" s="208">
        <f>COUNTIF(K30:K69,"C")</f>
        <v>2</v>
      </c>
      <c r="AS82" s="471">
        <f t="shared" si="22"/>
        <v>6.666666667</v>
      </c>
      <c r="AT82" s="208">
        <f>COUNTIF(K30:K69,"D")</f>
        <v>2</v>
      </c>
      <c r="AU82" s="471">
        <f t="shared" si="23"/>
        <v>6.666666667</v>
      </c>
      <c r="AV82" s="271"/>
      <c r="AW82" s="272"/>
    </row>
    <row r="83">
      <c r="A83" s="94"/>
      <c r="B83" s="95"/>
      <c r="C83" s="95"/>
      <c r="D83" s="47"/>
      <c r="E83" s="112">
        <v>9.0</v>
      </c>
      <c r="F83" s="113">
        <f>L70</f>
        <v>10</v>
      </c>
      <c r="G83" s="265">
        <f t="shared" si="19"/>
        <v>33.33333333</v>
      </c>
      <c r="H83" s="281" t="s">
        <v>125</v>
      </c>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8"/>
      <c r="AK83" s="111"/>
      <c r="AM83" s="469">
        <v>9.0</v>
      </c>
      <c r="AN83" s="113">
        <f>COUNTIF(L30:L69,"A")</f>
        <v>3</v>
      </c>
      <c r="AO83" s="470">
        <f t="shared" si="20"/>
        <v>10</v>
      </c>
      <c r="AP83" s="208">
        <f>COUNTIF(L30:L69,"B")</f>
        <v>8</v>
      </c>
      <c r="AQ83" s="471">
        <f t="shared" si="21"/>
        <v>26.66666667</v>
      </c>
      <c r="AR83" s="208">
        <f>COUNTIF(L30:L69,"C")</f>
        <v>10</v>
      </c>
      <c r="AS83" s="471">
        <f t="shared" si="22"/>
        <v>33.33333333</v>
      </c>
      <c r="AT83" s="208">
        <f>COUNTIF(L30:L69,"D")</f>
        <v>5</v>
      </c>
      <c r="AU83" s="471">
        <f t="shared" si="23"/>
        <v>16.66666667</v>
      </c>
      <c r="AV83" s="271"/>
      <c r="AW83" s="272"/>
    </row>
    <row r="84">
      <c r="A84" s="94"/>
      <c r="B84" s="95"/>
      <c r="C84" s="95"/>
      <c r="D84" s="47"/>
      <c r="E84" s="112">
        <v>10.0</v>
      </c>
      <c r="F84" s="113">
        <f>M70</f>
        <v>8</v>
      </c>
      <c r="G84" s="265">
        <f t="shared" si="19"/>
        <v>26.66666667</v>
      </c>
      <c r="H84" s="266" t="s">
        <v>123</v>
      </c>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8"/>
      <c r="AK84" s="111"/>
      <c r="AM84" s="469">
        <v>10.0</v>
      </c>
      <c r="AN84" s="113">
        <f>COUNTIF(M30:M69,"A")</f>
        <v>7</v>
      </c>
      <c r="AO84" s="470">
        <f t="shared" si="20"/>
        <v>23.33333333</v>
      </c>
      <c r="AP84" s="208">
        <f>COUNTIF(M30:M69,"B")</f>
        <v>7</v>
      </c>
      <c r="AQ84" s="471">
        <f t="shared" si="21"/>
        <v>23.33333333</v>
      </c>
      <c r="AR84" s="208">
        <f>COUNTIF(M30:M69,"C")</f>
        <v>8</v>
      </c>
      <c r="AS84" s="471">
        <f t="shared" si="22"/>
        <v>26.66666667</v>
      </c>
      <c r="AT84" s="208">
        <f>COUNTIF(M30:M69,"D")</f>
        <v>4</v>
      </c>
      <c r="AU84" s="471">
        <f t="shared" si="23"/>
        <v>13.33333333</v>
      </c>
      <c r="AV84" s="271"/>
      <c r="AW84" s="272"/>
    </row>
    <row r="85">
      <c r="A85" s="94"/>
      <c r="B85" s="95"/>
      <c r="C85" s="95"/>
      <c r="D85" s="47"/>
      <c r="E85" s="112">
        <v>11.0</v>
      </c>
      <c r="F85" s="113">
        <f>N70</f>
        <v>1</v>
      </c>
      <c r="G85" s="265">
        <f t="shared" si="19"/>
        <v>3.333333333</v>
      </c>
      <c r="H85" s="266" t="s">
        <v>126</v>
      </c>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3"/>
      <c r="AK85" s="111"/>
      <c r="AM85" s="469">
        <v>11.0</v>
      </c>
      <c r="AN85" s="113">
        <f>COUNTIF(N30:N69,"A")</f>
        <v>10</v>
      </c>
      <c r="AO85" s="470">
        <f t="shared" si="20"/>
        <v>33.33333333</v>
      </c>
      <c r="AP85" s="208">
        <f>COUNTIF(N30:N69,"B")</f>
        <v>1</v>
      </c>
      <c r="AQ85" s="471">
        <f t="shared" si="21"/>
        <v>3.333333333</v>
      </c>
      <c r="AR85" s="208">
        <f>COUNTIF(N30:N69,"C")</f>
        <v>9</v>
      </c>
      <c r="AS85" s="471">
        <f t="shared" si="22"/>
        <v>30</v>
      </c>
      <c r="AT85" s="208">
        <f>COUNTIF(N30:N69,"D")</f>
        <v>6</v>
      </c>
      <c r="AU85" s="471">
        <f t="shared" si="23"/>
        <v>20</v>
      </c>
      <c r="AV85" s="271"/>
      <c r="AW85" s="272"/>
    </row>
    <row r="86">
      <c r="A86" s="94"/>
      <c r="B86" s="95"/>
      <c r="C86" s="95"/>
      <c r="D86" s="47"/>
      <c r="E86" s="112">
        <v>12.0</v>
      </c>
      <c r="F86" s="113">
        <f>O70</f>
        <v>3</v>
      </c>
      <c r="G86" s="265">
        <f t="shared" si="19"/>
        <v>10</v>
      </c>
      <c r="H86" s="266" t="s">
        <v>127</v>
      </c>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5"/>
      <c r="AK86" s="116"/>
      <c r="AM86" s="469">
        <v>12.0</v>
      </c>
      <c r="AN86" s="113">
        <f>COUNTIF(O30:O69,"A")</f>
        <v>3</v>
      </c>
      <c r="AO86" s="470">
        <f t="shared" si="20"/>
        <v>10</v>
      </c>
      <c r="AP86" s="208">
        <f>COUNTIF(O30:O69,"B")</f>
        <v>10</v>
      </c>
      <c r="AQ86" s="471">
        <f t="shared" si="21"/>
        <v>33.33333333</v>
      </c>
      <c r="AR86" s="208">
        <f>COUNTIF(O30:O69,"C")</f>
        <v>4</v>
      </c>
      <c r="AS86" s="471">
        <f t="shared" si="22"/>
        <v>13.33333333</v>
      </c>
      <c r="AT86" s="208">
        <f>COUNTIF(O30:O69,"D")</f>
        <v>9</v>
      </c>
      <c r="AU86" s="471">
        <f t="shared" si="23"/>
        <v>30</v>
      </c>
      <c r="AV86" s="271"/>
      <c r="AW86" s="272"/>
    </row>
    <row r="87">
      <c r="A87" s="94"/>
      <c r="B87" s="95"/>
      <c r="C87" s="95"/>
      <c r="D87" s="47"/>
      <c r="E87" s="112">
        <v>13.0</v>
      </c>
      <c r="F87" s="113">
        <f>P70</f>
        <v>5</v>
      </c>
      <c r="G87" s="265">
        <f t="shared" si="19"/>
        <v>16.66666667</v>
      </c>
      <c r="H87" s="266" t="s">
        <v>128</v>
      </c>
      <c r="I87" s="267"/>
      <c r="J87" s="267"/>
      <c r="K87" s="267"/>
      <c r="L87" s="267"/>
      <c r="M87" s="267"/>
      <c r="N87" s="267"/>
      <c r="O87" s="267"/>
      <c r="P87" s="267"/>
      <c r="Q87" s="267"/>
      <c r="R87" s="267"/>
      <c r="S87" s="267"/>
      <c r="T87" s="267"/>
      <c r="U87" s="267"/>
      <c r="V87" s="267"/>
      <c r="W87" s="267"/>
      <c r="X87" s="267"/>
      <c r="Y87" s="267"/>
      <c r="Z87" s="267"/>
      <c r="AA87" s="267"/>
      <c r="AB87" s="267"/>
      <c r="AC87" s="267"/>
      <c r="AD87" s="267"/>
      <c r="AE87" s="267"/>
      <c r="AF87" s="267"/>
      <c r="AG87" s="267"/>
      <c r="AH87" s="267"/>
      <c r="AI87" s="267"/>
      <c r="AJ87" s="268"/>
      <c r="AK87" s="111"/>
      <c r="AM87" s="469">
        <v>13.0</v>
      </c>
      <c r="AN87" s="113">
        <f>COUNTIF(P30:P69,"A")</f>
        <v>3</v>
      </c>
      <c r="AO87" s="470">
        <f t="shared" si="20"/>
        <v>10</v>
      </c>
      <c r="AP87" s="208">
        <f>COUNTIF(P30:P69,"B")</f>
        <v>15</v>
      </c>
      <c r="AQ87" s="471">
        <f t="shared" si="21"/>
        <v>50</v>
      </c>
      <c r="AR87" s="208">
        <f>COUNTIF(P30:P69,"C")</f>
        <v>3</v>
      </c>
      <c r="AS87" s="471">
        <f t="shared" si="22"/>
        <v>10</v>
      </c>
      <c r="AT87" s="208">
        <f>COUNTIF(P30:P69,"D")</f>
        <v>5</v>
      </c>
      <c r="AU87" s="471">
        <f t="shared" si="23"/>
        <v>16.66666667</v>
      </c>
      <c r="AV87" s="271"/>
      <c r="AW87" s="272"/>
    </row>
    <row r="88">
      <c r="A88" s="94"/>
      <c r="B88" s="95"/>
      <c r="C88" s="95"/>
      <c r="D88" s="47"/>
      <c r="E88" s="112">
        <v>14.0</v>
      </c>
      <c r="F88" s="113">
        <f>Q70</f>
        <v>2</v>
      </c>
      <c r="G88" s="265">
        <f t="shared" si="19"/>
        <v>6.666666667</v>
      </c>
      <c r="H88" s="266" t="s">
        <v>123</v>
      </c>
      <c r="I88" s="267"/>
      <c r="J88" s="267"/>
      <c r="K88" s="267"/>
      <c r="L88" s="267"/>
      <c r="M88" s="267"/>
      <c r="N88" s="267"/>
      <c r="O88" s="267"/>
      <c r="P88" s="267"/>
      <c r="Q88" s="267"/>
      <c r="R88" s="267"/>
      <c r="S88" s="267"/>
      <c r="T88" s="267"/>
      <c r="U88" s="267"/>
      <c r="V88" s="267"/>
      <c r="W88" s="267"/>
      <c r="X88" s="267"/>
      <c r="Y88" s="267"/>
      <c r="Z88" s="267"/>
      <c r="AA88" s="267"/>
      <c r="AB88" s="267"/>
      <c r="AC88" s="267"/>
      <c r="AD88" s="267"/>
      <c r="AE88" s="267"/>
      <c r="AF88" s="267"/>
      <c r="AG88" s="267"/>
      <c r="AH88" s="267"/>
      <c r="AI88" s="267"/>
      <c r="AJ88" s="268"/>
      <c r="AK88" s="111"/>
      <c r="AM88" s="469">
        <v>14.0</v>
      </c>
      <c r="AN88" s="113">
        <f>COUNTIF(Q30:Q69,"A")</f>
        <v>13</v>
      </c>
      <c r="AO88" s="470">
        <f t="shared" si="20"/>
        <v>43.33333333</v>
      </c>
      <c r="AP88" s="208">
        <f>COUNTIF(Q30:Q69,"B")</f>
        <v>11</v>
      </c>
      <c r="AQ88" s="471">
        <f t="shared" si="21"/>
        <v>36.66666667</v>
      </c>
      <c r="AR88" s="208">
        <f>COUNTIF(Q30:Q69,"C")</f>
        <v>2</v>
      </c>
      <c r="AS88" s="471">
        <f t="shared" si="22"/>
        <v>6.666666667</v>
      </c>
      <c r="AT88" s="208">
        <f>COUNTIF(Q30:Q69,"D")</f>
        <v>0</v>
      </c>
      <c r="AU88" s="471">
        <f t="shared" si="23"/>
        <v>0</v>
      </c>
      <c r="AV88" s="271"/>
      <c r="AW88" s="272"/>
    </row>
    <row r="89">
      <c r="A89" s="94"/>
      <c r="B89" s="95"/>
      <c r="C89" s="95"/>
      <c r="D89" s="47"/>
      <c r="E89" s="112">
        <v>15.0</v>
      </c>
      <c r="F89" s="113">
        <f>R70</f>
        <v>2</v>
      </c>
      <c r="G89" s="265">
        <f t="shared" si="19"/>
        <v>6.666666667</v>
      </c>
      <c r="H89" s="266" t="s">
        <v>129</v>
      </c>
      <c r="I89" s="267"/>
      <c r="J89" s="267"/>
      <c r="K89" s="267"/>
      <c r="L89" s="267"/>
      <c r="M89" s="267"/>
      <c r="N89" s="267"/>
      <c r="O89" s="267"/>
      <c r="P89" s="267"/>
      <c r="Q89" s="267"/>
      <c r="R89" s="267"/>
      <c r="S89" s="267"/>
      <c r="T89" s="267"/>
      <c r="U89" s="267"/>
      <c r="V89" s="267"/>
      <c r="W89" s="267"/>
      <c r="X89" s="267"/>
      <c r="Y89" s="267"/>
      <c r="Z89" s="267"/>
      <c r="AA89" s="267"/>
      <c r="AB89" s="267"/>
      <c r="AC89" s="267"/>
      <c r="AD89" s="267"/>
      <c r="AE89" s="267"/>
      <c r="AF89" s="267"/>
      <c r="AG89" s="267"/>
      <c r="AH89" s="267"/>
      <c r="AI89" s="267"/>
      <c r="AJ89" s="268"/>
      <c r="AK89" s="111"/>
      <c r="AM89" s="469">
        <v>15.0</v>
      </c>
      <c r="AN89" s="113">
        <f>COUNTIF(R30:R69,"A")</f>
        <v>9</v>
      </c>
      <c r="AO89" s="470">
        <f t="shared" si="20"/>
        <v>30</v>
      </c>
      <c r="AP89" s="208">
        <f>COUNTIF(R30:R69,"B")</f>
        <v>2</v>
      </c>
      <c r="AQ89" s="471">
        <f t="shared" si="21"/>
        <v>6.666666667</v>
      </c>
      <c r="AR89" s="208">
        <f>COUNTIF(R30:R69,"C")</f>
        <v>13</v>
      </c>
      <c r="AS89" s="471">
        <f t="shared" si="22"/>
        <v>43.33333333</v>
      </c>
      <c r="AT89" s="208">
        <f>COUNTIF(R30:R69,"D")</f>
        <v>2</v>
      </c>
      <c r="AU89" s="471">
        <f t="shared" si="23"/>
        <v>6.666666667</v>
      </c>
      <c r="AV89" s="271"/>
      <c r="AW89" s="272"/>
    </row>
    <row r="90">
      <c r="A90" s="94"/>
      <c r="B90" s="95"/>
      <c r="C90" s="95"/>
      <c r="D90" s="47"/>
      <c r="E90" s="112">
        <v>16.0</v>
      </c>
      <c r="F90" s="113">
        <f>S70</f>
        <v>3</v>
      </c>
      <c r="G90" s="265">
        <f t="shared" si="19"/>
        <v>10</v>
      </c>
      <c r="H90" s="266" t="s">
        <v>123</v>
      </c>
      <c r="I90" s="267"/>
      <c r="J90" s="267"/>
      <c r="K90" s="267"/>
      <c r="L90" s="267"/>
      <c r="M90" s="267"/>
      <c r="N90" s="267"/>
      <c r="O90" s="267"/>
      <c r="P90" s="267"/>
      <c r="Q90" s="267"/>
      <c r="R90" s="267"/>
      <c r="S90" s="267"/>
      <c r="T90" s="267"/>
      <c r="U90" s="267"/>
      <c r="V90" s="267"/>
      <c r="W90" s="267"/>
      <c r="X90" s="267"/>
      <c r="Y90" s="267"/>
      <c r="Z90" s="267"/>
      <c r="AA90" s="267"/>
      <c r="AB90" s="267"/>
      <c r="AC90" s="267"/>
      <c r="AD90" s="267"/>
      <c r="AE90" s="267"/>
      <c r="AF90" s="267"/>
      <c r="AG90" s="267"/>
      <c r="AH90" s="267"/>
      <c r="AI90" s="267"/>
      <c r="AJ90" s="268"/>
      <c r="AK90" s="111"/>
      <c r="AM90" s="469">
        <v>16.0</v>
      </c>
      <c r="AN90" s="113">
        <f>COUNTIF(S30:S69,"A")</f>
        <v>3</v>
      </c>
      <c r="AO90" s="470">
        <f t="shared" si="20"/>
        <v>10</v>
      </c>
      <c r="AP90" s="208">
        <f>COUNTIF(S30:S69,"B")</f>
        <v>4</v>
      </c>
      <c r="AQ90" s="471">
        <f t="shared" si="21"/>
        <v>13.33333333</v>
      </c>
      <c r="AR90" s="208">
        <f>COUNTIF(S30:S69,"C")</f>
        <v>16</v>
      </c>
      <c r="AS90" s="471">
        <f t="shared" si="22"/>
        <v>53.33333333</v>
      </c>
      <c r="AT90" s="208">
        <f>COUNTIF(S30:S69,"D")</f>
        <v>3</v>
      </c>
      <c r="AU90" s="471">
        <f t="shared" si="23"/>
        <v>10</v>
      </c>
      <c r="AV90" s="271"/>
      <c r="AW90" s="272"/>
    </row>
    <row r="91">
      <c r="A91" s="94"/>
      <c r="B91" s="95"/>
      <c r="C91" s="95"/>
      <c r="D91" s="47"/>
      <c r="E91" s="112">
        <v>17.0</v>
      </c>
      <c r="F91" s="113">
        <f>T70</f>
        <v>17</v>
      </c>
      <c r="G91" s="265">
        <f t="shared" si="19"/>
        <v>56.66666667</v>
      </c>
      <c r="H91" s="266" t="s">
        <v>123</v>
      </c>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8"/>
      <c r="AK91" s="111"/>
      <c r="AM91" s="469">
        <v>17.0</v>
      </c>
      <c r="AN91" s="413">
        <f>COUNTIF(T30:T69,"A")</f>
        <v>2</v>
      </c>
      <c r="AO91" s="470">
        <f t="shared" si="20"/>
        <v>6.666666667</v>
      </c>
      <c r="AP91" s="414">
        <f>COUNTIF(T30:T69,"B")</f>
        <v>17</v>
      </c>
      <c r="AQ91" s="471">
        <f t="shared" si="21"/>
        <v>56.66666667</v>
      </c>
      <c r="AR91" s="414">
        <f>COUNTIF(T30:T69,"C")</f>
        <v>3</v>
      </c>
      <c r="AS91" s="471">
        <f t="shared" si="22"/>
        <v>10</v>
      </c>
      <c r="AT91" s="414">
        <f>COUNTIF(T30:T69,"D")</f>
        <v>4</v>
      </c>
      <c r="AU91" s="471">
        <f t="shared" si="23"/>
        <v>13.33333333</v>
      </c>
      <c r="AV91" s="286"/>
      <c r="AW91" s="272"/>
    </row>
    <row r="92">
      <c r="A92" s="94"/>
      <c r="B92" s="95"/>
      <c r="C92" s="95"/>
      <c r="D92" s="47"/>
      <c r="E92" s="112">
        <v>18.0</v>
      </c>
      <c r="F92" s="113">
        <f>U70</f>
        <v>5</v>
      </c>
      <c r="G92" s="265">
        <f t="shared" si="19"/>
        <v>16.66666667</v>
      </c>
      <c r="H92" s="266" t="s">
        <v>130</v>
      </c>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3"/>
      <c r="AK92" s="111"/>
      <c r="AM92" s="469">
        <v>18.0</v>
      </c>
      <c r="AN92" s="113">
        <f>COUNTIF(U30:U69,"A")</f>
        <v>9</v>
      </c>
      <c r="AO92" s="470">
        <f t="shared" si="20"/>
        <v>30</v>
      </c>
      <c r="AP92" s="208">
        <f>COUNTIF(U30:U69,"B")</f>
        <v>5</v>
      </c>
      <c r="AQ92" s="471">
        <f t="shared" si="21"/>
        <v>16.66666667</v>
      </c>
      <c r="AR92" s="208">
        <f>COUNTIF(U30:U69,"C")</f>
        <v>10</v>
      </c>
      <c r="AS92" s="471">
        <f t="shared" si="22"/>
        <v>33.33333333</v>
      </c>
      <c r="AT92" s="208">
        <f>COUNTIF(U30:U69,"D")</f>
        <v>2</v>
      </c>
      <c r="AU92" s="471">
        <f t="shared" si="23"/>
        <v>6.666666667</v>
      </c>
      <c r="AV92" s="271"/>
      <c r="AW92" s="272"/>
    </row>
    <row r="93">
      <c r="A93" s="94"/>
      <c r="B93" s="95"/>
      <c r="C93" s="95"/>
      <c r="D93" s="47"/>
      <c r="E93" s="112">
        <v>19.0</v>
      </c>
      <c r="F93" s="113">
        <f>V70</f>
        <v>7</v>
      </c>
      <c r="G93" s="265">
        <f t="shared" si="19"/>
        <v>23.33333333</v>
      </c>
      <c r="H93" s="274" t="s">
        <v>131</v>
      </c>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3"/>
      <c r="AK93" s="111"/>
      <c r="AM93" s="469">
        <v>19.0</v>
      </c>
      <c r="AN93" s="113">
        <f>COUNTIF(V30:V69,"A")</f>
        <v>7</v>
      </c>
      <c r="AO93" s="470">
        <f t="shared" si="20"/>
        <v>23.33333333</v>
      </c>
      <c r="AP93" s="208">
        <f>COUNTIF(V30:V69,"B")</f>
        <v>7</v>
      </c>
      <c r="AQ93" s="471">
        <f t="shared" si="21"/>
        <v>23.33333333</v>
      </c>
      <c r="AR93" s="208">
        <f>COUNTIF(V30:V69,"C")</f>
        <v>3</v>
      </c>
      <c r="AS93" s="471">
        <f t="shared" si="22"/>
        <v>10</v>
      </c>
      <c r="AT93" s="208">
        <f>COUNTIF(V30:V69,"D")</f>
        <v>8</v>
      </c>
      <c r="AU93" s="471">
        <f t="shared" si="23"/>
        <v>26.66666667</v>
      </c>
      <c r="AV93" s="271"/>
      <c r="AW93" s="272"/>
    </row>
    <row r="94">
      <c r="A94" s="94"/>
      <c r="B94" s="95"/>
      <c r="C94" s="95"/>
      <c r="D94" s="47"/>
      <c r="E94" s="112">
        <v>20.0</v>
      </c>
      <c r="F94" s="113">
        <f>W70</f>
        <v>7</v>
      </c>
      <c r="G94" s="265">
        <f t="shared" si="19"/>
        <v>23.33333333</v>
      </c>
      <c r="H94" s="281" t="s">
        <v>132</v>
      </c>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8"/>
      <c r="AK94" s="111"/>
      <c r="AM94" s="469">
        <v>20.0</v>
      </c>
      <c r="AN94" s="113">
        <f>COUNTIF(W30:W69,"A")</f>
        <v>7</v>
      </c>
      <c r="AO94" s="470">
        <f t="shared" si="20"/>
        <v>23.33333333</v>
      </c>
      <c r="AP94" s="208">
        <f>COUNTIF(W30:W69,"B")</f>
        <v>4</v>
      </c>
      <c r="AQ94" s="471">
        <f t="shared" si="21"/>
        <v>13.33333333</v>
      </c>
      <c r="AR94" s="208">
        <f>COUNTIF(W30:W69,"C")</f>
        <v>9</v>
      </c>
      <c r="AS94" s="471">
        <f t="shared" si="22"/>
        <v>30</v>
      </c>
      <c r="AT94" s="208">
        <f>COUNTIF(W30:W69,"D")</f>
        <v>6</v>
      </c>
      <c r="AU94" s="471">
        <f t="shared" si="23"/>
        <v>20</v>
      </c>
      <c r="AV94" s="271"/>
      <c r="AW94" s="272"/>
    </row>
    <row r="95">
      <c r="A95" s="94"/>
      <c r="B95" s="95"/>
      <c r="C95" s="95"/>
      <c r="D95" s="47"/>
      <c r="E95" s="112">
        <v>21.0</v>
      </c>
      <c r="F95" s="113">
        <f>X70</f>
        <v>6</v>
      </c>
      <c r="G95" s="265">
        <f t="shared" si="19"/>
        <v>20</v>
      </c>
      <c r="H95" s="266" t="s">
        <v>128</v>
      </c>
      <c r="I95" s="267"/>
      <c r="J95" s="267"/>
      <c r="K95" s="267"/>
      <c r="L95" s="267"/>
      <c r="M95" s="267"/>
      <c r="N95" s="267"/>
      <c r="O95" s="267"/>
      <c r="P95" s="267"/>
      <c r="Q95" s="267"/>
      <c r="R95" s="267"/>
      <c r="S95" s="267"/>
      <c r="T95" s="267"/>
      <c r="U95" s="267"/>
      <c r="V95" s="267"/>
      <c r="W95" s="267"/>
      <c r="X95" s="267"/>
      <c r="Y95" s="267"/>
      <c r="Z95" s="267"/>
      <c r="AA95" s="267"/>
      <c r="AB95" s="267"/>
      <c r="AC95" s="267"/>
      <c r="AD95" s="267"/>
      <c r="AE95" s="267"/>
      <c r="AF95" s="267"/>
      <c r="AG95" s="267"/>
      <c r="AH95" s="267"/>
      <c r="AI95" s="267"/>
      <c r="AJ95" s="268"/>
      <c r="AK95" s="111"/>
      <c r="AM95" s="469">
        <v>21.0</v>
      </c>
      <c r="AN95" s="113">
        <f>COUNTIF(X30:X69,"A")</f>
        <v>7</v>
      </c>
      <c r="AO95" s="470">
        <f t="shared" si="20"/>
        <v>23.33333333</v>
      </c>
      <c r="AP95" s="208">
        <f>COUNTIF(X30:X69,"B")</f>
        <v>10</v>
      </c>
      <c r="AQ95" s="471">
        <f t="shared" si="21"/>
        <v>33.33333333</v>
      </c>
      <c r="AR95" s="208">
        <f>COUNTIF(X30:X69,"C")</f>
        <v>6</v>
      </c>
      <c r="AS95" s="471">
        <f t="shared" si="22"/>
        <v>20</v>
      </c>
      <c r="AT95" s="208">
        <f>COUNTIF(X30:X69,"D")</f>
        <v>3</v>
      </c>
      <c r="AU95" s="471">
        <f t="shared" si="23"/>
        <v>10</v>
      </c>
      <c r="AV95" s="271"/>
      <c r="AW95" s="272"/>
    </row>
    <row r="96">
      <c r="A96" s="94"/>
      <c r="B96" s="95"/>
      <c r="C96" s="95"/>
      <c r="D96" s="47"/>
      <c r="E96" s="112">
        <v>22.0</v>
      </c>
      <c r="F96" s="113">
        <f>Y70</f>
        <v>16</v>
      </c>
      <c r="G96" s="265">
        <f t="shared" si="19"/>
        <v>53.33333333</v>
      </c>
      <c r="H96" s="266" t="s">
        <v>123</v>
      </c>
      <c r="I96" s="267"/>
      <c r="J96" s="267"/>
      <c r="K96" s="267"/>
      <c r="L96" s="267"/>
      <c r="M96" s="267"/>
      <c r="N96" s="267"/>
      <c r="O96" s="267"/>
      <c r="P96" s="267"/>
      <c r="Q96" s="267"/>
      <c r="R96" s="267"/>
      <c r="S96" s="267"/>
      <c r="T96" s="267"/>
      <c r="U96" s="267"/>
      <c r="V96" s="267"/>
      <c r="W96" s="267"/>
      <c r="X96" s="267"/>
      <c r="Y96" s="267"/>
      <c r="Z96" s="267"/>
      <c r="AA96" s="267"/>
      <c r="AB96" s="267"/>
      <c r="AC96" s="267"/>
      <c r="AD96" s="267"/>
      <c r="AE96" s="267"/>
      <c r="AF96" s="267"/>
      <c r="AG96" s="267"/>
      <c r="AH96" s="267"/>
      <c r="AI96" s="267"/>
      <c r="AJ96" s="268"/>
      <c r="AK96" s="111"/>
      <c r="AM96" s="469">
        <v>22.0</v>
      </c>
      <c r="AN96" s="113">
        <f>COUNTIF(Y30:Y69,"A")</f>
        <v>3</v>
      </c>
      <c r="AO96" s="470">
        <f t="shared" si="20"/>
        <v>10</v>
      </c>
      <c r="AP96" s="208">
        <f>COUNTIF(Y30:Y69,"B")</f>
        <v>5</v>
      </c>
      <c r="AQ96" s="471">
        <f t="shared" si="21"/>
        <v>16.66666667</v>
      </c>
      <c r="AR96" s="208">
        <f>COUNTIF(Y30:Y69,"C")</f>
        <v>16</v>
      </c>
      <c r="AS96" s="471">
        <f t="shared" si="22"/>
        <v>53.33333333</v>
      </c>
      <c r="AT96" s="208">
        <f>COUNTIF(Y30:Y69,"D")</f>
        <v>2</v>
      </c>
      <c r="AU96" s="471">
        <f t="shared" si="23"/>
        <v>6.666666667</v>
      </c>
      <c r="AV96" s="271"/>
      <c r="AW96" s="272"/>
      <c r="BI96" s="287"/>
    </row>
    <row r="97">
      <c r="A97" s="94"/>
      <c r="B97" s="95"/>
      <c r="C97" s="95"/>
      <c r="D97" s="47"/>
      <c r="E97" s="112">
        <v>23.0</v>
      </c>
      <c r="F97" s="113">
        <f>Z70</f>
        <v>2</v>
      </c>
      <c r="G97" s="265">
        <f t="shared" si="19"/>
        <v>6.666666667</v>
      </c>
      <c r="H97" s="266" t="s">
        <v>133</v>
      </c>
      <c r="I97" s="267"/>
      <c r="J97" s="267"/>
      <c r="K97" s="267"/>
      <c r="L97" s="267"/>
      <c r="M97" s="267"/>
      <c r="N97" s="267"/>
      <c r="O97" s="267"/>
      <c r="P97" s="267"/>
      <c r="Q97" s="267"/>
      <c r="R97" s="267"/>
      <c r="S97" s="267"/>
      <c r="T97" s="267"/>
      <c r="U97" s="267"/>
      <c r="V97" s="267"/>
      <c r="W97" s="267"/>
      <c r="X97" s="267"/>
      <c r="Y97" s="267"/>
      <c r="Z97" s="267"/>
      <c r="AA97" s="267"/>
      <c r="AB97" s="267"/>
      <c r="AC97" s="267"/>
      <c r="AD97" s="267"/>
      <c r="AE97" s="267"/>
      <c r="AF97" s="267"/>
      <c r="AG97" s="267"/>
      <c r="AH97" s="267"/>
      <c r="AI97" s="267"/>
      <c r="AJ97" s="268"/>
      <c r="AK97" s="111"/>
      <c r="AM97" s="469">
        <v>23.0</v>
      </c>
      <c r="AN97" s="113">
        <f>COUNTIF(Z30:Z69,"A")</f>
        <v>2</v>
      </c>
      <c r="AO97" s="470">
        <f t="shared" si="20"/>
        <v>6.666666667</v>
      </c>
      <c r="AP97" s="208">
        <f>COUNTIF(Z30:Z69,"B")</f>
        <v>13</v>
      </c>
      <c r="AQ97" s="471">
        <f t="shared" si="21"/>
        <v>43.33333333</v>
      </c>
      <c r="AR97" s="208">
        <f>COUNTIF(Z30:Z69,"C")</f>
        <v>8</v>
      </c>
      <c r="AS97" s="471">
        <f t="shared" si="22"/>
        <v>26.66666667</v>
      </c>
      <c r="AT97" s="208">
        <f>COUNTIF(Z30:Z69,"D")</f>
        <v>3</v>
      </c>
      <c r="AU97" s="471">
        <f t="shared" si="23"/>
        <v>10</v>
      </c>
      <c r="AV97" s="271"/>
      <c r="AW97" s="272"/>
    </row>
    <row r="98">
      <c r="A98" s="94"/>
      <c r="B98" s="95"/>
      <c r="C98" s="95"/>
      <c r="D98" s="47"/>
      <c r="E98" s="112">
        <v>24.0</v>
      </c>
      <c r="F98" s="113">
        <f>AA70</f>
        <v>5</v>
      </c>
      <c r="G98" s="265">
        <f t="shared" si="19"/>
        <v>16.66666667</v>
      </c>
      <c r="H98" s="266" t="s">
        <v>123</v>
      </c>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267"/>
      <c r="AH98" s="267"/>
      <c r="AI98" s="267"/>
      <c r="AJ98" s="268"/>
      <c r="AK98" s="111"/>
      <c r="AM98" s="469">
        <v>24.0</v>
      </c>
      <c r="AN98" s="113">
        <f>COUNTIF(AA30:AA69,"A")</f>
        <v>6</v>
      </c>
      <c r="AO98" s="470">
        <f t="shared" si="20"/>
        <v>20</v>
      </c>
      <c r="AP98" s="208">
        <f>COUNTIF(AA30:AA69,"B")</f>
        <v>7</v>
      </c>
      <c r="AQ98" s="471">
        <f t="shared" si="21"/>
        <v>23.33333333</v>
      </c>
      <c r="AR98" s="208">
        <f>COUNTIF(AA30:AA69,"C")</f>
        <v>7</v>
      </c>
      <c r="AS98" s="471">
        <f t="shared" si="22"/>
        <v>23.33333333</v>
      </c>
      <c r="AT98" s="208">
        <f>COUNTIF(AA30:AA69,"D")</f>
        <v>5</v>
      </c>
      <c r="AU98" s="471">
        <f t="shared" si="23"/>
        <v>16.66666667</v>
      </c>
      <c r="AV98" s="271"/>
      <c r="AW98" s="272"/>
    </row>
    <row r="99">
      <c r="A99" s="94"/>
      <c r="B99" s="95"/>
      <c r="C99" s="95"/>
      <c r="D99" s="117"/>
      <c r="E99" s="118">
        <v>25.0</v>
      </c>
      <c r="F99" s="119">
        <f>AB70</f>
        <v>7</v>
      </c>
      <c r="G99" s="288">
        <f t="shared" si="19"/>
        <v>23.33333333</v>
      </c>
      <c r="H99" s="289" t="s">
        <v>134</v>
      </c>
      <c r="I99" s="290"/>
      <c r="J99" s="290"/>
      <c r="K99" s="290"/>
      <c r="L99" s="290"/>
      <c r="M99" s="290"/>
      <c r="N99" s="290"/>
      <c r="O99" s="290"/>
      <c r="P99" s="290"/>
      <c r="Q99" s="290"/>
      <c r="R99" s="290"/>
      <c r="S99" s="290"/>
      <c r="T99" s="290"/>
      <c r="U99" s="290"/>
      <c r="V99" s="290"/>
      <c r="W99" s="290"/>
      <c r="X99" s="290"/>
      <c r="Y99" s="290"/>
      <c r="Z99" s="290"/>
      <c r="AA99" s="290"/>
      <c r="AB99" s="290"/>
      <c r="AC99" s="290"/>
      <c r="AD99" s="290"/>
      <c r="AE99" s="290"/>
      <c r="AF99" s="290"/>
      <c r="AG99" s="290"/>
      <c r="AH99" s="290"/>
      <c r="AI99" s="290"/>
      <c r="AJ99" s="291"/>
      <c r="AK99" s="111"/>
      <c r="AM99" s="469">
        <v>25.0</v>
      </c>
      <c r="AN99" s="113">
        <f>COUNTIF(AB30:AB69,"A")</f>
        <v>4</v>
      </c>
      <c r="AO99" s="470">
        <f t="shared" si="20"/>
        <v>13.33333333</v>
      </c>
      <c r="AP99" s="208">
        <f>COUNTIF(AB30:AB69,"B")</f>
        <v>10</v>
      </c>
      <c r="AQ99" s="471">
        <f t="shared" si="21"/>
        <v>33.33333333</v>
      </c>
      <c r="AR99" s="208">
        <f>COUNTIF(AB30:AB69,"C")</f>
        <v>7</v>
      </c>
      <c r="AS99" s="471">
        <f t="shared" si="22"/>
        <v>23.33333333</v>
      </c>
      <c r="AT99" s="208">
        <f>COUNTIF(AB30:AB69,"D")</f>
        <v>5</v>
      </c>
      <c r="AU99" s="471">
        <f t="shared" si="23"/>
        <v>16.66666667</v>
      </c>
      <c r="AV99" s="271"/>
      <c r="AW99" s="272"/>
    </row>
    <row r="100">
      <c r="A100" s="94"/>
      <c r="B100" s="95"/>
      <c r="C100" s="95"/>
      <c r="D100" s="124" t="s">
        <v>17</v>
      </c>
      <c r="E100" s="125">
        <v>1.0</v>
      </c>
      <c r="F100" s="106">
        <f>AC70</f>
        <v>4</v>
      </c>
      <c r="G100" s="107">
        <f t="shared" si="19"/>
        <v>13.33333333</v>
      </c>
      <c r="H100" s="292" t="s">
        <v>135</v>
      </c>
      <c r="I100" s="293"/>
      <c r="J100" s="293"/>
      <c r="K100" s="293"/>
      <c r="L100" s="293"/>
      <c r="M100" s="293"/>
      <c r="N100" s="293"/>
      <c r="O100" s="293"/>
      <c r="P100" s="293"/>
      <c r="Q100" s="293"/>
      <c r="R100" s="293"/>
      <c r="S100" s="293"/>
      <c r="T100" s="293"/>
      <c r="U100" s="293"/>
      <c r="V100" s="293"/>
      <c r="W100" s="293"/>
      <c r="X100" s="293"/>
      <c r="Y100" s="293"/>
      <c r="Z100" s="293"/>
      <c r="AA100" s="293"/>
      <c r="AB100" s="293"/>
      <c r="AC100" s="293"/>
      <c r="AD100" s="293"/>
      <c r="AE100" s="293"/>
      <c r="AF100" s="293"/>
      <c r="AG100" s="293"/>
      <c r="AH100" s="293"/>
      <c r="AI100" s="293"/>
      <c r="AJ100" s="294"/>
      <c r="AK100" s="134"/>
      <c r="AL100" s="164" t="s">
        <v>17</v>
      </c>
      <c r="AM100" s="309">
        <v>1.0</v>
      </c>
      <c r="AN100" s="113">
        <f>COUNTIF(AC30:AC69,"A")</f>
        <v>14</v>
      </c>
      <c r="AO100" s="470">
        <f t="shared" si="20"/>
        <v>46.66666667</v>
      </c>
      <c r="AP100" s="208">
        <f>COUNTIF(AC30:AC69,"B")</f>
        <v>5</v>
      </c>
      <c r="AQ100" s="471">
        <f t="shared" si="21"/>
        <v>16.66666667</v>
      </c>
      <c r="AR100" s="208">
        <f>COUNTIF(AC30:AC69,"C")</f>
        <v>4</v>
      </c>
      <c r="AS100" s="471">
        <f t="shared" si="22"/>
        <v>13.33333333</v>
      </c>
      <c r="AT100" s="208">
        <f>COUNTIF(AC30:AC69,"D")</f>
        <v>4</v>
      </c>
      <c r="AU100" s="471">
        <f t="shared" si="23"/>
        <v>13.33333333</v>
      </c>
      <c r="AV100" s="271"/>
      <c r="AW100" s="272"/>
    </row>
    <row r="101">
      <c r="A101" s="94"/>
      <c r="B101" s="95"/>
      <c r="C101" s="95"/>
      <c r="D101" s="47"/>
      <c r="E101" s="130">
        <v>2.0</v>
      </c>
      <c r="F101" s="113">
        <f>AD70</f>
        <v>11</v>
      </c>
      <c r="G101" s="265">
        <f t="shared" si="19"/>
        <v>36.66666667</v>
      </c>
      <c r="H101" s="296" t="s">
        <v>136</v>
      </c>
      <c r="I101" s="298"/>
      <c r="J101" s="298"/>
      <c r="K101" s="298"/>
      <c r="L101" s="298"/>
      <c r="M101" s="298"/>
      <c r="N101" s="298"/>
      <c r="O101" s="298"/>
      <c r="P101" s="298"/>
      <c r="Q101" s="298"/>
      <c r="R101" s="298"/>
      <c r="S101" s="298"/>
      <c r="T101" s="298"/>
      <c r="U101" s="298"/>
      <c r="V101" s="298"/>
      <c r="W101" s="298"/>
      <c r="X101" s="298"/>
      <c r="Y101" s="298"/>
      <c r="Z101" s="298"/>
      <c r="AA101" s="298"/>
      <c r="AB101" s="298"/>
      <c r="AC101" s="298"/>
      <c r="AD101" s="298"/>
      <c r="AE101" s="298"/>
      <c r="AF101" s="298"/>
      <c r="AG101" s="298"/>
      <c r="AH101" s="298"/>
      <c r="AI101" s="298"/>
      <c r="AJ101" s="299"/>
      <c r="AK101" s="300"/>
      <c r="AM101" s="309">
        <v>2.0</v>
      </c>
      <c r="AN101" s="113">
        <f>COUNTIF(AD30:AD69,"A")</f>
        <v>2</v>
      </c>
      <c r="AO101" s="470">
        <f t="shared" si="20"/>
        <v>6.666666667</v>
      </c>
      <c r="AP101" s="208">
        <f>COUNTIF(AD30:AD69,"B")</f>
        <v>11</v>
      </c>
      <c r="AQ101" s="471">
        <f t="shared" si="21"/>
        <v>36.66666667</v>
      </c>
      <c r="AR101" s="208">
        <f>COUNTIF(AD30:AD69,"C")</f>
        <v>7</v>
      </c>
      <c r="AS101" s="471">
        <f t="shared" si="22"/>
        <v>23.33333333</v>
      </c>
      <c r="AT101" s="208">
        <f>COUNTIF(AD30:AD69,"D")</f>
        <v>6</v>
      </c>
      <c r="AU101" s="471">
        <f t="shared" si="23"/>
        <v>20</v>
      </c>
      <c r="AV101" s="271"/>
      <c r="AW101" s="272"/>
    </row>
    <row r="102">
      <c r="A102" s="94"/>
      <c r="B102" s="95"/>
      <c r="C102" s="95"/>
      <c r="D102" s="47"/>
      <c r="E102" s="130">
        <v>3.0</v>
      </c>
      <c r="F102" s="113">
        <f>AE70</f>
        <v>2</v>
      </c>
      <c r="G102" s="265">
        <f t="shared" si="19"/>
        <v>6.666666667</v>
      </c>
      <c r="H102" s="296" t="s">
        <v>136</v>
      </c>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2"/>
      <c r="AK102" s="129"/>
      <c r="AM102" s="309">
        <v>3.0</v>
      </c>
      <c r="AN102" s="113">
        <f>COUNTIF(AE30:AE69,"A")</f>
        <v>2</v>
      </c>
      <c r="AO102" s="470">
        <f t="shared" si="20"/>
        <v>6.666666667</v>
      </c>
      <c r="AP102" s="208">
        <f>COUNTIF(AE30:AE69,"B")</f>
        <v>13</v>
      </c>
      <c r="AQ102" s="471">
        <f t="shared" si="21"/>
        <v>43.33333333</v>
      </c>
      <c r="AR102" s="208">
        <f>COUNTIF(AE30:AE69,"C")</f>
        <v>4</v>
      </c>
      <c r="AS102" s="471">
        <f t="shared" si="22"/>
        <v>13.33333333</v>
      </c>
      <c r="AT102" s="208">
        <f>COUNTIF(AE30:AE69,"D")</f>
        <v>7</v>
      </c>
      <c r="AU102" s="471">
        <f t="shared" si="23"/>
        <v>23.33333333</v>
      </c>
      <c r="AV102" s="271"/>
      <c r="AW102" s="272"/>
    </row>
    <row r="103">
      <c r="A103" s="94"/>
      <c r="B103" s="95"/>
      <c r="C103" s="95"/>
      <c r="D103" s="47"/>
      <c r="E103" s="130">
        <v>4.0</v>
      </c>
      <c r="F103" s="113">
        <f>AF70</f>
        <v>8</v>
      </c>
      <c r="G103" s="265">
        <f t="shared" si="19"/>
        <v>26.66666667</v>
      </c>
      <c r="H103" s="296" t="s">
        <v>137</v>
      </c>
      <c r="I103" s="303"/>
      <c r="J103" s="303"/>
      <c r="K103" s="303"/>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c r="AH103" s="303"/>
      <c r="AI103" s="303"/>
      <c r="AJ103" s="304"/>
      <c r="AK103" s="134"/>
      <c r="AM103" s="309">
        <v>4.0</v>
      </c>
      <c r="AN103" s="113">
        <f>COUNTIF(AF30:AF69,"A")</f>
        <v>8</v>
      </c>
      <c r="AO103" s="470">
        <f t="shared" si="20"/>
        <v>26.66666667</v>
      </c>
      <c r="AP103" s="208">
        <f>COUNTIF(AF30:AF69,"B")</f>
        <v>8</v>
      </c>
      <c r="AQ103" s="471">
        <f t="shared" si="21"/>
        <v>26.66666667</v>
      </c>
      <c r="AR103" s="208">
        <f>COUNTIF(AF30:AF69,"C")</f>
        <v>7</v>
      </c>
      <c r="AS103" s="471">
        <f t="shared" si="22"/>
        <v>23.33333333</v>
      </c>
      <c r="AT103" s="208">
        <f>COUNTIF(AF30:AF69,"D")</f>
        <v>4</v>
      </c>
      <c r="AU103" s="471">
        <f t="shared" si="23"/>
        <v>13.33333333</v>
      </c>
      <c r="AV103" s="271"/>
      <c r="AW103" s="272"/>
    </row>
    <row r="104">
      <c r="A104" s="94"/>
      <c r="B104" s="95"/>
      <c r="C104" s="95"/>
      <c r="D104" s="47"/>
      <c r="E104" s="130">
        <v>5.0</v>
      </c>
      <c r="F104" s="113">
        <f>AG70</f>
        <v>9</v>
      </c>
      <c r="G104" s="265">
        <f t="shared" si="19"/>
        <v>30</v>
      </c>
      <c r="H104" s="296" t="s">
        <v>137</v>
      </c>
      <c r="I104" s="303"/>
      <c r="J104" s="303"/>
      <c r="K104" s="303"/>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c r="AH104" s="303"/>
      <c r="AI104" s="303"/>
      <c r="AJ104" s="304"/>
      <c r="AK104" s="134"/>
      <c r="AM104" s="309">
        <v>5.0</v>
      </c>
      <c r="AN104" s="113">
        <f>COUNTIF(AG30:AG69,"A")</f>
        <v>5</v>
      </c>
      <c r="AO104" s="470">
        <f t="shared" si="20"/>
        <v>16.66666667</v>
      </c>
      <c r="AP104" s="208">
        <f>COUNTIF(AG30:AG69,"B")</f>
        <v>7</v>
      </c>
      <c r="AQ104" s="471">
        <f t="shared" si="21"/>
        <v>23.33333333</v>
      </c>
      <c r="AR104" s="208">
        <f>COUNTIF(AG30:AG69,"C")</f>
        <v>5</v>
      </c>
      <c r="AS104" s="471">
        <f t="shared" si="22"/>
        <v>16.66666667</v>
      </c>
      <c r="AT104" s="208">
        <f>COUNTIF(AG30:AG69,"D")</f>
        <v>9</v>
      </c>
      <c r="AU104" s="471">
        <f t="shared" si="23"/>
        <v>30</v>
      </c>
      <c r="AV104" s="271"/>
      <c r="AW104" s="272"/>
    </row>
    <row r="105">
      <c r="A105" s="94"/>
      <c r="B105" s="95"/>
      <c r="C105" s="95"/>
      <c r="D105" s="47"/>
      <c r="E105" s="130">
        <v>6.0</v>
      </c>
      <c r="F105" s="113">
        <f>AH70</f>
        <v>3</v>
      </c>
      <c r="G105" s="265">
        <f t="shared" si="19"/>
        <v>10</v>
      </c>
      <c r="H105" s="296" t="s">
        <v>136</v>
      </c>
      <c r="I105" s="303"/>
      <c r="J105" s="303"/>
      <c r="K105" s="303"/>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c r="AH105" s="303"/>
      <c r="AI105" s="303"/>
      <c r="AJ105" s="304"/>
      <c r="AK105" s="134"/>
      <c r="AM105" s="309">
        <v>6.0</v>
      </c>
      <c r="AN105" s="113">
        <f>COUNTIF(AH30:AH69,"A")</f>
        <v>3</v>
      </c>
      <c r="AO105" s="470">
        <f t="shared" si="20"/>
        <v>10</v>
      </c>
      <c r="AP105" s="208">
        <f>COUNTIF(AH30:AH69,"B")</f>
        <v>15</v>
      </c>
      <c r="AQ105" s="471">
        <f t="shared" si="21"/>
        <v>50</v>
      </c>
      <c r="AR105" s="208">
        <f>COUNTIF(AH30:AH69,"C")</f>
        <v>6</v>
      </c>
      <c r="AS105" s="471">
        <f t="shared" si="22"/>
        <v>20</v>
      </c>
      <c r="AT105" s="208">
        <f>COUNTIF(AH30:AH69,"D")</f>
        <v>2</v>
      </c>
      <c r="AU105" s="471">
        <f t="shared" si="23"/>
        <v>6.666666667</v>
      </c>
      <c r="AV105" s="271"/>
      <c r="AW105" s="272"/>
    </row>
    <row r="106">
      <c r="A106" s="94"/>
      <c r="B106" s="95"/>
      <c r="C106" s="95"/>
      <c r="D106" s="47"/>
      <c r="E106" s="130">
        <v>7.0</v>
      </c>
      <c r="F106" s="113">
        <f>AI70</f>
        <v>10</v>
      </c>
      <c r="G106" s="265">
        <f t="shared" si="19"/>
        <v>33.33333333</v>
      </c>
      <c r="H106" s="296" t="s">
        <v>138</v>
      </c>
      <c r="I106" s="303"/>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c r="AH106" s="303"/>
      <c r="AI106" s="303"/>
      <c r="AJ106" s="304"/>
      <c r="AK106" s="134"/>
      <c r="AM106" s="309">
        <v>7.0</v>
      </c>
      <c r="AN106" s="113">
        <f>COUNTIF(AI30:AI69,"A")</f>
        <v>10</v>
      </c>
      <c r="AO106" s="470">
        <f t="shared" si="20"/>
        <v>33.33333333</v>
      </c>
      <c r="AP106" s="208">
        <f>COUNTIF(AI30:AI69,"B")</f>
        <v>4</v>
      </c>
      <c r="AQ106" s="471">
        <f t="shared" si="21"/>
        <v>13.33333333</v>
      </c>
      <c r="AR106" s="208">
        <f>COUNTIF(AI30:AI69,"C")</f>
        <v>10</v>
      </c>
      <c r="AS106" s="471">
        <f t="shared" si="22"/>
        <v>33.33333333</v>
      </c>
      <c r="AT106" s="208">
        <f>COUNTIF(AI30:AI69,"D")</f>
        <v>3</v>
      </c>
      <c r="AU106" s="471">
        <f t="shared" si="23"/>
        <v>10</v>
      </c>
      <c r="AV106" s="271"/>
      <c r="AW106" s="272"/>
    </row>
    <row r="107">
      <c r="A107" s="94"/>
      <c r="B107" s="95"/>
      <c r="C107" s="95"/>
      <c r="D107" s="47"/>
      <c r="E107" s="130">
        <v>8.0</v>
      </c>
      <c r="F107" s="113">
        <f>AJ70</f>
        <v>9</v>
      </c>
      <c r="G107" s="265">
        <f t="shared" si="19"/>
        <v>30</v>
      </c>
      <c r="H107" s="296" t="s">
        <v>138</v>
      </c>
      <c r="I107" s="298"/>
      <c r="J107" s="298"/>
      <c r="K107" s="298"/>
      <c r="L107" s="298"/>
      <c r="M107" s="298"/>
      <c r="N107" s="298"/>
      <c r="O107" s="298"/>
      <c r="P107" s="298"/>
      <c r="Q107" s="298"/>
      <c r="R107" s="298"/>
      <c r="S107" s="298"/>
      <c r="T107" s="298"/>
      <c r="U107" s="298"/>
      <c r="V107" s="298"/>
      <c r="W107" s="298"/>
      <c r="X107" s="298"/>
      <c r="Y107" s="298"/>
      <c r="Z107" s="298"/>
      <c r="AA107" s="298"/>
      <c r="AB107" s="298"/>
      <c r="AC107" s="298"/>
      <c r="AD107" s="298"/>
      <c r="AE107" s="298"/>
      <c r="AF107" s="298"/>
      <c r="AG107" s="298"/>
      <c r="AH107" s="298"/>
      <c r="AI107" s="298"/>
      <c r="AJ107" s="299"/>
      <c r="AK107" s="300"/>
      <c r="AM107" s="309">
        <v>8.0</v>
      </c>
      <c r="AN107" s="113">
        <f>COUNTIF(AJ30:AJ69,"A")</f>
        <v>9</v>
      </c>
      <c r="AO107" s="470">
        <f t="shared" si="20"/>
        <v>30</v>
      </c>
      <c r="AP107" s="208">
        <f>COUNTIF(AJ30:AJ69,"B")</f>
        <v>3</v>
      </c>
      <c r="AQ107" s="471">
        <f t="shared" si="21"/>
        <v>10</v>
      </c>
      <c r="AR107" s="208">
        <f>COUNTIF(AJ30:AJ69,"C")</f>
        <v>7</v>
      </c>
      <c r="AS107" s="471">
        <f t="shared" si="22"/>
        <v>23.33333333</v>
      </c>
      <c r="AT107" s="208">
        <f>COUNTIF(AJ30:AJ69,"D")</f>
        <v>7</v>
      </c>
      <c r="AU107" s="471">
        <f t="shared" si="23"/>
        <v>23.33333333</v>
      </c>
      <c r="AV107" s="271"/>
      <c r="AW107" s="272"/>
    </row>
    <row r="108">
      <c r="A108" s="94"/>
      <c r="B108" s="95"/>
      <c r="C108" s="95"/>
      <c r="D108" s="47"/>
      <c r="E108" s="130">
        <v>9.0</v>
      </c>
      <c r="F108" s="113">
        <f>AK70</f>
        <v>4</v>
      </c>
      <c r="G108" s="265">
        <f t="shared" si="19"/>
        <v>13.33333333</v>
      </c>
      <c r="H108" s="305" t="s">
        <v>138</v>
      </c>
      <c r="I108" s="306"/>
      <c r="J108" s="306"/>
      <c r="K108" s="306"/>
      <c r="L108" s="306"/>
      <c r="M108" s="306"/>
      <c r="N108" s="306"/>
      <c r="O108" s="306"/>
      <c r="P108" s="306"/>
      <c r="Q108" s="306"/>
      <c r="R108" s="306"/>
      <c r="S108" s="306"/>
      <c r="T108" s="306"/>
      <c r="U108" s="306"/>
      <c r="V108" s="306"/>
      <c r="W108" s="306"/>
      <c r="X108" s="306"/>
      <c r="Y108" s="306"/>
      <c r="Z108" s="306"/>
      <c r="AA108" s="306"/>
      <c r="AB108" s="306"/>
      <c r="AC108" s="306"/>
      <c r="AD108" s="306"/>
      <c r="AE108" s="306"/>
      <c r="AF108" s="306"/>
      <c r="AG108" s="306"/>
      <c r="AH108" s="306"/>
      <c r="AI108" s="306"/>
      <c r="AJ108" s="307"/>
      <c r="AK108" s="134"/>
      <c r="AM108" s="309">
        <v>9.0</v>
      </c>
      <c r="AN108" s="113">
        <f>COUNTIF(AK30:AK69,"A")</f>
        <v>4</v>
      </c>
      <c r="AO108" s="470">
        <f t="shared" si="20"/>
        <v>13.33333333</v>
      </c>
      <c r="AP108" s="208">
        <f>COUNTIF(AK30:AK69,"B")</f>
        <v>2</v>
      </c>
      <c r="AQ108" s="471">
        <f t="shared" si="21"/>
        <v>6.666666667</v>
      </c>
      <c r="AR108" s="208">
        <f>COUNTIF(AK30:AK69,"C")</f>
        <v>14</v>
      </c>
      <c r="AS108" s="471">
        <f t="shared" si="22"/>
        <v>46.66666667</v>
      </c>
      <c r="AT108" s="208">
        <f>COUNTIF(AK30:AK69,"D")</f>
        <v>6</v>
      </c>
      <c r="AU108" s="471">
        <f t="shared" si="23"/>
        <v>20</v>
      </c>
      <c r="AV108" s="271"/>
      <c r="AW108" s="272"/>
    </row>
    <row r="109" ht="15.75" customHeight="1">
      <c r="A109" s="94"/>
      <c r="B109" s="95"/>
      <c r="C109" s="95"/>
      <c r="D109" s="47"/>
      <c r="E109" s="130">
        <v>10.0</v>
      </c>
      <c r="F109" s="113">
        <f>AL70</f>
        <v>6</v>
      </c>
      <c r="G109" s="265">
        <f t="shared" si="19"/>
        <v>20</v>
      </c>
      <c r="H109" s="305" t="s">
        <v>138</v>
      </c>
      <c r="I109" s="306"/>
      <c r="J109" s="306"/>
      <c r="K109" s="306"/>
      <c r="L109" s="306"/>
      <c r="M109" s="306"/>
      <c r="N109" s="306"/>
      <c r="O109" s="306"/>
      <c r="P109" s="306"/>
      <c r="Q109" s="306"/>
      <c r="R109" s="306"/>
      <c r="S109" s="306"/>
      <c r="T109" s="306"/>
      <c r="U109" s="306"/>
      <c r="V109" s="306"/>
      <c r="W109" s="306"/>
      <c r="X109" s="306"/>
      <c r="Y109" s="306"/>
      <c r="Z109" s="306"/>
      <c r="AA109" s="306"/>
      <c r="AB109" s="306"/>
      <c r="AC109" s="306"/>
      <c r="AD109" s="306"/>
      <c r="AE109" s="306"/>
      <c r="AF109" s="306"/>
      <c r="AG109" s="306"/>
      <c r="AH109" s="306"/>
      <c r="AI109" s="306"/>
      <c r="AJ109" s="307"/>
      <c r="AK109" s="134"/>
      <c r="AM109" s="309">
        <v>10.0</v>
      </c>
      <c r="AN109" s="113">
        <f>COUNTIF(AL30:AL69,"A")</f>
        <v>6</v>
      </c>
      <c r="AO109" s="470">
        <f t="shared" si="20"/>
        <v>20</v>
      </c>
      <c r="AP109" s="208">
        <f>COUNTIF(AL30:AL69,"B")</f>
        <v>10</v>
      </c>
      <c r="AQ109" s="471">
        <f t="shared" si="21"/>
        <v>33.33333333</v>
      </c>
      <c r="AR109" s="208">
        <f>COUNTIF(AL30:AL69,"C")</f>
        <v>5</v>
      </c>
      <c r="AS109" s="471">
        <f t="shared" si="22"/>
        <v>16.66666667</v>
      </c>
      <c r="AT109" s="208">
        <f>COUNTIF(AL30:AL69,"D")</f>
        <v>6</v>
      </c>
      <c r="AU109" s="471">
        <f t="shared" si="23"/>
        <v>20</v>
      </c>
      <c r="AV109" s="271"/>
      <c r="AW109" s="272"/>
    </row>
    <row r="110">
      <c r="A110" s="94"/>
      <c r="B110" s="95"/>
      <c r="C110" s="95"/>
      <c r="D110" s="47"/>
      <c r="E110" s="130">
        <v>11.0</v>
      </c>
      <c r="F110" s="113">
        <f>AM70</f>
        <v>8</v>
      </c>
      <c r="G110" s="265">
        <f t="shared" si="19"/>
        <v>26.66666667</v>
      </c>
      <c r="H110" s="305" t="s">
        <v>138</v>
      </c>
      <c r="I110" s="306"/>
      <c r="J110" s="306"/>
      <c r="K110" s="306"/>
      <c r="L110" s="306"/>
      <c r="M110" s="306"/>
      <c r="N110" s="306"/>
      <c r="O110" s="306"/>
      <c r="P110" s="306"/>
      <c r="Q110" s="306"/>
      <c r="R110" s="306"/>
      <c r="S110" s="306"/>
      <c r="T110" s="306"/>
      <c r="U110" s="306"/>
      <c r="V110" s="306"/>
      <c r="W110" s="306"/>
      <c r="X110" s="306"/>
      <c r="Y110" s="306"/>
      <c r="Z110" s="306"/>
      <c r="AA110" s="306"/>
      <c r="AB110" s="306"/>
      <c r="AC110" s="306"/>
      <c r="AD110" s="306"/>
      <c r="AE110" s="306"/>
      <c r="AF110" s="306"/>
      <c r="AG110" s="306"/>
      <c r="AH110" s="306"/>
      <c r="AI110" s="306"/>
      <c r="AJ110" s="307"/>
      <c r="AK110" s="134"/>
      <c r="AM110" s="309">
        <v>11.0</v>
      </c>
      <c r="AN110" s="113">
        <f>COUNTIF(AM30:AM69,"A")</f>
        <v>7</v>
      </c>
      <c r="AO110" s="470">
        <f t="shared" si="20"/>
        <v>23.33333333</v>
      </c>
      <c r="AP110" s="208">
        <f>COUNTIF(AM30:AM69,"B")</f>
        <v>8</v>
      </c>
      <c r="AQ110" s="471">
        <f t="shared" si="21"/>
        <v>26.66666667</v>
      </c>
      <c r="AR110" s="208">
        <f>COUNTIF(AM30:AM69,"C")</f>
        <v>9</v>
      </c>
      <c r="AS110" s="471">
        <f t="shared" si="22"/>
        <v>30</v>
      </c>
      <c r="AT110" s="208">
        <f>COUNTIF(AM30:AM69,"D")</f>
        <v>3</v>
      </c>
      <c r="AU110" s="471">
        <f t="shared" si="23"/>
        <v>10</v>
      </c>
      <c r="AV110" s="271"/>
      <c r="AW110" s="272"/>
    </row>
    <row r="111">
      <c r="A111" s="94"/>
      <c r="B111" s="95"/>
      <c r="C111" s="95"/>
      <c r="D111" s="47"/>
      <c r="E111" s="130">
        <v>12.0</v>
      </c>
      <c r="F111" s="114">
        <f>AN70</f>
        <v>7</v>
      </c>
      <c r="G111" s="265">
        <f t="shared" si="19"/>
        <v>23.33333333</v>
      </c>
      <c r="H111" s="308" t="s">
        <v>139</v>
      </c>
      <c r="I111" s="472"/>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2"/>
      <c r="AK111" s="129"/>
      <c r="AM111" s="309">
        <v>12.0</v>
      </c>
      <c r="AN111" s="113">
        <f>COUNTIF(AN30:AN69,"A")</f>
        <v>7</v>
      </c>
      <c r="AO111" s="470">
        <f t="shared" si="20"/>
        <v>23.33333333</v>
      </c>
      <c r="AP111" s="208">
        <f>COUNTIF(AN30:AN69,"B")</f>
        <v>2</v>
      </c>
      <c r="AQ111" s="471">
        <f t="shared" si="21"/>
        <v>6.666666667</v>
      </c>
      <c r="AR111" s="208">
        <f>COUNTIF(AN30:AN69,"C")</f>
        <v>12</v>
      </c>
      <c r="AS111" s="471">
        <f t="shared" si="22"/>
        <v>40</v>
      </c>
      <c r="AT111" s="208">
        <f>COUNTIF(AN30:AN69,"D")</f>
        <v>6</v>
      </c>
      <c r="AU111" s="471">
        <f t="shared" si="23"/>
        <v>20</v>
      </c>
      <c r="AV111" s="271"/>
      <c r="AW111" s="272"/>
    </row>
    <row r="112">
      <c r="A112" s="94"/>
      <c r="B112" s="95"/>
      <c r="C112" s="95"/>
      <c r="D112" s="47"/>
      <c r="E112" s="130">
        <v>13.0</v>
      </c>
      <c r="F112" s="113">
        <f>AO70</f>
        <v>9</v>
      </c>
      <c r="G112" s="265">
        <f t="shared" si="19"/>
        <v>30</v>
      </c>
      <c r="H112" s="308" t="s">
        <v>140</v>
      </c>
      <c r="I112" s="472"/>
      <c r="J112" s="298"/>
      <c r="K112" s="298"/>
      <c r="L112" s="298"/>
      <c r="M112" s="298"/>
      <c r="N112" s="298"/>
      <c r="O112" s="298"/>
      <c r="P112" s="298"/>
      <c r="Q112" s="298"/>
      <c r="R112" s="298"/>
      <c r="S112" s="298"/>
      <c r="T112" s="298"/>
      <c r="U112" s="298"/>
      <c r="V112" s="298"/>
      <c r="W112" s="298"/>
      <c r="X112" s="298"/>
      <c r="Y112" s="298"/>
      <c r="Z112" s="298"/>
      <c r="AA112" s="298"/>
      <c r="AB112" s="298"/>
      <c r="AC112" s="298"/>
      <c r="AD112" s="298"/>
      <c r="AE112" s="298"/>
      <c r="AF112" s="298"/>
      <c r="AG112" s="298"/>
      <c r="AH112" s="298"/>
      <c r="AI112" s="298"/>
      <c r="AJ112" s="299"/>
      <c r="AK112" s="300"/>
      <c r="AM112" s="309">
        <v>13.0</v>
      </c>
      <c r="AN112" s="113">
        <f>COUNTIF(AO30:AO69,"A")</f>
        <v>2</v>
      </c>
      <c r="AO112" s="470">
        <f t="shared" si="20"/>
        <v>6.666666667</v>
      </c>
      <c r="AP112" s="208">
        <f>COUNTIF(AO30:AO69,"B")</f>
        <v>10</v>
      </c>
      <c r="AQ112" s="471">
        <f t="shared" si="21"/>
        <v>33.33333333</v>
      </c>
      <c r="AR112" s="208">
        <f>COUNTIF(AO30:AO69,"C")</f>
        <v>6</v>
      </c>
      <c r="AS112" s="471">
        <f t="shared" si="22"/>
        <v>20</v>
      </c>
      <c r="AT112" s="208">
        <f>COUNTIF(AO30:AO69,"D")</f>
        <v>9</v>
      </c>
      <c r="AU112" s="471">
        <f t="shared" si="23"/>
        <v>30</v>
      </c>
      <c r="AV112" s="271"/>
      <c r="AW112" s="272"/>
    </row>
    <row r="113">
      <c r="A113" s="94"/>
      <c r="B113" s="95"/>
      <c r="C113" s="95"/>
      <c r="D113" s="47"/>
      <c r="E113" s="130">
        <v>14.0</v>
      </c>
      <c r="F113" s="113">
        <f>AP70</f>
        <v>6</v>
      </c>
      <c r="G113" s="265">
        <f t="shared" si="19"/>
        <v>20</v>
      </c>
      <c r="H113" s="308" t="s">
        <v>141</v>
      </c>
      <c r="I113" s="472"/>
      <c r="J113" s="306"/>
      <c r="K113" s="306"/>
      <c r="L113" s="306"/>
      <c r="M113" s="306"/>
      <c r="N113" s="306"/>
      <c r="O113" s="306"/>
      <c r="P113" s="306"/>
      <c r="Q113" s="306"/>
      <c r="R113" s="306"/>
      <c r="S113" s="306"/>
      <c r="T113" s="306"/>
      <c r="U113" s="306"/>
      <c r="V113" s="306"/>
      <c r="W113" s="306"/>
      <c r="X113" s="306"/>
      <c r="Y113" s="306"/>
      <c r="Z113" s="306"/>
      <c r="AA113" s="306"/>
      <c r="AB113" s="306"/>
      <c r="AC113" s="306"/>
      <c r="AD113" s="306"/>
      <c r="AE113" s="306"/>
      <c r="AF113" s="306"/>
      <c r="AG113" s="306"/>
      <c r="AH113" s="306"/>
      <c r="AI113" s="306"/>
      <c r="AJ113" s="307"/>
      <c r="AK113" s="134"/>
      <c r="AM113" s="309">
        <v>14.0</v>
      </c>
      <c r="AN113" s="113">
        <f>COUNTIF(AP30:AP69,"A")</f>
        <v>11</v>
      </c>
      <c r="AO113" s="470">
        <f t="shared" si="20"/>
        <v>36.66666667</v>
      </c>
      <c r="AP113" s="208">
        <f>COUNTIF(AP30:AP69,"B")</f>
        <v>6</v>
      </c>
      <c r="AQ113" s="471">
        <f t="shared" si="21"/>
        <v>20</v>
      </c>
      <c r="AR113" s="208">
        <f>COUNTIF(AP30:AP69,"C")</f>
        <v>6</v>
      </c>
      <c r="AS113" s="471">
        <f t="shared" si="22"/>
        <v>20</v>
      </c>
      <c r="AT113" s="208">
        <f>COUNTIF(AP30:AP69,"D")</f>
        <v>4</v>
      </c>
      <c r="AU113" s="471">
        <f t="shared" si="23"/>
        <v>13.33333333</v>
      </c>
      <c r="AV113" s="271"/>
      <c r="AW113" s="272"/>
    </row>
    <row r="114">
      <c r="A114" s="94"/>
      <c r="B114" s="95"/>
      <c r="C114" s="95"/>
      <c r="D114" s="47"/>
      <c r="E114" s="130">
        <v>15.0</v>
      </c>
      <c r="F114" s="113">
        <f>AQ70</f>
        <v>7</v>
      </c>
      <c r="G114" s="265">
        <f t="shared" si="19"/>
        <v>23.33333333</v>
      </c>
      <c r="H114" s="308" t="s">
        <v>141</v>
      </c>
      <c r="I114" s="472"/>
      <c r="J114" s="306"/>
      <c r="K114" s="306"/>
      <c r="L114" s="306"/>
      <c r="M114" s="306"/>
      <c r="N114" s="306"/>
      <c r="O114" s="306"/>
      <c r="P114" s="306"/>
      <c r="Q114" s="306"/>
      <c r="R114" s="306"/>
      <c r="S114" s="306"/>
      <c r="T114" s="306"/>
      <c r="U114" s="306"/>
      <c r="V114" s="306"/>
      <c r="W114" s="306"/>
      <c r="X114" s="306"/>
      <c r="Y114" s="306"/>
      <c r="Z114" s="306"/>
      <c r="AA114" s="306"/>
      <c r="AB114" s="306"/>
      <c r="AC114" s="306"/>
      <c r="AD114" s="306"/>
      <c r="AE114" s="306"/>
      <c r="AF114" s="306"/>
      <c r="AG114" s="306"/>
      <c r="AH114" s="306"/>
      <c r="AI114" s="306"/>
      <c r="AJ114" s="307"/>
      <c r="AK114" s="134"/>
      <c r="AM114" s="309">
        <v>15.0</v>
      </c>
      <c r="AN114" s="113">
        <f>COUNTIF(AQ30:AQ69,"A")</f>
        <v>8</v>
      </c>
      <c r="AO114" s="470">
        <f t="shared" si="20"/>
        <v>26.66666667</v>
      </c>
      <c r="AP114" s="208">
        <f>COUNTIF(AQ30:AQ69,"B")</f>
        <v>7</v>
      </c>
      <c r="AQ114" s="471">
        <f t="shared" si="21"/>
        <v>23.33333333</v>
      </c>
      <c r="AR114" s="208">
        <f>COUNTIF(AQ30:AQ69,"C")</f>
        <v>5</v>
      </c>
      <c r="AS114" s="471">
        <f t="shared" si="22"/>
        <v>16.66666667</v>
      </c>
      <c r="AT114" s="208">
        <f>COUNTIF(AQ30:AQ69,"D")</f>
        <v>7</v>
      </c>
      <c r="AU114" s="471">
        <f t="shared" si="23"/>
        <v>23.33333333</v>
      </c>
      <c r="AV114" s="271"/>
      <c r="AW114" s="272"/>
    </row>
    <row r="115">
      <c r="A115" s="94"/>
      <c r="B115" s="95"/>
      <c r="C115" s="95"/>
      <c r="D115" s="47"/>
      <c r="E115" s="130">
        <v>16.0</v>
      </c>
      <c r="F115" s="113">
        <f>AR70</f>
        <v>10</v>
      </c>
      <c r="G115" s="265">
        <f t="shared" si="19"/>
        <v>33.33333333</v>
      </c>
      <c r="H115" s="308" t="s">
        <v>141</v>
      </c>
      <c r="I115" s="472"/>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2"/>
      <c r="AK115" s="129"/>
      <c r="AM115" s="309">
        <v>16.0</v>
      </c>
      <c r="AN115" s="113">
        <f>COUNTIF(AR30:AR69,"A")</f>
        <v>4</v>
      </c>
      <c r="AO115" s="470">
        <f t="shared" si="20"/>
        <v>13.33333333</v>
      </c>
      <c r="AP115" s="208">
        <f>COUNTIF(AR30:AR69,"B")</f>
        <v>8</v>
      </c>
      <c r="AQ115" s="471">
        <f t="shared" si="21"/>
        <v>26.66666667</v>
      </c>
      <c r="AR115" s="208">
        <f>COUNTIF(AR30:AR69,"C")</f>
        <v>10</v>
      </c>
      <c r="AS115" s="471">
        <f t="shared" si="22"/>
        <v>33.33333333</v>
      </c>
      <c r="AT115" s="208">
        <f>COUNTIF(AR30:AR69,"D")</f>
        <v>5</v>
      </c>
      <c r="AU115" s="471">
        <f t="shared" si="23"/>
        <v>16.66666667</v>
      </c>
      <c r="AV115" s="271"/>
      <c r="AW115" s="272"/>
    </row>
    <row r="116" ht="15.75" customHeight="1">
      <c r="A116" s="94"/>
      <c r="B116" s="95"/>
      <c r="C116" s="95"/>
      <c r="D116" s="47"/>
      <c r="E116" s="130">
        <v>17.0</v>
      </c>
      <c r="F116" s="113">
        <f>AS70</f>
        <v>10</v>
      </c>
      <c r="G116" s="265">
        <f t="shared" si="19"/>
        <v>33.33333333</v>
      </c>
      <c r="H116" s="308" t="s">
        <v>142</v>
      </c>
      <c r="I116" s="472"/>
      <c r="J116" s="306"/>
      <c r="K116" s="306"/>
      <c r="L116" s="306"/>
      <c r="M116" s="306"/>
      <c r="N116" s="306"/>
      <c r="O116" s="306"/>
      <c r="P116" s="306"/>
      <c r="Q116" s="306"/>
      <c r="R116" s="306"/>
      <c r="S116" s="306"/>
      <c r="T116" s="306"/>
      <c r="U116" s="306"/>
      <c r="V116" s="306"/>
      <c r="W116" s="306"/>
      <c r="X116" s="306"/>
      <c r="Y116" s="306"/>
      <c r="Z116" s="306"/>
      <c r="AA116" s="306"/>
      <c r="AB116" s="306"/>
      <c r="AC116" s="306"/>
      <c r="AD116" s="306"/>
      <c r="AE116" s="306"/>
      <c r="AF116" s="306"/>
      <c r="AG116" s="306"/>
      <c r="AH116" s="306"/>
      <c r="AI116" s="306"/>
      <c r="AJ116" s="307"/>
      <c r="AK116" s="134"/>
      <c r="AM116" s="309">
        <v>17.0</v>
      </c>
      <c r="AN116" s="113">
        <f>COUNTIF(AS30:AS69,"A")</f>
        <v>10</v>
      </c>
      <c r="AO116" s="470">
        <f t="shared" si="20"/>
        <v>33.33333333</v>
      </c>
      <c r="AP116" s="208">
        <f>COUNTIF(AS30:AS69,"B")</f>
        <v>5</v>
      </c>
      <c r="AQ116" s="471">
        <f t="shared" si="21"/>
        <v>16.66666667</v>
      </c>
      <c r="AR116" s="208">
        <f>COUNTIF(AS30:AS69,"C")</f>
        <v>8</v>
      </c>
      <c r="AS116" s="471">
        <f t="shared" si="22"/>
        <v>26.66666667</v>
      </c>
      <c r="AT116" s="208">
        <f>COUNTIF(AS30:AS69,"D")</f>
        <v>4</v>
      </c>
      <c r="AU116" s="471">
        <f t="shared" si="23"/>
        <v>13.33333333</v>
      </c>
      <c r="AV116" s="271"/>
      <c r="AW116" s="272"/>
    </row>
    <row r="117" ht="15.75" customHeight="1">
      <c r="A117" s="94"/>
      <c r="B117" s="95"/>
      <c r="C117" s="95"/>
      <c r="D117" s="47"/>
      <c r="E117" s="130">
        <v>18.0</v>
      </c>
      <c r="F117" s="113">
        <f>AT70</f>
        <v>2</v>
      </c>
      <c r="G117" s="265">
        <f t="shared" si="19"/>
        <v>6.666666667</v>
      </c>
      <c r="H117" s="308" t="s">
        <v>142</v>
      </c>
      <c r="I117" s="472"/>
      <c r="J117" s="306"/>
      <c r="K117" s="306"/>
      <c r="L117" s="306"/>
      <c r="M117" s="306"/>
      <c r="N117" s="306"/>
      <c r="O117" s="306"/>
      <c r="P117" s="306"/>
      <c r="Q117" s="306"/>
      <c r="R117" s="306"/>
      <c r="S117" s="306"/>
      <c r="T117" s="306"/>
      <c r="U117" s="306"/>
      <c r="V117" s="306"/>
      <c r="W117" s="306"/>
      <c r="X117" s="306"/>
      <c r="Y117" s="306"/>
      <c r="Z117" s="306"/>
      <c r="AA117" s="306"/>
      <c r="AB117" s="306"/>
      <c r="AC117" s="306"/>
      <c r="AD117" s="306"/>
      <c r="AE117" s="306"/>
      <c r="AF117" s="306"/>
      <c r="AG117" s="306"/>
      <c r="AH117" s="306"/>
      <c r="AI117" s="306"/>
      <c r="AJ117" s="307"/>
      <c r="AK117" s="134"/>
      <c r="AM117" s="309">
        <v>18.0</v>
      </c>
      <c r="AN117" s="113">
        <f>COUNTIF(AT30:AT69,"A")</f>
        <v>2</v>
      </c>
      <c r="AO117" s="470">
        <f t="shared" si="20"/>
        <v>6.666666667</v>
      </c>
      <c r="AP117" s="208">
        <f>COUNTIF(AT30:AT69,"B")</f>
        <v>6</v>
      </c>
      <c r="AQ117" s="471">
        <f t="shared" si="21"/>
        <v>20</v>
      </c>
      <c r="AR117" s="208">
        <f>COUNTIF(AT30:AT69,"C")</f>
        <v>9</v>
      </c>
      <c r="AS117" s="471">
        <f t="shared" si="22"/>
        <v>30</v>
      </c>
      <c r="AT117" s="208">
        <f>COUNTIF(AT30:AT69,"D")</f>
        <v>10</v>
      </c>
      <c r="AU117" s="471">
        <f t="shared" si="23"/>
        <v>33.33333333</v>
      </c>
      <c r="AV117" s="271"/>
      <c r="AW117" s="272"/>
    </row>
    <row r="118" ht="15.75" customHeight="1">
      <c r="A118" s="94"/>
      <c r="B118" s="95"/>
      <c r="C118" s="95"/>
      <c r="D118" s="47"/>
      <c r="E118" s="130">
        <v>19.0</v>
      </c>
      <c r="F118" s="113">
        <f>AU70</f>
        <v>6</v>
      </c>
      <c r="G118" s="265">
        <f t="shared" si="19"/>
        <v>20</v>
      </c>
      <c r="H118" s="308" t="s">
        <v>141</v>
      </c>
      <c r="I118" s="472"/>
      <c r="J118" s="306"/>
      <c r="K118" s="306"/>
      <c r="L118" s="306"/>
      <c r="M118" s="306"/>
      <c r="N118" s="306"/>
      <c r="O118" s="306"/>
      <c r="P118" s="306"/>
      <c r="Q118" s="306"/>
      <c r="R118" s="306"/>
      <c r="S118" s="306"/>
      <c r="T118" s="306"/>
      <c r="U118" s="306"/>
      <c r="V118" s="306"/>
      <c r="W118" s="306"/>
      <c r="X118" s="306"/>
      <c r="Y118" s="306"/>
      <c r="Z118" s="306"/>
      <c r="AA118" s="306"/>
      <c r="AB118" s="306"/>
      <c r="AC118" s="306"/>
      <c r="AD118" s="306"/>
      <c r="AE118" s="306"/>
      <c r="AF118" s="306"/>
      <c r="AG118" s="306"/>
      <c r="AH118" s="306"/>
      <c r="AI118" s="306"/>
      <c r="AJ118" s="307"/>
      <c r="AK118" s="134"/>
      <c r="AM118" s="309">
        <v>19.0</v>
      </c>
      <c r="AN118" s="113">
        <f>COUNTIF(AU30:AU69,"A")</f>
        <v>7</v>
      </c>
      <c r="AO118" s="470">
        <f t="shared" si="20"/>
        <v>23.33333333</v>
      </c>
      <c r="AP118" s="208">
        <f>COUNTIF(AU30:AU69,"B")</f>
        <v>11</v>
      </c>
      <c r="AQ118" s="471">
        <f t="shared" si="21"/>
        <v>36.66666667</v>
      </c>
      <c r="AR118" s="208">
        <f>COUNTIF(AU30:AU69,"C")</f>
        <v>3</v>
      </c>
      <c r="AS118" s="471">
        <f t="shared" si="22"/>
        <v>10</v>
      </c>
      <c r="AT118" s="208">
        <f>COUNTIF(AU30:AU69,"D")</f>
        <v>6</v>
      </c>
      <c r="AU118" s="471">
        <f t="shared" si="23"/>
        <v>20</v>
      </c>
      <c r="AV118" s="271"/>
      <c r="AW118" s="272"/>
    </row>
    <row r="119" ht="15.75" customHeight="1">
      <c r="A119" s="94"/>
      <c r="B119" s="95"/>
      <c r="C119" s="95"/>
      <c r="D119" s="47"/>
      <c r="E119" s="130">
        <v>20.0</v>
      </c>
      <c r="F119" s="113">
        <f>AV70</f>
        <v>2</v>
      </c>
      <c r="G119" s="265">
        <f t="shared" si="19"/>
        <v>6.666666667</v>
      </c>
      <c r="H119" s="308" t="s">
        <v>141</v>
      </c>
      <c r="I119" s="472"/>
      <c r="J119" s="306"/>
      <c r="K119" s="306"/>
      <c r="L119" s="306"/>
      <c r="M119" s="306"/>
      <c r="N119" s="306"/>
      <c r="O119" s="306"/>
      <c r="P119" s="306"/>
      <c r="Q119" s="306"/>
      <c r="R119" s="306"/>
      <c r="S119" s="306"/>
      <c r="T119" s="306"/>
      <c r="U119" s="306"/>
      <c r="V119" s="306"/>
      <c r="W119" s="306"/>
      <c r="X119" s="306"/>
      <c r="Y119" s="306"/>
      <c r="Z119" s="306"/>
      <c r="AA119" s="306"/>
      <c r="AB119" s="306"/>
      <c r="AC119" s="306"/>
      <c r="AD119" s="306"/>
      <c r="AE119" s="306"/>
      <c r="AF119" s="306"/>
      <c r="AG119" s="306"/>
      <c r="AH119" s="306"/>
      <c r="AI119" s="306"/>
      <c r="AJ119" s="307"/>
      <c r="AK119" s="134"/>
      <c r="AM119" s="309">
        <v>20.0</v>
      </c>
      <c r="AN119" s="113">
        <f>COUNTIF(AV30:AV69,"A")</f>
        <v>7</v>
      </c>
      <c r="AO119" s="470">
        <f t="shared" si="20"/>
        <v>23.33333333</v>
      </c>
      <c r="AP119" s="208">
        <f>COUNTIF(AV30:AV69,"B")</f>
        <v>3</v>
      </c>
      <c r="AQ119" s="471">
        <f t="shared" si="21"/>
        <v>10</v>
      </c>
      <c r="AR119" s="208">
        <f>COUNTIF(AV30:AV69,"C")</f>
        <v>15</v>
      </c>
      <c r="AS119" s="471">
        <f t="shared" si="22"/>
        <v>50</v>
      </c>
      <c r="AT119" s="208">
        <f>COUNTIF(AV30:AV69,"D")</f>
        <v>2</v>
      </c>
      <c r="AU119" s="471">
        <f t="shared" si="23"/>
        <v>6.666666667</v>
      </c>
      <c r="AV119" s="271"/>
      <c r="AW119" s="272"/>
    </row>
    <row r="120" ht="15.75" customHeight="1">
      <c r="A120" s="94"/>
      <c r="B120" s="95"/>
      <c r="C120" s="95"/>
      <c r="D120" s="47"/>
      <c r="E120" s="130">
        <v>21.0</v>
      </c>
      <c r="F120" s="113">
        <f>AW70</f>
        <v>10</v>
      </c>
      <c r="G120" s="265">
        <f t="shared" si="19"/>
        <v>33.33333333</v>
      </c>
      <c r="H120" s="305" t="s">
        <v>143</v>
      </c>
      <c r="I120" s="306"/>
      <c r="J120" s="306"/>
      <c r="K120" s="306"/>
      <c r="L120" s="306"/>
      <c r="M120" s="306"/>
      <c r="N120" s="306"/>
      <c r="O120" s="306"/>
      <c r="P120" s="306"/>
      <c r="Q120" s="306"/>
      <c r="R120" s="306"/>
      <c r="S120" s="306"/>
      <c r="T120" s="306"/>
      <c r="U120" s="306"/>
      <c r="V120" s="306"/>
      <c r="W120" s="306"/>
      <c r="X120" s="306"/>
      <c r="Y120" s="306"/>
      <c r="Z120" s="306"/>
      <c r="AA120" s="306"/>
      <c r="AB120" s="306"/>
      <c r="AC120" s="306"/>
      <c r="AD120" s="306"/>
      <c r="AE120" s="306"/>
      <c r="AF120" s="306"/>
      <c r="AG120" s="306"/>
      <c r="AH120" s="306"/>
      <c r="AI120" s="306"/>
      <c r="AJ120" s="307"/>
      <c r="AK120" s="134"/>
      <c r="AM120" s="309">
        <v>21.0</v>
      </c>
      <c r="AN120" s="113">
        <f>COUNTIF(AW30:AW69,"A")</f>
        <v>7</v>
      </c>
      <c r="AO120" s="470">
        <f t="shared" si="20"/>
        <v>23.33333333</v>
      </c>
      <c r="AP120" s="208">
        <f>COUNTIF(AW30:AW69,"B")</f>
        <v>10</v>
      </c>
      <c r="AQ120" s="471">
        <f t="shared" si="21"/>
        <v>33.33333333</v>
      </c>
      <c r="AR120" s="208">
        <f>COUNTIF(AW30:AW69,"C")</f>
        <v>6</v>
      </c>
      <c r="AS120" s="471">
        <f t="shared" si="22"/>
        <v>20</v>
      </c>
      <c r="AT120" s="208">
        <f>COUNTIF(AW30:AW69,"D")</f>
        <v>3</v>
      </c>
      <c r="AU120" s="471">
        <f t="shared" si="23"/>
        <v>10</v>
      </c>
      <c r="AV120" s="271"/>
      <c r="AW120" s="272"/>
    </row>
    <row r="121" ht="15.75" customHeight="1">
      <c r="A121" s="94"/>
      <c r="B121" s="95"/>
      <c r="C121" s="95"/>
      <c r="D121" s="47"/>
      <c r="E121" s="130">
        <v>22.0</v>
      </c>
      <c r="F121" s="113">
        <f>AX70</f>
        <v>6</v>
      </c>
      <c r="G121" s="265">
        <f t="shared" si="19"/>
        <v>20</v>
      </c>
      <c r="H121" s="305" t="s">
        <v>144</v>
      </c>
      <c r="I121" s="306"/>
      <c r="J121" s="306"/>
      <c r="K121" s="306"/>
      <c r="L121" s="306"/>
      <c r="M121" s="306"/>
      <c r="N121" s="306"/>
      <c r="O121" s="306"/>
      <c r="P121" s="306"/>
      <c r="Q121" s="306"/>
      <c r="R121" s="306"/>
      <c r="S121" s="306"/>
      <c r="T121" s="306"/>
      <c r="U121" s="306"/>
      <c r="V121" s="306"/>
      <c r="W121" s="306"/>
      <c r="X121" s="306"/>
      <c r="Y121" s="306"/>
      <c r="Z121" s="306"/>
      <c r="AA121" s="306"/>
      <c r="AB121" s="306"/>
      <c r="AC121" s="306"/>
      <c r="AD121" s="306"/>
      <c r="AE121" s="306"/>
      <c r="AF121" s="306"/>
      <c r="AG121" s="306"/>
      <c r="AH121" s="306"/>
      <c r="AI121" s="306"/>
      <c r="AJ121" s="307"/>
      <c r="AK121" s="134"/>
      <c r="AM121" s="309">
        <v>22.0</v>
      </c>
      <c r="AN121" s="113">
        <f>COUNTIF(AX30:AX69,"A")</f>
        <v>6</v>
      </c>
      <c r="AO121" s="470">
        <f t="shared" si="20"/>
        <v>20</v>
      </c>
      <c r="AP121" s="208">
        <f>COUNTIF(AX30:AX69,"B")</f>
        <v>9</v>
      </c>
      <c r="AQ121" s="471">
        <f t="shared" si="21"/>
        <v>30</v>
      </c>
      <c r="AR121" s="208">
        <f>COUNTIF(AX30:AX69,"C")</f>
        <v>6</v>
      </c>
      <c r="AS121" s="471">
        <f t="shared" si="22"/>
        <v>20</v>
      </c>
      <c r="AT121" s="208">
        <f>COUNTIF(AX30:AX69,"D")</f>
        <v>6</v>
      </c>
      <c r="AU121" s="471">
        <f t="shared" si="23"/>
        <v>20</v>
      </c>
      <c r="AV121" s="271"/>
      <c r="AW121" s="272"/>
    </row>
    <row r="122" ht="15.75" customHeight="1">
      <c r="A122" s="94"/>
      <c r="B122" s="95"/>
      <c r="C122" s="95"/>
      <c r="D122" s="47"/>
      <c r="E122" s="130">
        <v>23.0</v>
      </c>
      <c r="F122" s="113">
        <f>AY70</f>
        <v>4</v>
      </c>
      <c r="G122" s="265">
        <f t="shared" si="19"/>
        <v>13.33333333</v>
      </c>
      <c r="H122" s="305" t="s">
        <v>144</v>
      </c>
      <c r="I122" s="306"/>
      <c r="J122" s="306"/>
      <c r="K122" s="306"/>
      <c r="L122" s="306"/>
      <c r="M122" s="306"/>
      <c r="N122" s="306"/>
      <c r="O122" s="306"/>
      <c r="P122" s="306"/>
      <c r="Q122" s="306"/>
      <c r="R122" s="306"/>
      <c r="S122" s="306"/>
      <c r="T122" s="306"/>
      <c r="U122" s="306"/>
      <c r="V122" s="306"/>
      <c r="W122" s="306"/>
      <c r="X122" s="306"/>
      <c r="Y122" s="306"/>
      <c r="Z122" s="306"/>
      <c r="AA122" s="306"/>
      <c r="AB122" s="306"/>
      <c r="AC122" s="306"/>
      <c r="AD122" s="306"/>
      <c r="AE122" s="306"/>
      <c r="AF122" s="306"/>
      <c r="AG122" s="306"/>
      <c r="AH122" s="306"/>
      <c r="AI122" s="306"/>
      <c r="AJ122" s="307"/>
      <c r="AK122" s="134"/>
      <c r="AM122" s="309">
        <v>23.0</v>
      </c>
      <c r="AN122" s="113">
        <f>COUNTIF(AY30:AY69,"A")</f>
        <v>8</v>
      </c>
      <c r="AO122" s="470">
        <f t="shared" si="20"/>
        <v>26.66666667</v>
      </c>
      <c r="AP122" s="208">
        <f>COUNTIF(AY30:AY69,"B")</f>
        <v>10</v>
      </c>
      <c r="AQ122" s="471">
        <f t="shared" si="21"/>
        <v>33.33333333</v>
      </c>
      <c r="AR122" s="208">
        <f>COUNTIF(AY30:AY69,"C")</f>
        <v>4</v>
      </c>
      <c r="AS122" s="471">
        <f t="shared" si="22"/>
        <v>13.33333333</v>
      </c>
      <c r="AT122" s="208">
        <f>COUNTIF(AY30:AY69,"D")</f>
        <v>4</v>
      </c>
      <c r="AU122" s="471">
        <f t="shared" si="23"/>
        <v>13.33333333</v>
      </c>
      <c r="AV122" s="271"/>
      <c r="AW122" s="272"/>
    </row>
    <row r="123" ht="15.75" customHeight="1">
      <c r="A123" s="94"/>
      <c r="B123" s="95"/>
      <c r="C123" s="95"/>
      <c r="D123" s="47"/>
      <c r="E123" s="130">
        <v>24.0</v>
      </c>
      <c r="F123" s="113">
        <f>AZ70</f>
        <v>7</v>
      </c>
      <c r="G123" s="265">
        <f t="shared" si="19"/>
        <v>23.33333333</v>
      </c>
      <c r="H123" s="305" t="s">
        <v>144</v>
      </c>
      <c r="I123" s="306"/>
      <c r="J123" s="306"/>
      <c r="K123" s="306"/>
      <c r="L123" s="306"/>
      <c r="M123" s="306"/>
      <c r="N123" s="306"/>
      <c r="O123" s="306"/>
      <c r="P123" s="306"/>
      <c r="Q123" s="306"/>
      <c r="R123" s="306"/>
      <c r="S123" s="306"/>
      <c r="T123" s="306"/>
      <c r="U123" s="306"/>
      <c r="V123" s="306"/>
      <c r="W123" s="306"/>
      <c r="X123" s="306"/>
      <c r="Y123" s="306"/>
      <c r="Z123" s="306"/>
      <c r="AA123" s="306"/>
      <c r="AB123" s="306"/>
      <c r="AC123" s="306"/>
      <c r="AD123" s="306"/>
      <c r="AE123" s="306"/>
      <c r="AF123" s="306"/>
      <c r="AG123" s="306"/>
      <c r="AH123" s="306"/>
      <c r="AI123" s="306"/>
      <c r="AJ123" s="307"/>
      <c r="AK123" s="134"/>
      <c r="AM123" s="309">
        <v>24.0</v>
      </c>
      <c r="AN123" s="113">
        <f>COUNTIF(AZ30:AZ69,"A")</f>
        <v>10</v>
      </c>
      <c r="AO123" s="470">
        <f t="shared" si="20"/>
        <v>33.33333333</v>
      </c>
      <c r="AP123" s="208">
        <f>COUNTIF(AZ30:AZ69,"B")</f>
        <v>3</v>
      </c>
      <c r="AQ123" s="471">
        <f t="shared" si="21"/>
        <v>10</v>
      </c>
      <c r="AR123" s="208">
        <f>COUNTIF(AZ30:AZ69,"C")</f>
        <v>6</v>
      </c>
      <c r="AS123" s="471">
        <f t="shared" si="22"/>
        <v>20</v>
      </c>
      <c r="AT123" s="208">
        <f>COUNTIF(AZ30:AZ69,"D")</f>
        <v>7</v>
      </c>
      <c r="AU123" s="471">
        <f t="shared" si="23"/>
        <v>23.33333333</v>
      </c>
      <c r="AV123" s="271"/>
      <c r="AW123" s="272"/>
    </row>
    <row r="124" ht="15.75" customHeight="1">
      <c r="A124" s="94"/>
      <c r="B124" s="95"/>
      <c r="C124" s="95"/>
      <c r="D124" s="47"/>
      <c r="E124" s="130">
        <v>25.0</v>
      </c>
      <c r="F124" s="113">
        <f>BA70</f>
        <v>8</v>
      </c>
      <c r="G124" s="265">
        <f t="shared" si="19"/>
        <v>26.66666667</v>
      </c>
      <c r="H124" s="305" t="s">
        <v>144</v>
      </c>
      <c r="I124" s="306"/>
      <c r="J124" s="306"/>
      <c r="K124" s="306"/>
      <c r="L124" s="306"/>
      <c r="M124" s="306"/>
      <c r="N124" s="306"/>
      <c r="O124" s="306"/>
      <c r="P124" s="306"/>
      <c r="Q124" s="306"/>
      <c r="R124" s="306"/>
      <c r="S124" s="306"/>
      <c r="T124" s="306"/>
      <c r="U124" s="306"/>
      <c r="V124" s="306"/>
      <c r="W124" s="306"/>
      <c r="X124" s="306"/>
      <c r="Y124" s="306"/>
      <c r="Z124" s="306"/>
      <c r="AA124" s="306"/>
      <c r="AB124" s="306"/>
      <c r="AC124" s="306"/>
      <c r="AD124" s="306"/>
      <c r="AE124" s="306"/>
      <c r="AF124" s="306"/>
      <c r="AG124" s="306"/>
      <c r="AH124" s="306"/>
      <c r="AI124" s="306"/>
      <c r="AJ124" s="307"/>
      <c r="AK124" s="134"/>
      <c r="AM124" s="309">
        <v>25.0</v>
      </c>
      <c r="AN124" s="113">
        <f>COUNTIF(BA30:BA69,"A")</f>
        <v>8</v>
      </c>
      <c r="AO124" s="470">
        <f t="shared" si="20"/>
        <v>26.66666667</v>
      </c>
      <c r="AP124" s="208">
        <f>COUNTIF(BA30:BA69,"B")</f>
        <v>7</v>
      </c>
      <c r="AQ124" s="471">
        <f t="shared" si="21"/>
        <v>23.33333333</v>
      </c>
      <c r="AR124" s="208">
        <f>COUNTIF(BA30:BA69,"C")</f>
        <v>9</v>
      </c>
      <c r="AS124" s="471">
        <f t="shared" si="22"/>
        <v>30</v>
      </c>
      <c r="AT124" s="208">
        <f>COUNTIF(BA30:BA69,"D")</f>
        <v>3</v>
      </c>
      <c r="AU124" s="471">
        <f t="shared" si="23"/>
        <v>10</v>
      </c>
      <c r="AV124" s="271"/>
      <c r="AW124" s="272"/>
    </row>
    <row r="125" ht="15.75" customHeight="1">
      <c r="A125" s="84"/>
      <c r="B125" s="85"/>
      <c r="C125" s="85"/>
      <c r="D125" s="65"/>
      <c r="E125" s="309">
        <v>26.0</v>
      </c>
      <c r="F125" s="113">
        <f>BB70</f>
        <v>3</v>
      </c>
      <c r="G125" s="265">
        <f t="shared" si="19"/>
        <v>10</v>
      </c>
      <c r="H125" s="305" t="s">
        <v>144</v>
      </c>
      <c r="I125" s="306"/>
      <c r="J125" s="306"/>
      <c r="K125" s="306"/>
      <c r="L125" s="306"/>
      <c r="M125" s="306"/>
      <c r="N125" s="306"/>
      <c r="O125" s="306"/>
      <c r="P125" s="306"/>
      <c r="Q125" s="306"/>
      <c r="R125" s="306"/>
      <c r="S125" s="306"/>
      <c r="T125" s="306"/>
      <c r="U125" s="306"/>
      <c r="V125" s="306"/>
      <c r="W125" s="306"/>
      <c r="X125" s="306"/>
      <c r="Y125" s="306"/>
      <c r="Z125" s="306"/>
      <c r="AA125" s="306"/>
      <c r="AB125" s="306"/>
      <c r="AC125" s="306"/>
      <c r="AD125" s="306"/>
      <c r="AE125" s="306"/>
      <c r="AF125" s="306"/>
      <c r="AG125" s="306"/>
      <c r="AH125" s="306"/>
      <c r="AI125" s="306"/>
      <c r="AJ125" s="307"/>
      <c r="AK125" s="134"/>
      <c r="AM125" s="309">
        <v>26.0</v>
      </c>
      <c r="AN125" s="113">
        <f>COUNTIF(BB30:BB69,"A")</f>
        <v>3</v>
      </c>
      <c r="AO125" s="470">
        <f t="shared" si="20"/>
        <v>10</v>
      </c>
      <c r="AP125" s="208">
        <f>COUNTIF(BB30:BB60,"B")</f>
        <v>9</v>
      </c>
      <c r="AQ125" s="471">
        <f t="shared" si="21"/>
        <v>30</v>
      </c>
      <c r="AR125" s="208">
        <f>COUNTIF(BB30:BB69,"C")</f>
        <v>12</v>
      </c>
      <c r="AS125" s="471">
        <f t="shared" si="22"/>
        <v>40</v>
      </c>
      <c r="AT125" s="208">
        <f>COUNTIF(BB30:BB69,"D")</f>
        <v>3</v>
      </c>
      <c r="AU125" s="471">
        <f t="shared" si="23"/>
        <v>10</v>
      </c>
      <c r="AV125" s="271"/>
      <c r="AW125" s="272"/>
    </row>
    <row r="126" ht="112.5" customHeight="1"/>
    <row r="127" ht="15.75" customHeight="1">
      <c r="A127" s="89"/>
      <c r="B127" s="90"/>
      <c r="C127" s="91"/>
      <c r="D127" s="473" t="s">
        <v>89</v>
      </c>
      <c r="E127" s="474"/>
      <c r="F127" s="474"/>
      <c r="G127" s="474"/>
      <c r="H127" s="474"/>
      <c r="I127" s="475"/>
      <c r="K127" s="170"/>
      <c r="L127" s="171"/>
      <c r="M127" s="171"/>
      <c r="N127" s="171"/>
      <c r="O127" s="171"/>
      <c r="P127" s="171"/>
      <c r="Q127" s="171"/>
      <c r="R127" s="171"/>
      <c r="S127" s="171"/>
      <c r="T127" s="171"/>
      <c r="U127" s="171"/>
      <c r="V127" s="171"/>
      <c r="W127" s="171"/>
      <c r="X127" s="171"/>
      <c r="Y127" s="171"/>
      <c r="Z127" s="171"/>
      <c r="AA127" s="171"/>
      <c r="AB127" s="171"/>
      <c r="AC127" s="171"/>
      <c r="AD127" s="171"/>
      <c r="AE127" s="171"/>
      <c r="AF127" s="171"/>
      <c r="AG127" s="171"/>
      <c r="AH127" s="171"/>
      <c r="AI127" s="171"/>
      <c r="AJ127" s="171"/>
      <c r="AK127" s="171"/>
      <c r="AL127" s="171"/>
      <c r="AM127" s="171"/>
      <c r="AN127" s="171"/>
      <c r="AO127" s="171"/>
      <c r="AP127" s="171"/>
      <c r="AQ127" s="171"/>
      <c r="AR127" s="171"/>
      <c r="AS127" s="171"/>
      <c r="AT127" s="171"/>
      <c r="AU127" s="171"/>
      <c r="AV127" s="171"/>
      <c r="AW127" s="171"/>
      <c r="AX127" s="171"/>
      <c r="AY127" s="171"/>
      <c r="AZ127" s="171"/>
      <c r="BA127" s="171"/>
      <c r="BB127" s="171"/>
      <c r="BC127" s="171"/>
      <c r="BD127" s="171"/>
      <c r="BE127" s="171"/>
      <c r="BF127" s="171"/>
      <c r="BG127" s="171"/>
      <c r="BH127" s="171"/>
      <c r="BI127" s="171"/>
      <c r="BJ127" s="171"/>
      <c r="BK127" s="171"/>
      <c r="BL127" s="171"/>
      <c r="BM127" s="171"/>
      <c r="BN127" s="171"/>
      <c r="BO127" s="171"/>
      <c r="BP127" s="171"/>
      <c r="BQ127" s="337"/>
    </row>
    <row r="128" ht="15.75" customHeight="1">
      <c r="A128" s="94"/>
      <c r="B128" s="95"/>
      <c r="C128" s="103"/>
      <c r="D128" s="476" t="s">
        <v>10</v>
      </c>
      <c r="E128" s="477" t="s">
        <v>54</v>
      </c>
      <c r="F128" s="478" t="s">
        <v>90</v>
      </c>
      <c r="G128" s="29"/>
      <c r="H128" s="29"/>
      <c r="I128" s="41"/>
      <c r="K128" s="178"/>
      <c r="BQ128" s="338"/>
    </row>
    <row r="129" ht="15.75" customHeight="1">
      <c r="A129" s="94"/>
      <c r="B129" s="95"/>
      <c r="C129" s="103"/>
      <c r="D129" s="189">
        <f>COUNTIF(BJ30:BJ69,"ABAIXO DO BÁSICO")</f>
        <v>6</v>
      </c>
      <c r="E129" s="479">
        <f>SUM(D129/C17*100)</f>
        <v>20</v>
      </c>
      <c r="F129" s="426" t="s">
        <v>91</v>
      </c>
      <c r="G129" s="480"/>
      <c r="H129" s="480"/>
      <c r="I129" s="481"/>
      <c r="K129" s="178"/>
      <c r="BQ129" s="338"/>
    </row>
    <row r="130" ht="15.75" customHeight="1">
      <c r="A130" s="94"/>
      <c r="B130" s="95"/>
      <c r="C130" s="103"/>
      <c r="D130" s="189">
        <f>COUNTIF(BJ30:BJ69,"BÁSICO")</f>
        <v>10</v>
      </c>
      <c r="E130" s="479">
        <f>SUM(D130/C17*100)</f>
        <v>33.33333333</v>
      </c>
      <c r="F130" s="429" t="s">
        <v>92</v>
      </c>
      <c r="G130" s="480"/>
      <c r="H130" s="480"/>
      <c r="I130" s="481"/>
      <c r="K130" s="178"/>
      <c r="L130" s="192" t="s">
        <v>93</v>
      </c>
      <c r="U130" s="179"/>
      <c r="V130" s="179"/>
      <c r="W130" s="179"/>
      <c r="X130" s="179"/>
      <c r="Y130" s="179"/>
      <c r="Z130" s="179"/>
      <c r="AA130" s="179"/>
      <c r="AB130" s="179"/>
      <c r="AC130" s="179"/>
      <c r="AD130" s="179"/>
      <c r="AE130" s="179"/>
      <c r="AF130" s="179"/>
      <c r="AG130" s="179"/>
      <c r="AH130" s="179"/>
      <c r="AI130" s="179"/>
      <c r="AJ130" s="179"/>
      <c r="AK130" s="179"/>
      <c r="AL130" s="179"/>
      <c r="AM130" s="179"/>
      <c r="AN130" s="179"/>
      <c r="AO130" s="179"/>
      <c r="AP130" s="179"/>
      <c r="AQ130" s="179"/>
      <c r="AR130" s="179"/>
      <c r="AS130" s="179"/>
      <c r="AT130" s="179"/>
      <c r="AU130" s="179"/>
      <c r="AV130" s="179"/>
      <c r="AW130" s="179"/>
      <c r="AX130" s="179"/>
      <c r="AY130" s="179"/>
      <c r="AZ130" s="179"/>
      <c r="BA130" s="179"/>
      <c r="BB130" s="179"/>
      <c r="BC130" s="179"/>
      <c r="BD130" s="179"/>
      <c r="BE130" s="179"/>
      <c r="BF130" s="179"/>
      <c r="BG130" s="179"/>
      <c r="BH130" s="179"/>
      <c r="BI130" s="179"/>
      <c r="BQ130" s="338"/>
    </row>
    <row r="131" ht="15.75" customHeight="1">
      <c r="A131" s="94"/>
      <c r="B131" s="95"/>
      <c r="C131" s="103"/>
      <c r="D131" s="189">
        <f>COUNTIF(BJ30:BJ69,"ADEQUADO")</f>
        <v>13</v>
      </c>
      <c r="E131" s="479">
        <f>SUM(D131/C17*100)</f>
        <v>43.33333333</v>
      </c>
      <c r="F131" s="430" t="s">
        <v>94</v>
      </c>
      <c r="G131" s="480"/>
      <c r="H131" s="480"/>
      <c r="I131" s="481"/>
      <c r="K131" s="178"/>
      <c r="L131" s="179"/>
      <c r="M131" s="179"/>
      <c r="N131" s="179"/>
      <c r="O131" s="179"/>
      <c r="P131" s="179"/>
      <c r="Q131" s="179"/>
      <c r="R131" s="179"/>
      <c r="S131" s="179"/>
      <c r="T131" s="179"/>
      <c r="U131" s="179"/>
      <c r="V131" s="179"/>
      <c r="W131" s="179"/>
      <c r="X131" s="179"/>
      <c r="Y131" s="179"/>
      <c r="Z131" s="179"/>
      <c r="AA131" s="179"/>
      <c r="AB131" s="179"/>
      <c r="AC131" s="179"/>
      <c r="AD131" s="179"/>
      <c r="AE131" s="179"/>
      <c r="AF131" s="179"/>
      <c r="AG131" s="179"/>
      <c r="AH131" s="179"/>
      <c r="AI131" s="179"/>
      <c r="AJ131" s="179"/>
      <c r="AK131" s="179"/>
      <c r="AL131" s="179"/>
      <c r="AM131" s="179"/>
      <c r="AN131" s="179"/>
      <c r="AO131" s="179"/>
      <c r="AP131" s="179"/>
      <c r="AQ131" s="179"/>
      <c r="AR131" s="179"/>
      <c r="AS131" s="179"/>
      <c r="AT131" s="179"/>
      <c r="AU131" s="179"/>
      <c r="AV131" s="179"/>
      <c r="AW131" s="179"/>
      <c r="AX131" s="179"/>
      <c r="AY131" s="179"/>
      <c r="AZ131" s="179"/>
      <c r="BA131" s="179"/>
      <c r="BB131" s="179"/>
      <c r="BC131" s="179"/>
      <c r="BD131" s="179"/>
      <c r="BE131" s="179"/>
      <c r="BF131" s="179"/>
      <c r="BG131" s="179"/>
      <c r="BH131" s="179"/>
      <c r="BI131" s="179"/>
      <c r="BQ131" s="338"/>
    </row>
    <row r="132" ht="15.75" customHeight="1">
      <c r="A132" s="94"/>
      <c r="B132" s="95"/>
      <c r="C132" s="103"/>
      <c r="D132" s="189">
        <f>COUNTIF(BJ30:BJ69,"AVANÇADO")</f>
        <v>1</v>
      </c>
      <c r="E132" s="479">
        <f>SUM(D132/C17*100)</f>
        <v>3.333333333</v>
      </c>
      <c r="F132" s="431" t="s">
        <v>95</v>
      </c>
      <c r="G132" s="480"/>
      <c r="H132" s="480"/>
      <c r="I132" s="481"/>
      <c r="K132" s="178"/>
      <c r="L132" s="179" t="s">
        <v>440</v>
      </c>
      <c r="BQ132" s="338"/>
    </row>
    <row r="133" ht="15.75" customHeight="1">
      <c r="A133" s="94"/>
      <c r="B133" s="95"/>
      <c r="C133" s="103"/>
      <c r="D133" s="482"/>
      <c r="E133" s="483"/>
      <c r="F133" s="482"/>
      <c r="G133" s="482"/>
      <c r="H133" s="484"/>
      <c r="I133" s="482"/>
      <c r="K133" s="178"/>
      <c r="L133" s="179" t="s">
        <v>441</v>
      </c>
      <c r="BQ133" s="338"/>
    </row>
    <row r="134" ht="15.75" customHeight="1">
      <c r="A134" s="94"/>
      <c r="B134" s="95"/>
      <c r="C134" s="103"/>
      <c r="D134" s="485" t="s">
        <v>16</v>
      </c>
      <c r="E134" s="486"/>
      <c r="F134" s="200"/>
      <c r="G134" s="200"/>
      <c r="H134" s="200"/>
      <c r="I134" s="487"/>
      <c r="K134" s="178"/>
      <c r="L134" s="179" t="s">
        <v>442</v>
      </c>
      <c r="BQ134" s="338"/>
    </row>
    <row r="135" ht="15.75" customHeight="1">
      <c r="A135" s="94"/>
      <c r="B135" s="95"/>
      <c r="C135" s="103"/>
      <c r="D135" s="476" t="s">
        <v>10</v>
      </c>
      <c r="E135" s="488" t="s">
        <v>54</v>
      </c>
      <c r="F135" s="478" t="s">
        <v>90</v>
      </c>
      <c r="G135" s="29"/>
      <c r="H135" s="29"/>
      <c r="I135" s="41"/>
      <c r="K135" s="178"/>
      <c r="L135" s="179" t="s">
        <v>443</v>
      </c>
      <c r="BQ135" s="338"/>
    </row>
    <row r="136" ht="15.75" customHeight="1">
      <c r="A136" s="94"/>
      <c r="B136" s="95"/>
      <c r="C136" s="103"/>
      <c r="D136" s="189">
        <f>COUNTIF(BN30:BN69,"ABAIXO DO BÁSICO")</f>
        <v>9</v>
      </c>
      <c r="E136" s="479">
        <f>SUM(D136/C17*100)</f>
        <v>30</v>
      </c>
      <c r="F136" s="426" t="s">
        <v>91</v>
      </c>
      <c r="G136" s="480"/>
      <c r="H136" s="480"/>
      <c r="I136" s="481"/>
      <c r="K136" s="178"/>
      <c r="L136" s="179"/>
      <c r="BQ136" s="338"/>
    </row>
    <row r="137" ht="15.75" customHeight="1">
      <c r="A137" s="94"/>
      <c r="B137" s="95"/>
      <c r="C137" s="103"/>
      <c r="D137" s="189">
        <f>COUNTIF(BN30:BN69,"BÁSICO")</f>
        <v>14</v>
      </c>
      <c r="E137" s="479">
        <f>SUM(D137/C17*100)</f>
        <v>46.66666667</v>
      </c>
      <c r="F137" s="429" t="s">
        <v>92</v>
      </c>
      <c r="G137" s="480"/>
      <c r="H137" s="480"/>
      <c r="I137" s="481"/>
      <c r="K137" s="178"/>
      <c r="L137" s="179" t="s">
        <v>444</v>
      </c>
      <c r="BQ137" s="338"/>
    </row>
    <row r="138" ht="15.75" customHeight="1">
      <c r="A138" s="94"/>
      <c r="B138" s="95"/>
      <c r="C138" s="103"/>
      <c r="D138" s="189">
        <f>COUNTIF(BN30:BN69,"ADEQUADO")</f>
        <v>7</v>
      </c>
      <c r="E138" s="479">
        <f>SUM(D138/C17*100)</f>
        <v>23.33333333</v>
      </c>
      <c r="F138" s="430" t="s">
        <v>94</v>
      </c>
      <c r="G138" s="480"/>
      <c r="H138" s="480"/>
      <c r="I138" s="481"/>
      <c r="K138" s="178"/>
      <c r="L138" s="179" t="s">
        <v>445</v>
      </c>
      <c r="BQ138" s="338"/>
    </row>
    <row r="139" ht="15.75" customHeight="1">
      <c r="A139" s="94"/>
      <c r="B139" s="95"/>
      <c r="C139" s="103"/>
      <c r="D139" s="189">
        <f>COUNTIF(BN30:BN69,"AVANÇADO")</f>
        <v>0</v>
      </c>
      <c r="E139" s="479">
        <f>SUM(D139/C17*100)</f>
        <v>0</v>
      </c>
      <c r="F139" s="431" t="s">
        <v>95</v>
      </c>
      <c r="G139" s="480"/>
      <c r="H139" s="480"/>
      <c r="I139" s="481"/>
      <c r="K139" s="178"/>
      <c r="L139" s="179" t="s">
        <v>446</v>
      </c>
      <c r="BQ139" s="338"/>
    </row>
    <row r="140" ht="15.75" customHeight="1">
      <c r="A140" s="94"/>
      <c r="B140" s="95"/>
      <c r="C140" s="103"/>
      <c r="D140" s="482"/>
      <c r="E140" s="483"/>
      <c r="F140" s="482"/>
      <c r="G140" s="482"/>
      <c r="H140" s="482"/>
      <c r="I140" s="482"/>
      <c r="K140" s="178"/>
      <c r="L140" s="179"/>
      <c r="BQ140" s="338"/>
    </row>
    <row r="141" ht="15.75" customHeight="1">
      <c r="A141" s="94"/>
      <c r="B141" s="95"/>
      <c r="C141" s="103"/>
      <c r="D141" s="489" t="s">
        <v>17</v>
      </c>
      <c r="E141" s="490"/>
      <c r="F141" s="491"/>
      <c r="G141" s="491"/>
      <c r="H141" s="491"/>
      <c r="I141" s="492"/>
      <c r="K141" s="178"/>
      <c r="L141" s="179" t="s">
        <v>447</v>
      </c>
      <c r="BQ141" s="338"/>
    </row>
    <row r="142" ht="15.75" customHeight="1">
      <c r="A142" s="94"/>
      <c r="B142" s="95"/>
      <c r="C142" s="103"/>
      <c r="D142" s="476" t="s">
        <v>10</v>
      </c>
      <c r="E142" s="488" t="s">
        <v>54</v>
      </c>
      <c r="F142" s="478" t="s">
        <v>90</v>
      </c>
      <c r="G142" s="29"/>
      <c r="H142" s="29"/>
      <c r="I142" s="41"/>
      <c r="K142" s="178"/>
      <c r="L142" s="179" t="s">
        <v>448</v>
      </c>
      <c r="BQ142" s="338"/>
    </row>
    <row r="143" ht="15.75" customHeight="1">
      <c r="A143" s="94"/>
      <c r="B143" s="95"/>
      <c r="C143" s="103"/>
      <c r="D143" s="189">
        <f>COUNTIF(BQ30:BQ69,"ABAIXO DO BÁSICO")</f>
        <v>18</v>
      </c>
      <c r="E143" s="479">
        <f>SUM(D143/C17*100)</f>
        <v>60</v>
      </c>
      <c r="F143" s="426" t="s">
        <v>91</v>
      </c>
      <c r="G143" s="480"/>
      <c r="H143" s="480"/>
      <c r="I143" s="481"/>
      <c r="K143" s="178"/>
      <c r="L143" s="179" t="s">
        <v>449</v>
      </c>
      <c r="BQ143" s="338"/>
    </row>
    <row r="144" ht="15.75" customHeight="1">
      <c r="A144" s="94"/>
      <c r="B144" s="95"/>
      <c r="C144" s="103"/>
      <c r="D144" s="189">
        <f>COUNTIF(BQ30:BQ69,"BÁSICO")</f>
        <v>12</v>
      </c>
      <c r="E144" s="479">
        <f>SUM(D144/C17*100)</f>
        <v>40</v>
      </c>
      <c r="F144" s="429" t="s">
        <v>92</v>
      </c>
      <c r="G144" s="480"/>
      <c r="H144" s="480"/>
      <c r="I144" s="481"/>
      <c r="K144" s="178"/>
      <c r="BQ144" s="338"/>
    </row>
    <row r="145" ht="15.75" customHeight="1">
      <c r="A145" s="94"/>
      <c r="B145" s="95"/>
      <c r="C145" s="103"/>
      <c r="D145" s="189">
        <f>COUNTIF(BQ30:BQ69,"ADEQUADO")</f>
        <v>0</v>
      </c>
      <c r="E145" s="479">
        <f>SUM(D145/C17*100)</f>
        <v>0</v>
      </c>
      <c r="F145" s="430" t="s">
        <v>94</v>
      </c>
      <c r="G145" s="480"/>
      <c r="H145" s="480"/>
      <c r="I145" s="481"/>
      <c r="K145" s="178"/>
      <c r="BQ145" s="338"/>
    </row>
    <row r="146" ht="15.75" customHeight="1">
      <c r="A146" s="84"/>
      <c r="B146" s="85"/>
      <c r="C146" s="146"/>
      <c r="D146" s="189">
        <f>COUNTIF(BQ30:BQ69,"AVANÇADO")</f>
        <v>0</v>
      </c>
      <c r="E146" s="479">
        <f>SUM(D146/C17*100)</f>
        <v>0</v>
      </c>
      <c r="F146" s="431" t="s">
        <v>95</v>
      </c>
      <c r="G146" s="480"/>
      <c r="H146" s="480"/>
      <c r="I146" s="481"/>
      <c r="K146" s="223"/>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224"/>
      <c r="BL146" s="224"/>
      <c r="BM146" s="224"/>
      <c r="BN146" s="224"/>
      <c r="BO146" s="224"/>
      <c r="BP146" s="224"/>
      <c r="BQ146" s="340"/>
    </row>
    <row r="147" ht="15.75" customHeight="1"/>
    <row r="148" ht="15.75" customHeight="1"/>
    <row r="149" ht="15.75" customHeight="1"/>
    <row r="150" ht="15.75" customHeight="1"/>
    <row r="151" ht="15.75" customHeight="1"/>
    <row r="152" ht="15.75" customHeight="1"/>
    <row r="153" ht="15.75" customHeight="1"/>
    <row r="154" ht="15.75" customHeight="1">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24"/>
      <c r="AO154" s="224"/>
      <c r="AP154" s="224"/>
      <c r="AQ154" s="224"/>
      <c r="AR154" s="224"/>
      <c r="AS154" s="224"/>
      <c r="AT154" s="224"/>
      <c r="AU154" s="224"/>
      <c r="AV154" s="224"/>
      <c r="AW154" s="224"/>
      <c r="AX154" s="224"/>
      <c r="AY154" s="224"/>
      <c r="AZ154" s="224"/>
      <c r="BA154" s="224"/>
      <c r="BB154" s="224"/>
      <c r="BC154" s="224"/>
      <c r="BD154" s="224"/>
      <c r="BE154" s="224"/>
      <c r="BF154" s="224"/>
      <c r="BG154" s="224"/>
      <c r="BH154" s="224"/>
      <c r="BI154" s="224"/>
      <c r="BJ154" s="224"/>
      <c r="BK154" s="224"/>
      <c r="BL154" s="224"/>
      <c r="BM154" s="224"/>
      <c r="BN154" s="224"/>
      <c r="BO154" s="224"/>
      <c r="BP154" s="224"/>
      <c r="BQ154" s="224"/>
    </row>
    <row r="155" ht="15.75" customHeight="1"/>
    <row r="156" ht="15.75" customHeight="1">
      <c r="BH156" s="226" t="s">
        <v>107</v>
      </c>
    </row>
    <row r="157" ht="15.75" customHeight="1">
      <c r="AL157" s="227"/>
      <c r="AM157" s="227"/>
      <c r="AN157" s="227"/>
      <c r="AO157" s="227"/>
      <c r="AP157" s="227"/>
      <c r="AQ157" s="227"/>
      <c r="AR157" s="227"/>
      <c r="AS157" s="227"/>
      <c r="AT157" s="227"/>
      <c r="AU157" s="227"/>
      <c r="AV157" s="227"/>
      <c r="AW157" s="227"/>
      <c r="AX157" s="227"/>
      <c r="BH157" s="227" t="s">
        <v>108</v>
      </c>
    </row>
    <row r="158" ht="15.75" customHeight="1"/>
  </sheetData>
  <mergeCells count="62">
    <mergeCell ref="D25:BJ25"/>
    <mergeCell ref="D26:AB26"/>
    <mergeCell ref="AC26:BB26"/>
    <mergeCell ref="BD26:BJ26"/>
    <mergeCell ref="BO27:BO29"/>
    <mergeCell ref="BP27:BP29"/>
    <mergeCell ref="A19:B19"/>
    <mergeCell ref="A20:B20"/>
    <mergeCell ref="A22:C22"/>
    <mergeCell ref="BL25:BQ25"/>
    <mergeCell ref="A26:A29"/>
    <mergeCell ref="B26:B29"/>
    <mergeCell ref="C26:C29"/>
    <mergeCell ref="BQ27:BQ29"/>
    <mergeCell ref="BD27:BD29"/>
    <mergeCell ref="BE27:BE29"/>
    <mergeCell ref="A70:C70"/>
    <mergeCell ref="D72:AJ72"/>
    <mergeCell ref="AL72:AU73"/>
    <mergeCell ref="D73:E74"/>
    <mergeCell ref="F73:F74"/>
    <mergeCell ref="G73:G74"/>
    <mergeCell ref="H73:AJ74"/>
    <mergeCell ref="D75:D99"/>
    <mergeCell ref="AL75:AL99"/>
    <mergeCell ref="D100:D125"/>
    <mergeCell ref="AL100:AL125"/>
    <mergeCell ref="F128:I128"/>
    <mergeCell ref="L130:T130"/>
    <mergeCell ref="L132:BI132"/>
    <mergeCell ref="L133:BI133"/>
    <mergeCell ref="L134:BI134"/>
    <mergeCell ref="F135:I135"/>
    <mergeCell ref="L135:BI135"/>
    <mergeCell ref="L136:BI136"/>
    <mergeCell ref="L137:BI137"/>
    <mergeCell ref="L138:BI138"/>
    <mergeCell ref="L139:BI139"/>
    <mergeCell ref="L140:BI140"/>
    <mergeCell ref="L141:BI141"/>
    <mergeCell ref="F142:I142"/>
    <mergeCell ref="L142:BI142"/>
    <mergeCell ref="D6:BE8"/>
    <mergeCell ref="D9:BE10"/>
    <mergeCell ref="D12:BE12"/>
    <mergeCell ref="A15:C15"/>
    <mergeCell ref="A16:C16"/>
    <mergeCell ref="A17:B17"/>
    <mergeCell ref="A18:B18"/>
    <mergeCell ref="BL26:BN26"/>
    <mergeCell ref="BO26:BQ26"/>
    <mergeCell ref="BF27:BF29"/>
    <mergeCell ref="BG27:BG29"/>
    <mergeCell ref="BH27:BH29"/>
    <mergeCell ref="BI27:BI29"/>
    <mergeCell ref="BJ27:BJ29"/>
    <mergeCell ref="BL27:BL29"/>
    <mergeCell ref="BM27:BM29"/>
    <mergeCell ref="BN27:BN29"/>
    <mergeCell ref="L143:BI143"/>
    <mergeCell ref="L144:BI144"/>
    <mergeCell ref="L145:BI145"/>
  </mergeCells>
  <conditionalFormatting sqref="C30:C69">
    <cfRule type="containsText" dxfId="6" priority="1" operator="containsText" text="NÃO">
      <formula>NOT(ISERROR(SEARCH(("NÃO"),(C30))))</formula>
    </cfRule>
  </conditionalFormatting>
  <conditionalFormatting sqref="C30:C69">
    <cfRule type="containsText" dxfId="0" priority="2" operator="containsText" text="NÃO">
      <formula>NOT(ISERROR(SEARCH(("NÃO"),(C30))))</formula>
    </cfRule>
  </conditionalFormatting>
  <conditionalFormatting sqref="C30:C69">
    <cfRule type="containsText" dxfId="1" priority="3" operator="containsText" text="SIM">
      <formula>NOT(ISERROR(SEARCH(("SIM"),(C30))))</formula>
    </cfRule>
  </conditionalFormatting>
  <conditionalFormatting sqref="BD30:BD69 BG30:BH69 BE31:BF69">
    <cfRule type="containsText" dxfId="6" priority="4" operator="containsText" text="F">
      <formula>NOT(ISERROR(SEARCH(("F"),(BD30))))</formula>
    </cfRule>
  </conditionalFormatting>
  <conditionalFormatting sqref="D30:BB69">
    <cfRule type="containsText" dxfId="6" priority="5" operator="containsText" text="F">
      <formula>NOT(ISERROR(SEARCH(("F"),(D30))))</formula>
    </cfRule>
  </conditionalFormatting>
  <conditionalFormatting sqref="BD30:BD69">
    <cfRule type="containsText" dxfId="4" priority="6" operator="containsText" text="A">
      <formula>NOT(ISERROR(SEARCH(("A"),(BD30))))</formula>
    </cfRule>
  </conditionalFormatting>
  <conditionalFormatting sqref="BD30:BD69">
    <cfRule type="containsText" dxfId="5" priority="7" operator="containsText" text="B">
      <formula>NOT(ISERROR(SEARCH(("B"),(BD30))))</formula>
    </cfRule>
  </conditionalFormatting>
  <conditionalFormatting sqref="BD30:BD69">
    <cfRule type="containsText" dxfId="5" priority="8" operator="containsText" text="C">
      <formula>NOT(ISERROR(SEARCH(("C"),(BD30))))</formula>
    </cfRule>
  </conditionalFormatting>
  <conditionalFormatting sqref="BD30:BD69">
    <cfRule type="containsText" dxfId="5" priority="9" operator="containsText" text="X">
      <formula>NOT(ISERROR(SEARCH(("X"),(BD30))))</formula>
    </cfRule>
  </conditionalFormatting>
  <conditionalFormatting sqref="BI30:BI69">
    <cfRule type="containsText" dxfId="6" priority="10" operator="containsText" text="F">
      <formula>NOT(ISERROR(SEARCH(("F"),(BI30))))</formula>
    </cfRule>
  </conditionalFormatting>
  <conditionalFormatting sqref="BJ30:BJ69 BN30:BN69 BQ30:BQ69">
    <cfRule type="containsText" dxfId="17" priority="11" operator="containsText" text="Abaixo do Básico">
      <formula>NOT(ISERROR(SEARCH(("Abaixo do Básico"),(BJ30))))</formula>
    </cfRule>
  </conditionalFormatting>
  <conditionalFormatting sqref="BJ30:BJ69 BN30:BN69 BQ30:BQ69">
    <cfRule type="containsText" dxfId="18" priority="12" operator="containsText" text="Básico">
      <formula>NOT(ISERROR(SEARCH(("Básico"),(BJ30))))</formula>
    </cfRule>
  </conditionalFormatting>
  <conditionalFormatting sqref="BJ30:BJ69 BN30:BN69 BQ30:BQ69">
    <cfRule type="containsText" dxfId="19" priority="13" operator="containsText" text="Adequado">
      <formula>NOT(ISERROR(SEARCH(("Adequado"),(BJ30))))</formula>
    </cfRule>
  </conditionalFormatting>
  <conditionalFormatting sqref="BJ30:BJ69 BN30:BN69 BQ30:BQ69">
    <cfRule type="containsText" dxfId="16" priority="14" operator="containsText" text="Avançado">
      <formula>NOT(ISERROR(SEARCH(("Avançado"),(BJ30))))</formula>
    </cfRule>
  </conditionalFormatting>
  <conditionalFormatting sqref="A30:BB70">
    <cfRule type="containsBlanks" dxfId="6" priority="15">
      <formula>LEN(TRIM(A30))=0</formula>
    </cfRule>
  </conditionalFormatting>
  <conditionalFormatting sqref="B30:B69 BL30:BQ69">
    <cfRule type="containsBlanks" dxfId="6" priority="16">
      <formula>LEN(TRIM(B30))=0</formula>
    </cfRule>
  </conditionalFormatting>
  <conditionalFormatting sqref="D30:BB69">
    <cfRule type="containsText" dxfId="5" priority="17" operator="containsText" text="X">
      <formula>NOT(ISERROR(SEARCH(("X"),(D30))))</formula>
    </cfRule>
  </conditionalFormatting>
  <conditionalFormatting sqref="F30:F69">
    <cfRule type="containsText" dxfId="5" priority="18" operator="containsText" text="A">
      <formula>NOT(ISERROR(SEARCH(("A"),(F30))))</formula>
    </cfRule>
  </conditionalFormatting>
  <conditionalFormatting sqref="F30:F69">
    <cfRule type="containsText" dxfId="5" priority="19" operator="containsText" text="B">
      <formula>NOT(ISERROR(SEARCH(("B"),(F30))))</formula>
    </cfRule>
  </conditionalFormatting>
  <conditionalFormatting sqref="F30:F69">
    <cfRule type="containsText" dxfId="12" priority="20" operator="containsText" text="C">
      <formula>NOT(ISERROR(SEARCH(("C"),(F30))))</formula>
    </cfRule>
  </conditionalFormatting>
  <conditionalFormatting sqref="F30:F69">
    <cfRule type="containsText" dxfId="5" priority="21" operator="containsText" text="D">
      <formula>NOT(ISERROR(SEARCH(("D"),(F30))))</formula>
    </cfRule>
  </conditionalFormatting>
  <conditionalFormatting sqref="G30:G69">
    <cfRule type="containsText" dxfId="5" priority="22" operator="containsText" text="A">
      <formula>NOT(ISERROR(SEARCH(("A"),(G30))))</formula>
    </cfRule>
  </conditionalFormatting>
  <conditionalFormatting sqref="G30:G69">
    <cfRule type="containsText" dxfId="4" priority="23" operator="containsText" text="B">
      <formula>NOT(ISERROR(SEARCH(("B"),(G30))))</formula>
    </cfRule>
  </conditionalFormatting>
  <conditionalFormatting sqref="G30:G69">
    <cfRule type="containsText" dxfId="5" priority="24" operator="containsText" text="C">
      <formula>NOT(ISERROR(SEARCH(("C"),(G30))))</formula>
    </cfRule>
  </conditionalFormatting>
  <conditionalFormatting sqref="G30:G69">
    <cfRule type="containsText" dxfId="5" priority="25" operator="containsText" text="D">
      <formula>NOT(ISERROR(SEARCH(("D"),(G30))))</formula>
    </cfRule>
  </conditionalFormatting>
  <conditionalFormatting sqref="H30:H69">
    <cfRule type="containsText" dxfId="5" priority="26" operator="containsText" text="A">
      <formula>NOT(ISERROR(SEARCH(("A"),(H30))))</formula>
    </cfRule>
  </conditionalFormatting>
  <conditionalFormatting sqref="H30:H69">
    <cfRule type="containsText" dxfId="5" priority="27" operator="containsText" text="B">
      <formula>NOT(ISERROR(SEARCH(("B"),(H30))))</formula>
    </cfRule>
  </conditionalFormatting>
  <conditionalFormatting sqref="H30:H69">
    <cfRule type="containsText" dxfId="5" priority="28" operator="containsText" text="C">
      <formula>NOT(ISERROR(SEARCH(("C"),(H30))))</formula>
    </cfRule>
  </conditionalFormatting>
  <conditionalFormatting sqref="H30:H69">
    <cfRule type="containsText" dxfId="4" priority="29" operator="containsText" text="D">
      <formula>NOT(ISERROR(SEARCH(("D"),(H30))))</formula>
    </cfRule>
  </conditionalFormatting>
  <conditionalFormatting sqref="I30:I69">
    <cfRule type="containsText" dxfId="5" priority="30" operator="containsText" text="A">
      <formula>NOT(ISERROR(SEARCH(("A"),(I30))))</formula>
    </cfRule>
  </conditionalFormatting>
  <conditionalFormatting sqref="I30:I69">
    <cfRule type="containsText" dxfId="4" priority="31" operator="containsText" text="B">
      <formula>NOT(ISERROR(SEARCH(("B"),(I30))))</formula>
    </cfRule>
  </conditionalFormatting>
  <conditionalFormatting sqref="I30:I69">
    <cfRule type="containsText" dxfId="5" priority="32" operator="containsText" text="C">
      <formula>NOT(ISERROR(SEARCH(("C"),(I30))))</formula>
    </cfRule>
  </conditionalFormatting>
  <conditionalFormatting sqref="I30:I69">
    <cfRule type="containsText" dxfId="5" priority="33" operator="containsText" text="D">
      <formula>NOT(ISERROR(SEARCH(("D"),(I30))))</formula>
    </cfRule>
  </conditionalFormatting>
  <conditionalFormatting sqref="J30:J69">
    <cfRule type="containsText" dxfId="5" priority="34" operator="containsText" text="A">
      <formula>NOT(ISERROR(SEARCH(("A"),(J30))))</formula>
    </cfRule>
  </conditionalFormatting>
  <conditionalFormatting sqref="J30:J69">
    <cfRule type="containsText" dxfId="5" priority="35" operator="containsText" text="B">
      <formula>NOT(ISERROR(SEARCH(("B"),(J30))))</formula>
    </cfRule>
  </conditionalFormatting>
  <conditionalFormatting sqref="J30:J69">
    <cfRule type="containsText" dxfId="4" priority="36" operator="containsText" text="C">
      <formula>NOT(ISERROR(SEARCH(("C"),(J30))))</formula>
    </cfRule>
  </conditionalFormatting>
  <conditionalFormatting sqref="J30:J69">
    <cfRule type="containsText" dxfId="5" priority="37" operator="containsText" text="D">
      <formula>NOT(ISERROR(SEARCH(("D"),(J30))))</formula>
    </cfRule>
  </conditionalFormatting>
  <conditionalFormatting sqref="L30:L69">
    <cfRule type="containsText" dxfId="5" priority="38" operator="containsText" text="A">
      <formula>NOT(ISERROR(SEARCH(("A"),(L30))))</formula>
    </cfRule>
  </conditionalFormatting>
  <conditionalFormatting sqref="L30:L69">
    <cfRule type="beginsWith" dxfId="5" priority="39" operator="beginsWith" text="B">
      <formula>LEFT((L30),LEN("B"))=("B")</formula>
    </cfRule>
  </conditionalFormatting>
  <conditionalFormatting sqref="L30:L69">
    <cfRule type="containsText" dxfId="5" priority="40" operator="containsText" text="C">
      <formula>NOT(ISERROR(SEARCH(("C"),(L30))))</formula>
    </cfRule>
  </conditionalFormatting>
  <conditionalFormatting sqref="L30:L69">
    <cfRule type="containsText" dxfId="4" priority="41" operator="containsText" text="D">
      <formula>NOT(ISERROR(SEARCH(("D"),(L30))))</formula>
    </cfRule>
  </conditionalFormatting>
  <conditionalFormatting sqref="M30:M69">
    <cfRule type="containsText" dxfId="5" priority="42" operator="containsText" text="A">
      <formula>NOT(ISERROR(SEARCH(("A"),(M30))))</formula>
    </cfRule>
  </conditionalFormatting>
  <conditionalFormatting sqref="M30:M69">
    <cfRule type="containsText" dxfId="4" priority="43" operator="containsText" text="B">
      <formula>NOT(ISERROR(SEARCH(("B"),(M30))))</formula>
    </cfRule>
  </conditionalFormatting>
  <conditionalFormatting sqref="M30:M69">
    <cfRule type="containsText" dxfId="5" priority="44" operator="containsText" text="C">
      <formula>NOT(ISERROR(SEARCH(("C"),(M30))))</formula>
    </cfRule>
  </conditionalFormatting>
  <conditionalFormatting sqref="M30:M69">
    <cfRule type="containsText" dxfId="5" priority="45" operator="containsText" text="D">
      <formula>NOT(ISERROR(SEARCH(("D"),(M30))))</formula>
    </cfRule>
  </conditionalFormatting>
  <conditionalFormatting sqref="N30:N69">
    <cfRule type="containsText" dxfId="4" priority="46" operator="containsText" text="A">
      <formula>NOT(ISERROR(SEARCH(("A"),(N30))))</formula>
    </cfRule>
  </conditionalFormatting>
  <conditionalFormatting sqref="N30:N69">
    <cfRule type="containsText" dxfId="5" priority="47" operator="containsText" text="B">
      <formula>NOT(ISERROR(SEARCH(("B"),(N30))))</formula>
    </cfRule>
  </conditionalFormatting>
  <conditionalFormatting sqref="N30:N69">
    <cfRule type="containsText" dxfId="5" priority="48" operator="containsText" text="C">
      <formula>NOT(ISERROR(SEARCH(("C"),(N30))))</formula>
    </cfRule>
  </conditionalFormatting>
  <conditionalFormatting sqref="N30:N69">
    <cfRule type="containsText" dxfId="5" priority="49" operator="containsText" text="D">
      <formula>NOT(ISERROR(SEARCH(("D"),(N30))))</formula>
    </cfRule>
  </conditionalFormatting>
  <conditionalFormatting sqref="O30:O69">
    <cfRule type="containsText" dxfId="5" priority="50" operator="containsText" text="A">
      <formula>NOT(ISERROR(SEARCH(("A"),(O30))))</formula>
    </cfRule>
  </conditionalFormatting>
  <conditionalFormatting sqref="O30:O69">
    <cfRule type="containsText" dxfId="4" priority="51" operator="containsText" text="B">
      <formula>NOT(ISERROR(SEARCH(("B"),(O30))))</formula>
    </cfRule>
  </conditionalFormatting>
  <conditionalFormatting sqref="O30:O69">
    <cfRule type="containsText" dxfId="5" priority="52" operator="containsText" text="C">
      <formula>NOT(ISERROR(SEARCH(("C"),(O30))))</formula>
    </cfRule>
  </conditionalFormatting>
  <conditionalFormatting sqref="O30:O69">
    <cfRule type="containsText" dxfId="5" priority="53" operator="containsText" text="D">
      <formula>NOT(ISERROR(SEARCH(("D"),(O30))))</formula>
    </cfRule>
  </conditionalFormatting>
  <conditionalFormatting sqref="P30:P69">
    <cfRule type="containsText" dxfId="5" priority="54" operator="containsText" text="A">
      <formula>NOT(ISERROR(SEARCH(("A"),(P30))))</formula>
    </cfRule>
  </conditionalFormatting>
  <conditionalFormatting sqref="P30:P69">
    <cfRule type="containsText" dxfId="4" priority="55" operator="containsText" text="B">
      <formula>NOT(ISERROR(SEARCH(("B"),(P30))))</formula>
    </cfRule>
  </conditionalFormatting>
  <conditionalFormatting sqref="P30:P69">
    <cfRule type="containsText" dxfId="5" priority="56" operator="containsText" text="C">
      <formula>NOT(ISERROR(SEARCH(("C"),(P30))))</formula>
    </cfRule>
  </conditionalFormatting>
  <conditionalFormatting sqref="P30:P69">
    <cfRule type="containsText" dxfId="5" priority="57" operator="containsText" text="D">
      <formula>NOT(ISERROR(SEARCH(("D"),(P30))))</formula>
    </cfRule>
  </conditionalFormatting>
  <conditionalFormatting sqref="Q30:Q69">
    <cfRule type="containsText" dxfId="4" priority="58" operator="containsText" text="A">
      <formula>NOT(ISERROR(SEARCH(("A"),(Q30))))</formula>
    </cfRule>
  </conditionalFormatting>
  <conditionalFormatting sqref="Q30:Q69">
    <cfRule type="containsText" dxfId="5" priority="59" operator="containsText" text="B">
      <formula>NOT(ISERROR(SEARCH(("B"),(Q30))))</formula>
    </cfRule>
  </conditionalFormatting>
  <conditionalFormatting sqref="Q30:Q69">
    <cfRule type="containsText" dxfId="5" priority="60" operator="containsText" text="C">
      <formula>NOT(ISERROR(SEARCH(("C"),(Q30))))</formula>
    </cfRule>
  </conditionalFormatting>
  <conditionalFormatting sqref="Q30:Q69">
    <cfRule type="containsText" dxfId="5" priority="61" operator="containsText" text="D">
      <formula>NOT(ISERROR(SEARCH(("D"),(Q30))))</formula>
    </cfRule>
  </conditionalFormatting>
  <conditionalFormatting sqref="R30:R69">
    <cfRule type="containsText" dxfId="4" priority="62" operator="containsText" text="A">
      <formula>NOT(ISERROR(SEARCH(("A"),(R30))))</formula>
    </cfRule>
  </conditionalFormatting>
  <conditionalFormatting sqref="R30:R69">
    <cfRule type="containsText" dxfId="5" priority="63" operator="containsText" text="B">
      <formula>NOT(ISERROR(SEARCH(("B"),(R30))))</formula>
    </cfRule>
  </conditionalFormatting>
  <conditionalFormatting sqref="R30:R69">
    <cfRule type="containsText" dxfId="5" priority="64" operator="containsText" text="C">
      <formula>NOT(ISERROR(SEARCH(("C"),(R30))))</formula>
    </cfRule>
  </conditionalFormatting>
  <conditionalFormatting sqref="R30:R69">
    <cfRule type="containsText" dxfId="5" priority="65" operator="containsText" text="D">
      <formula>NOT(ISERROR(SEARCH(("D"),(R30))))</formula>
    </cfRule>
  </conditionalFormatting>
  <conditionalFormatting sqref="S30:S69">
    <cfRule type="containsText" dxfId="5" priority="66" operator="containsText" text="A">
      <formula>NOT(ISERROR(SEARCH(("A"),(S30))))</formula>
    </cfRule>
  </conditionalFormatting>
  <conditionalFormatting sqref="S30:S69">
    <cfRule type="containsText" dxfId="5" priority="67" operator="containsText" text="B">
      <formula>NOT(ISERROR(SEARCH(("B"),(S30))))</formula>
    </cfRule>
  </conditionalFormatting>
  <conditionalFormatting sqref="S30:S69">
    <cfRule type="containsText" dxfId="4" priority="68" operator="containsText" text="C">
      <formula>NOT(ISERROR(SEARCH(("C"),(S30))))</formula>
    </cfRule>
  </conditionalFormatting>
  <conditionalFormatting sqref="S30:S69">
    <cfRule type="containsText" dxfId="5" priority="69" operator="containsText" text="D">
      <formula>NOT(ISERROR(SEARCH(("D"),(S30))))</formula>
    </cfRule>
  </conditionalFormatting>
  <conditionalFormatting sqref="T30:T69">
    <cfRule type="containsText" dxfId="5" priority="70" operator="containsText" text="A">
      <formula>NOT(ISERROR(SEARCH(("A"),(T30))))</formula>
    </cfRule>
  </conditionalFormatting>
  <conditionalFormatting sqref="T30:T69">
    <cfRule type="containsText" dxfId="4" priority="71" operator="containsText" text="B">
      <formula>NOT(ISERROR(SEARCH(("B"),(T30))))</formula>
    </cfRule>
  </conditionalFormatting>
  <conditionalFormatting sqref="T30:T69">
    <cfRule type="containsText" dxfId="5" priority="72" operator="containsText" text="C">
      <formula>NOT(ISERROR(SEARCH(("C"),(T30))))</formula>
    </cfRule>
  </conditionalFormatting>
  <conditionalFormatting sqref="T30:T69">
    <cfRule type="containsText" dxfId="5" priority="73" operator="containsText" text="D">
      <formula>NOT(ISERROR(SEARCH(("D"),(T30))))</formula>
    </cfRule>
  </conditionalFormatting>
  <conditionalFormatting sqref="U30:U69">
    <cfRule type="containsText" dxfId="4" priority="74" operator="containsText" text="A">
      <formula>NOT(ISERROR(SEARCH(("A"),(U30))))</formula>
    </cfRule>
  </conditionalFormatting>
  <conditionalFormatting sqref="U30:U69">
    <cfRule type="containsText" dxfId="5" priority="75" operator="containsText" text="B">
      <formula>NOT(ISERROR(SEARCH(("B"),(U30))))</formula>
    </cfRule>
  </conditionalFormatting>
  <conditionalFormatting sqref="U30:U69">
    <cfRule type="containsText" dxfId="5" priority="76" operator="containsText" text="C">
      <formula>NOT(ISERROR(SEARCH(("C"),(U30))))</formula>
    </cfRule>
  </conditionalFormatting>
  <conditionalFormatting sqref="U30:U69">
    <cfRule type="containsText" dxfId="5" priority="77" operator="containsText" text="D">
      <formula>NOT(ISERROR(SEARCH(("D"),(U30))))</formula>
    </cfRule>
  </conditionalFormatting>
  <conditionalFormatting sqref="V30:V69">
    <cfRule type="containsText" dxfId="5" priority="78" operator="containsText" text="A">
      <formula>NOT(ISERROR(SEARCH(("A"),(V30))))</formula>
    </cfRule>
  </conditionalFormatting>
  <conditionalFormatting sqref="V30:V69">
    <cfRule type="containsText" dxfId="4" priority="79" operator="containsText" text="B">
      <formula>NOT(ISERROR(SEARCH(("B"),(V30))))</formula>
    </cfRule>
  </conditionalFormatting>
  <conditionalFormatting sqref="V30:V69">
    <cfRule type="containsText" dxfId="5" priority="80" operator="containsText" text="C">
      <formula>NOT(ISERROR(SEARCH(("C"),(V30))))</formula>
    </cfRule>
  </conditionalFormatting>
  <conditionalFormatting sqref="V30:V69">
    <cfRule type="containsText" dxfId="5" priority="81" operator="containsText" text="D">
      <formula>NOT(ISERROR(SEARCH(("D"),(V30))))</formula>
    </cfRule>
  </conditionalFormatting>
  <conditionalFormatting sqref="W30:W69">
    <cfRule type="containsText" dxfId="5" priority="82" operator="containsText" text="A">
      <formula>NOT(ISERROR(SEARCH(("A"),(W30))))</formula>
    </cfRule>
  </conditionalFormatting>
  <conditionalFormatting sqref="W30:W69">
    <cfRule type="containsText" dxfId="5" priority="83" operator="containsText" text="B">
      <formula>NOT(ISERROR(SEARCH(("B"),(W30))))</formula>
    </cfRule>
  </conditionalFormatting>
  <conditionalFormatting sqref="W30:W69">
    <cfRule type="containsText" dxfId="4" priority="84" operator="containsText" text="C">
      <formula>NOT(ISERROR(SEARCH(("C"),(W30))))</formula>
    </cfRule>
  </conditionalFormatting>
  <conditionalFormatting sqref="W30:W69">
    <cfRule type="containsText" dxfId="5" priority="85" operator="containsText" text="D">
      <formula>NOT(ISERROR(SEARCH(("D"),(W30))))</formula>
    </cfRule>
  </conditionalFormatting>
  <conditionalFormatting sqref="X30:X69">
    <cfRule type="containsText" dxfId="4" priority="86" operator="containsText" text="A">
      <formula>NOT(ISERROR(SEARCH(("A"),(X30))))</formula>
    </cfRule>
  </conditionalFormatting>
  <conditionalFormatting sqref="X30:X69">
    <cfRule type="containsText" dxfId="5" priority="87" operator="containsText" text="B">
      <formula>NOT(ISERROR(SEARCH(("B"),(X30))))</formula>
    </cfRule>
  </conditionalFormatting>
  <conditionalFormatting sqref="X30:X69">
    <cfRule type="containsText" dxfId="5" priority="88" operator="containsText" text="C">
      <formula>NOT(ISERROR(SEARCH(("C"),(X30))))</formula>
    </cfRule>
  </conditionalFormatting>
  <conditionalFormatting sqref="X30:X69">
    <cfRule type="containsText" dxfId="5" priority="89" operator="containsText" text="D">
      <formula>NOT(ISERROR(SEARCH(("D"),(X30))))</formula>
    </cfRule>
  </conditionalFormatting>
  <conditionalFormatting sqref="Y30:Y69">
    <cfRule type="containsText" dxfId="4" priority="90" operator="containsText" text="A">
      <formula>NOT(ISERROR(SEARCH(("A"),(Y30))))</formula>
    </cfRule>
  </conditionalFormatting>
  <conditionalFormatting sqref="Y30:Y69">
    <cfRule type="containsText" dxfId="5" priority="91" operator="containsText" text="B">
      <formula>NOT(ISERROR(SEARCH(("B"),(Y30))))</formula>
    </cfRule>
  </conditionalFormatting>
  <conditionalFormatting sqref="Y30:Y69">
    <cfRule type="containsText" dxfId="5" priority="92" operator="containsText" text="C">
      <formula>NOT(ISERROR(SEARCH(("C"),(Y30))))</formula>
    </cfRule>
  </conditionalFormatting>
  <conditionalFormatting sqref="Y30:Y69">
    <cfRule type="containsText" dxfId="5" priority="93" operator="containsText" text="D">
      <formula>NOT(ISERROR(SEARCH(("D"),(Y30))))</formula>
    </cfRule>
  </conditionalFormatting>
  <conditionalFormatting sqref="Z30:Z69">
    <cfRule type="containsText" dxfId="5" priority="94" operator="containsText" text="A">
      <formula>NOT(ISERROR(SEARCH(("A"),(Z30))))</formula>
    </cfRule>
  </conditionalFormatting>
  <conditionalFormatting sqref="Z30:Z69">
    <cfRule type="containsText" dxfId="4" priority="95" operator="containsText" text="B">
      <formula>NOT(ISERROR(SEARCH(("B"),(Z30))))</formula>
    </cfRule>
  </conditionalFormatting>
  <conditionalFormatting sqref="Z30:Z69">
    <cfRule type="containsText" dxfId="5" priority="96" operator="containsText" text="C">
      <formula>NOT(ISERROR(SEARCH(("C"),(Z30))))</formula>
    </cfRule>
  </conditionalFormatting>
  <conditionalFormatting sqref="Z30:Z69">
    <cfRule type="containsText" dxfId="5" priority="97" operator="containsText" text="D">
      <formula>NOT(ISERROR(SEARCH(("D"),(Z30))))</formula>
    </cfRule>
  </conditionalFormatting>
  <conditionalFormatting sqref="AA30:AA69">
    <cfRule type="containsText" dxfId="5" priority="98" operator="containsText" text="A">
      <formula>NOT(ISERROR(SEARCH(("A"),(AA30))))</formula>
    </cfRule>
  </conditionalFormatting>
  <conditionalFormatting sqref="AA30:AA69">
    <cfRule type="containsText" dxfId="4" priority="99" operator="containsText" text="B">
      <formula>NOT(ISERROR(SEARCH(("B"),(AA30))))</formula>
    </cfRule>
  </conditionalFormatting>
  <conditionalFormatting sqref="AA30:AA69">
    <cfRule type="containsText" dxfId="5" priority="100" operator="containsText" text="C">
      <formula>NOT(ISERROR(SEARCH(("C"),(AA30))))</formula>
    </cfRule>
  </conditionalFormatting>
  <conditionalFormatting sqref="AA30:AA69">
    <cfRule type="containsText" dxfId="5" priority="101" operator="containsText" text="D">
      <formula>NOT(ISERROR(SEARCH(("D"),(AA30))))</formula>
    </cfRule>
  </conditionalFormatting>
  <conditionalFormatting sqref="AB30:AB69">
    <cfRule type="containsText" dxfId="5" priority="102" operator="containsText" text="A">
      <formula>NOT(ISERROR(SEARCH(("A"),(AB30))))</formula>
    </cfRule>
  </conditionalFormatting>
  <conditionalFormatting sqref="AB30:AB69">
    <cfRule type="containsText" dxfId="4" priority="103" operator="containsText" text="B">
      <formula>NOT(ISERROR(SEARCH(("B"),(AB30))))</formula>
    </cfRule>
  </conditionalFormatting>
  <conditionalFormatting sqref="AB30:AB69">
    <cfRule type="containsText" dxfId="5" priority="104" operator="containsText" text="C">
      <formula>NOT(ISERROR(SEARCH(("C"),(AB30))))</formula>
    </cfRule>
  </conditionalFormatting>
  <conditionalFormatting sqref="AB30:AB69">
    <cfRule type="containsText" dxfId="5" priority="105" operator="containsText" text="D">
      <formula>NOT(ISERROR(SEARCH(("D"),(AB30))))</formula>
    </cfRule>
  </conditionalFormatting>
  <conditionalFormatting sqref="AC30:AC69">
    <cfRule type="containsText" dxfId="5" priority="106" operator="containsText" text="A">
      <formula>NOT(ISERROR(SEARCH(("A"),(AC30))))</formula>
    </cfRule>
  </conditionalFormatting>
  <conditionalFormatting sqref="AC30:AC69">
    <cfRule type="containsText" dxfId="5" priority="107" operator="containsText" text="B">
      <formula>NOT(ISERROR(SEARCH(("B"),(AC30))))</formula>
    </cfRule>
  </conditionalFormatting>
  <conditionalFormatting sqref="AC30:AC69">
    <cfRule type="containsText" dxfId="4" priority="108" operator="containsText" text="C">
      <formula>NOT(ISERROR(SEARCH(("C"),(AC30))))</formula>
    </cfRule>
  </conditionalFormatting>
  <conditionalFormatting sqref="AC30:AC69">
    <cfRule type="containsText" dxfId="5" priority="109" operator="containsText" text="D">
      <formula>NOT(ISERROR(SEARCH(("D"),(AC30))))</formula>
    </cfRule>
  </conditionalFormatting>
  <conditionalFormatting sqref="AD30:AD69">
    <cfRule type="containsText" dxfId="5" priority="110" operator="containsText" text="A">
      <formula>NOT(ISERROR(SEARCH(("A"),(AD30))))</formula>
    </cfRule>
  </conditionalFormatting>
  <conditionalFormatting sqref="AD30:AD69">
    <cfRule type="containsText" dxfId="4" priority="111" operator="containsText" text="B">
      <formula>NOT(ISERROR(SEARCH(("B"),(AD30))))</formula>
    </cfRule>
  </conditionalFormatting>
  <conditionalFormatting sqref="AD30:AD69">
    <cfRule type="containsText" dxfId="5" priority="112" operator="containsText" text="C">
      <formula>NOT(ISERROR(SEARCH(("C"),(AD30))))</formula>
    </cfRule>
  </conditionalFormatting>
  <conditionalFormatting sqref="AD30:AD69">
    <cfRule type="containsText" dxfId="5" priority="113" operator="containsText" text="D">
      <formula>NOT(ISERROR(SEARCH(("D"),(AD30))))</formula>
    </cfRule>
  </conditionalFormatting>
  <conditionalFormatting sqref="AE30:AE69">
    <cfRule type="containsText" dxfId="5" priority="114" operator="containsText" text="A">
      <formula>NOT(ISERROR(SEARCH(("A"),(AE30))))</formula>
    </cfRule>
  </conditionalFormatting>
  <conditionalFormatting sqref="AE30:AE69">
    <cfRule type="containsText" dxfId="4" priority="115" operator="containsText" text="B">
      <formula>NOT(ISERROR(SEARCH(("B"),(AE30))))</formula>
    </cfRule>
  </conditionalFormatting>
  <conditionalFormatting sqref="AE30:AE69">
    <cfRule type="containsText" dxfId="5" priority="116" operator="containsText" text="C">
      <formula>NOT(ISERROR(SEARCH(("C"),(AE30))))</formula>
    </cfRule>
  </conditionalFormatting>
  <conditionalFormatting sqref="AE30:AE69">
    <cfRule type="containsText" dxfId="5" priority="117" operator="containsText" text="D">
      <formula>NOT(ISERROR(SEARCH(("D"),(AE30))))</formula>
    </cfRule>
  </conditionalFormatting>
  <conditionalFormatting sqref="AF30:AF69">
    <cfRule type="containsText" dxfId="5" priority="118" operator="containsText" text="A">
      <formula>NOT(ISERROR(SEARCH(("A"),(AF30))))</formula>
    </cfRule>
  </conditionalFormatting>
  <conditionalFormatting sqref="AF30:AF69">
    <cfRule type="containsText" dxfId="5" priority="119" operator="containsText" text="B">
      <formula>NOT(ISERROR(SEARCH(("B"),(AF30))))</formula>
    </cfRule>
  </conditionalFormatting>
  <conditionalFormatting sqref="AF30:AF69">
    <cfRule type="containsText" dxfId="4" priority="120" operator="containsText" text="C">
      <formula>NOT(ISERROR(SEARCH(("C"),(AF30))))</formula>
    </cfRule>
  </conditionalFormatting>
  <conditionalFormatting sqref="AF30:AF69">
    <cfRule type="containsText" dxfId="5" priority="121" operator="containsText" text="D">
      <formula>NOT(ISERROR(SEARCH(("D"),(AF30))))</formula>
    </cfRule>
  </conditionalFormatting>
  <conditionalFormatting sqref="AG30:AG69">
    <cfRule type="containsText" dxfId="5" priority="122" operator="containsText" text="A">
      <formula>NOT(ISERROR(SEARCH(("A"),(AG30))))</formula>
    </cfRule>
  </conditionalFormatting>
  <conditionalFormatting sqref="AG30:AG69">
    <cfRule type="containsText" dxfId="5" priority="123" operator="containsText" text="B">
      <formula>NOT(ISERROR(SEARCH(("B"),(AG30))))</formula>
    </cfRule>
  </conditionalFormatting>
  <conditionalFormatting sqref="AG30:AG69">
    <cfRule type="containsText" dxfId="4" priority="124" operator="containsText" text="C">
      <formula>NOT(ISERROR(SEARCH(("C"),(AG30))))</formula>
    </cfRule>
  </conditionalFormatting>
  <conditionalFormatting sqref="AG30:AG69">
    <cfRule type="containsText" dxfId="5" priority="125" operator="containsText" text="D">
      <formula>NOT(ISERROR(SEARCH(("D"),(AG30))))</formula>
    </cfRule>
  </conditionalFormatting>
  <conditionalFormatting sqref="AH30:AH69">
    <cfRule type="containsText" dxfId="5" priority="126" operator="containsText" text="A">
      <formula>NOT(ISERROR(SEARCH(("A"),(AH30))))</formula>
    </cfRule>
  </conditionalFormatting>
  <conditionalFormatting sqref="AH30:AH69">
    <cfRule type="containsText" dxfId="5" priority="127" operator="containsText" text="B">
      <formula>NOT(ISERROR(SEARCH(("B"),(AH30))))</formula>
    </cfRule>
  </conditionalFormatting>
  <conditionalFormatting sqref="AH30:AH69">
    <cfRule type="containsText" dxfId="4" priority="128" operator="containsText" text="C">
      <formula>NOT(ISERROR(SEARCH(("C"),(AH30))))</formula>
    </cfRule>
  </conditionalFormatting>
  <conditionalFormatting sqref="AH30:AH69">
    <cfRule type="containsText" dxfId="5" priority="129" operator="containsText" text="D">
      <formula>NOT(ISERROR(SEARCH(("D"),(AH30))))</formula>
    </cfRule>
  </conditionalFormatting>
  <conditionalFormatting sqref="AI30:AI69">
    <cfRule type="containsText" dxfId="5" priority="130" operator="containsText" text="A">
      <formula>NOT(ISERROR(SEARCH(("A"),(AI30))))</formula>
    </cfRule>
  </conditionalFormatting>
  <conditionalFormatting sqref="AI30:AI69">
    <cfRule type="containsText" dxfId="5" priority="131" operator="containsText" text="B">
      <formula>NOT(ISERROR(SEARCH(("B"),(AI30))))</formula>
    </cfRule>
  </conditionalFormatting>
  <conditionalFormatting sqref="AI30:AI69">
    <cfRule type="containsText" dxfId="5" priority="132" operator="containsText" text="C">
      <formula>NOT(ISERROR(SEARCH(("C"),(AI30))))</formula>
    </cfRule>
  </conditionalFormatting>
  <conditionalFormatting sqref="AI30:AI69">
    <cfRule type="containsText" dxfId="4" priority="133" operator="containsText" text="D">
      <formula>NOT(ISERROR(SEARCH(("D"),(AI30))))</formula>
    </cfRule>
  </conditionalFormatting>
  <conditionalFormatting sqref="AJ30:AJ69">
    <cfRule type="containsText" dxfId="5" priority="134" operator="containsText" text="A">
      <formula>NOT(ISERROR(SEARCH(("A"),(AJ30))))</formula>
    </cfRule>
  </conditionalFormatting>
  <conditionalFormatting sqref="AJ30:AJ69">
    <cfRule type="containsText" dxfId="4" priority="135" operator="containsText" text="B">
      <formula>NOT(ISERROR(SEARCH(("B"),(AJ30))))</formula>
    </cfRule>
  </conditionalFormatting>
  <conditionalFormatting sqref="AJ30:AJ69">
    <cfRule type="containsText" dxfId="5" priority="136" operator="containsText" text="C">
      <formula>NOT(ISERROR(SEARCH(("C"),(AJ30))))</formula>
    </cfRule>
  </conditionalFormatting>
  <conditionalFormatting sqref="AJ30:AJ69">
    <cfRule type="containsText" dxfId="5" priority="137" operator="containsText" text="D">
      <formula>NOT(ISERROR(SEARCH(("D"),(AJ30))))</formula>
    </cfRule>
  </conditionalFormatting>
  <conditionalFormatting sqref="AK30:AK69">
    <cfRule type="containsText" dxfId="5" priority="138" operator="containsText" text="A">
      <formula>NOT(ISERROR(SEARCH(("A"),(AK30))))</formula>
    </cfRule>
  </conditionalFormatting>
  <conditionalFormatting sqref="AK30:AK69">
    <cfRule type="containsText" dxfId="5" priority="139" operator="containsText" text="B">
      <formula>NOT(ISERROR(SEARCH(("B"),(AK30))))</formula>
    </cfRule>
  </conditionalFormatting>
  <conditionalFormatting sqref="AK30:AK69">
    <cfRule type="containsText" dxfId="5" priority="140" operator="containsText" text="C">
      <formula>NOT(ISERROR(SEARCH(("C"),(AK30))))</formula>
    </cfRule>
  </conditionalFormatting>
  <conditionalFormatting sqref="AK30:AK69">
    <cfRule type="containsText" dxfId="4" priority="141" operator="containsText" text="D">
      <formula>NOT(ISERROR(SEARCH(("D"),(AK30))))</formula>
    </cfRule>
  </conditionalFormatting>
  <conditionalFormatting sqref="AL30:AL69">
    <cfRule type="containsText" dxfId="4" priority="142" operator="containsText" text="A">
      <formula>NOT(ISERROR(SEARCH(("A"),(AL30))))</formula>
    </cfRule>
  </conditionalFormatting>
  <conditionalFormatting sqref="AL30:AL69">
    <cfRule type="containsText" dxfId="5" priority="143" operator="containsText" text="B">
      <formula>NOT(ISERROR(SEARCH(("B"),(AL30))))</formula>
    </cfRule>
  </conditionalFormatting>
  <conditionalFormatting sqref="AL30:AL69">
    <cfRule type="containsText" dxfId="5" priority="144" operator="containsText" text="C">
      <formula>NOT(ISERROR(SEARCH(("C"),(AL30))))</formula>
    </cfRule>
  </conditionalFormatting>
  <conditionalFormatting sqref="AL30:AL69">
    <cfRule type="containsText" dxfId="5" priority="145" operator="containsText" text="D">
      <formula>NOT(ISERROR(SEARCH(("D"),(AL30))))</formula>
    </cfRule>
  </conditionalFormatting>
  <conditionalFormatting sqref="AM30:AM69">
    <cfRule type="containsText" dxfId="5" priority="146" operator="containsText" text="A">
      <formula>NOT(ISERROR(SEARCH(("A"),(AM30))))</formula>
    </cfRule>
  </conditionalFormatting>
  <conditionalFormatting sqref="AM30:AM69">
    <cfRule type="containsText" dxfId="5" priority="147" operator="containsText" text="B">
      <formula>NOT(ISERROR(SEARCH(("B"),(AM30))))</formula>
    </cfRule>
  </conditionalFormatting>
  <conditionalFormatting sqref="AM30:AM69">
    <cfRule type="containsText" dxfId="4" priority="148" operator="containsText" text="C">
      <formula>NOT(ISERROR(SEARCH(("C"),(AM30))))</formula>
    </cfRule>
  </conditionalFormatting>
  <conditionalFormatting sqref="AM30:AM69">
    <cfRule type="containsText" dxfId="5" priority="149" operator="containsText" text="D">
      <formula>NOT(ISERROR(SEARCH(("D"),(AM30))))</formula>
    </cfRule>
  </conditionalFormatting>
  <conditionalFormatting sqref="AN30:AN69">
    <cfRule type="containsText" dxfId="5" priority="150" operator="containsText" text="A">
      <formula>NOT(ISERROR(SEARCH(("A"),(AN30))))</formula>
    </cfRule>
  </conditionalFormatting>
  <conditionalFormatting sqref="AN30:AN69">
    <cfRule type="containsText" dxfId="4" priority="151" operator="containsText" text="B">
      <formula>NOT(ISERROR(SEARCH(("B"),(AN30))))</formula>
    </cfRule>
  </conditionalFormatting>
  <conditionalFormatting sqref="AN30:AN69">
    <cfRule type="containsText" dxfId="5" priority="152" operator="containsText" text="C">
      <formula>NOT(ISERROR(SEARCH(("C"),(AN30))))</formula>
    </cfRule>
  </conditionalFormatting>
  <conditionalFormatting sqref="AN30:AN69">
    <cfRule type="containsText" dxfId="5" priority="153" operator="containsText" text="D">
      <formula>NOT(ISERROR(SEARCH(("D"),(AN30))))</formula>
    </cfRule>
  </conditionalFormatting>
  <conditionalFormatting sqref="AO30:AO69">
    <cfRule type="containsText" dxfId="5" priority="154" operator="containsText" text="A">
      <formula>NOT(ISERROR(SEARCH(("A"),(AO30))))</formula>
    </cfRule>
  </conditionalFormatting>
  <conditionalFormatting sqref="AO30:AO69">
    <cfRule type="containsText" dxfId="5" priority="155" operator="containsText" text="B">
      <formula>NOT(ISERROR(SEARCH(("B"),(AO30))))</formula>
    </cfRule>
  </conditionalFormatting>
  <conditionalFormatting sqref="AO30:AO69">
    <cfRule type="containsText" dxfId="5" priority="156" operator="containsText" text="C">
      <formula>NOT(ISERROR(SEARCH(("C"),(AO30))))</formula>
    </cfRule>
  </conditionalFormatting>
  <conditionalFormatting sqref="AO30:AO69">
    <cfRule type="containsText" dxfId="4" priority="157" operator="containsText" text="D">
      <formula>NOT(ISERROR(SEARCH(("D"),(AO30))))</formula>
    </cfRule>
  </conditionalFormatting>
  <conditionalFormatting sqref="AP30:AP69">
    <cfRule type="containsText" dxfId="5" priority="158" operator="containsText" text="A">
      <formula>NOT(ISERROR(SEARCH(("A"),(AP30))))</formula>
    </cfRule>
  </conditionalFormatting>
  <conditionalFormatting sqref="AP30:AP69">
    <cfRule type="containsText" dxfId="4" priority="159" operator="containsText" text="B">
      <formula>NOT(ISERROR(SEARCH(("B"),(AP30))))</formula>
    </cfRule>
  </conditionalFormatting>
  <conditionalFormatting sqref="AP30:AP69">
    <cfRule type="containsText" dxfId="5" priority="160" operator="containsText" text="C">
      <formula>NOT(ISERROR(SEARCH(("C"),(AP30))))</formula>
    </cfRule>
  </conditionalFormatting>
  <conditionalFormatting sqref="AP30:AP69">
    <cfRule type="containsText" dxfId="5" priority="161" operator="containsText" text="D">
      <formula>NOT(ISERROR(SEARCH(("D"),(AP30))))</formula>
    </cfRule>
  </conditionalFormatting>
  <conditionalFormatting sqref="AQ30:AQ69">
    <cfRule type="containsText" dxfId="5" priority="162" operator="containsText" text="A">
      <formula>NOT(ISERROR(SEARCH(("A"),(AQ30))))</formula>
    </cfRule>
  </conditionalFormatting>
  <conditionalFormatting sqref="AQ30:AQ69">
    <cfRule type="containsText" dxfId="5" priority="163" operator="containsText" text="B">
      <formula>NOT(ISERROR(SEARCH(("B"),(AQ30))))</formula>
    </cfRule>
  </conditionalFormatting>
  <conditionalFormatting sqref="AQ30:AQ69">
    <cfRule type="containsText" dxfId="4" priority="164" operator="containsText" text="C">
      <formula>NOT(ISERROR(SEARCH(("C"),(AQ30))))</formula>
    </cfRule>
  </conditionalFormatting>
  <conditionalFormatting sqref="AQ30:AQ69">
    <cfRule type="containsText" dxfId="5" priority="165" operator="containsText" text="D">
      <formula>NOT(ISERROR(SEARCH(("D"),(AQ30))))</formula>
    </cfRule>
  </conditionalFormatting>
  <conditionalFormatting sqref="AR30:AR69">
    <cfRule type="containsText" dxfId="4" priority="166" operator="containsText" text="A">
      <formula>NOT(ISERROR(SEARCH(("A"),(AR30))))</formula>
    </cfRule>
  </conditionalFormatting>
  <conditionalFormatting sqref="AR30:AR69">
    <cfRule type="containsText" dxfId="5" priority="167" operator="containsText" text="B">
      <formula>NOT(ISERROR(SEARCH(("B"),(AR30))))</formula>
    </cfRule>
  </conditionalFormatting>
  <conditionalFormatting sqref="AR30:AR69">
    <cfRule type="containsText" dxfId="5" priority="168" operator="containsText" text="C">
      <formula>NOT(ISERROR(SEARCH(("C"),(AR30))))</formula>
    </cfRule>
  </conditionalFormatting>
  <conditionalFormatting sqref="AR30:AR69">
    <cfRule type="containsText" dxfId="5" priority="169" operator="containsText" text="D">
      <formula>NOT(ISERROR(SEARCH(("D"),(AR30))))</formula>
    </cfRule>
  </conditionalFormatting>
  <conditionalFormatting sqref="AS30:AS69">
    <cfRule type="containsText" dxfId="5" priority="170" operator="containsText" text="A">
      <formula>NOT(ISERROR(SEARCH(("A"),(AS30))))</formula>
    </cfRule>
  </conditionalFormatting>
  <conditionalFormatting sqref="AS30:AS69">
    <cfRule type="containsText" dxfId="4" priority="171" operator="containsText" text="B">
      <formula>NOT(ISERROR(SEARCH(("B"),(AS30))))</formula>
    </cfRule>
  </conditionalFormatting>
  <conditionalFormatting sqref="AS30:AS69">
    <cfRule type="containsText" dxfId="5" priority="172" operator="containsText" text="C">
      <formula>NOT(ISERROR(SEARCH(("C"),(AS30))))</formula>
    </cfRule>
  </conditionalFormatting>
  <conditionalFormatting sqref="AS30:AS69">
    <cfRule type="containsText" dxfId="5" priority="173" operator="containsText" text="D">
      <formula>NOT(ISERROR(SEARCH(("D"),(AS30))))</formula>
    </cfRule>
  </conditionalFormatting>
  <conditionalFormatting sqref="AT30:AT69">
    <cfRule type="containsText" dxfId="5" priority="174" operator="containsText" text="A">
      <formula>NOT(ISERROR(SEARCH(("A"),(AT30))))</formula>
    </cfRule>
  </conditionalFormatting>
  <conditionalFormatting sqref="AT30:AT69">
    <cfRule type="containsText" dxfId="5" priority="175" operator="containsText" text="B">
      <formula>NOT(ISERROR(SEARCH(("B"),(AT30))))</formula>
    </cfRule>
  </conditionalFormatting>
  <conditionalFormatting sqref="AT30:AT69">
    <cfRule type="containsText" dxfId="4" priority="176" operator="containsText" text="C">
      <formula>NOT(ISERROR(SEARCH(("C"),(AT30))))</formula>
    </cfRule>
  </conditionalFormatting>
  <conditionalFormatting sqref="AT30:AT69">
    <cfRule type="containsText" dxfId="5" priority="177" operator="containsText" text="D">
      <formula>NOT(ISERROR(SEARCH(("D"),(AT30))))</formula>
    </cfRule>
  </conditionalFormatting>
  <conditionalFormatting sqref="AU30:AU69">
    <cfRule type="containsText" dxfId="5" priority="178" operator="containsText" text="A">
      <formula>NOT(ISERROR(SEARCH(("A"),(AU30))))</formula>
    </cfRule>
  </conditionalFormatting>
  <conditionalFormatting sqref="AU30:AU69">
    <cfRule type="containsText" dxfId="5" priority="179" operator="containsText" text="B">
      <formula>NOT(ISERROR(SEARCH(("B"),(AU30))))</formula>
    </cfRule>
  </conditionalFormatting>
  <conditionalFormatting sqref="AU30:AU69">
    <cfRule type="containsText" dxfId="5" priority="180" operator="containsText" text="C">
      <formula>NOT(ISERROR(SEARCH(("C"),(AU30))))</formula>
    </cfRule>
  </conditionalFormatting>
  <conditionalFormatting sqref="AU30:AU69">
    <cfRule type="containsText" dxfId="4" priority="181" operator="containsText" text="D">
      <formula>NOT(ISERROR(SEARCH(("D"),(AU30))))</formula>
    </cfRule>
  </conditionalFormatting>
  <conditionalFormatting sqref="AV30:AV69">
    <cfRule type="containsText" dxfId="5" priority="182" operator="containsText" text="A">
      <formula>NOT(ISERROR(SEARCH(("A"),(AV30))))</formula>
    </cfRule>
  </conditionalFormatting>
  <conditionalFormatting sqref="AV30:AV69">
    <cfRule type="containsText" dxfId="5" priority="183" operator="containsText" text="B">
      <formula>NOT(ISERROR(SEARCH(("B"),(AV30))))</formula>
    </cfRule>
  </conditionalFormatting>
  <conditionalFormatting sqref="AV30:AV69">
    <cfRule type="containsText" dxfId="5" priority="184" operator="containsText" text="C">
      <formula>NOT(ISERROR(SEARCH(("C"),(AV30))))</formula>
    </cfRule>
  </conditionalFormatting>
  <conditionalFormatting sqref="AV30:AV69">
    <cfRule type="containsText" dxfId="4" priority="185" operator="containsText" text="D">
      <formula>NOT(ISERROR(SEARCH(("D"),(AV30))))</formula>
    </cfRule>
  </conditionalFormatting>
  <conditionalFormatting sqref="AW30:AW69">
    <cfRule type="containsText" dxfId="5" priority="186" operator="containsText" text="A">
      <formula>NOT(ISERROR(SEARCH(("A"),(AW30))))</formula>
    </cfRule>
  </conditionalFormatting>
  <conditionalFormatting sqref="AW30:AW69">
    <cfRule type="containsText" dxfId="5" priority="187" operator="containsText" text="B">
      <formula>NOT(ISERROR(SEARCH(("B"),(AW30))))</formula>
    </cfRule>
  </conditionalFormatting>
  <conditionalFormatting sqref="AW30:AW69">
    <cfRule type="containsText" dxfId="4" priority="188" operator="containsText" text="C">
      <formula>NOT(ISERROR(SEARCH(("C"),(AW30))))</formula>
    </cfRule>
  </conditionalFormatting>
  <conditionalFormatting sqref="AW30:AW69">
    <cfRule type="containsText" dxfId="5" priority="189" operator="containsText" text="D">
      <formula>NOT(ISERROR(SEARCH(("D"),(AW30))))</formula>
    </cfRule>
  </conditionalFormatting>
  <conditionalFormatting sqref="AX30:AX69">
    <cfRule type="containsText" dxfId="5" priority="190" operator="containsText" text="A">
      <formula>NOT(ISERROR(SEARCH(("A"),(AX30))))</formula>
    </cfRule>
  </conditionalFormatting>
  <conditionalFormatting sqref="AX30:AX69">
    <cfRule type="containsText" dxfId="4" priority="191" operator="containsText" text="B">
      <formula>NOT(ISERROR(SEARCH(("B"),(AX30))))</formula>
    </cfRule>
  </conditionalFormatting>
  <conditionalFormatting sqref="AX30:AX69">
    <cfRule type="containsText" dxfId="5" priority="192" operator="containsText" text="C">
      <formula>NOT(ISERROR(SEARCH(("C"),(AX30))))</formula>
    </cfRule>
  </conditionalFormatting>
  <conditionalFormatting sqref="AX30:AX69">
    <cfRule type="containsText" dxfId="5" priority="193" operator="containsText" text="D">
      <formula>NOT(ISERROR(SEARCH(("D"),(AX30))))</formula>
    </cfRule>
  </conditionalFormatting>
  <conditionalFormatting sqref="AY30:AY68">
    <cfRule type="containsText" dxfId="5" priority="194" operator="containsText" text="A">
      <formula>NOT(ISERROR(SEARCH(("A"),(AY30))))</formula>
    </cfRule>
  </conditionalFormatting>
  <conditionalFormatting sqref="AY30:AY68">
    <cfRule type="containsText" dxfId="4" priority="195" operator="containsText" text="B">
      <formula>NOT(ISERROR(SEARCH(("B"),(AY30))))</formula>
    </cfRule>
  </conditionalFormatting>
  <conditionalFormatting sqref="AY30:AY68">
    <cfRule type="containsText" dxfId="5" priority="196" operator="containsText" text="C">
      <formula>NOT(ISERROR(SEARCH(("C"),(AY30))))</formula>
    </cfRule>
  </conditionalFormatting>
  <conditionalFormatting sqref="AY30:AY68">
    <cfRule type="containsText" dxfId="5" priority="197" operator="containsText" text="D">
      <formula>NOT(ISERROR(SEARCH(("D"),(AY30))))</formula>
    </cfRule>
  </conditionalFormatting>
  <conditionalFormatting sqref="AZ30:AZ69">
    <cfRule type="containsText" dxfId="5" priority="198" operator="containsText" text="A">
      <formula>NOT(ISERROR(SEARCH(("A"),(AZ30))))</formula>
    </cfRule>
  </conditionalFormatting>
  <conditionalFormatting sqref="AZ30:AZ69">
    <cfRule type="containsText" dxfId="5" priority="199" operator="containsText" text="B">
      <formula>NOT(ISERROR(SEARCH(("B"),(AZ30))))</formula>
    </cfRule>
  </conditionalFormatting>
  <conditionalFormatting sqref="AZ30:AZ69">
    <cfRule type="containsText" dxfId="5" priority="200" operator="containsText" text="C">
      <formula>NOT(ISERROR(SEARCH(("C"),(AZ30))))</formula>
    </cfRule>
  </conditionalFormatting>
  <conditionalFormatting sqref="AZ30:AZ69">
    <cfRule type="containsText" dxfId="4" priority="201" operator="containsText" text="D">
      <formula>NOT(ISERROR(SEARCH(("D"),(AZ30))))</formula>
    </cfRule>
  </conditionalFormatting>
  <conditionalFormatting sqref="BA30:BA69">
    <cfRule type="containsText" dxfId="5" priority="202" operator="containsText" text="A">
      <formula>NOT(ISERROR(SEARCH(("A"),(BA30))))</formula>
    </cfRule>
  </conditionalFormatting>
  <conditionalFormatting sqref="BA30:BA69">
    <cfRule type="containsText" dxfId="5" priority="203" operator="containsText" text="B">
      <formula>NOT(ISERROR(SEARCH(("B"),(BA30))))</formula>
    </cfRule>
  </conditionalFormatting>
  <conditionalFormatting sqref="BA30:BA69">
    <cfRule type="containsText" dxfId="4" priority="204" operator="containsText" text="C">
      <formula>NOT(ISERROR(SEARCH(("C"),(BA30))))</formula>
    </cfRule>
  </conditionalFormatting>
  <conditionalFormatting sqref="BA30:BA69">
    <cfRule type="containsText" dxfId="5" priority="205" operator="containsText" text="D">
      <formula>NOT(ISERROR(SEARCH(("D"),(BA30))))</formula>
    </cfRule>
  </conditionalFormatting>
  <conditionalFormatting sqref="BB30:BB69">
    <cfRule type="containsText" dxfId="5" priority="206" operator="containsText" text="A">
      <formula>NOT(ISERROR(SEARCH(("A"),(BB30))))</formula>
    </cfRule>
  </conditionalFormatting>
  <conditionalFormatting sqref="BB30:BB69">
    <cfRule type="containsText" dxfId="5" priority="207" operator="containsText" text="B">
      <formula>NOT(ISERROR(SEARCH(("B"),(BB30))))</formula>
    </cfRule>
  </conditionalFormatting>
  <conditionalFormatting sqref="BB30:BB69">
    <cfRule type="containsText" dxfId="5" priority="208" operator="containsText" text="C">
      <formula>NOT(ISERROR(SEARCH(("C"),(BB30))))</formula>
    </cfRule>
  </conditionalFormatting>
  <conditionalFormatting sqref="BB30:BB69">
    <cfRule type="containsText" dxfId="4" priority="209" operator="containsText" text="D">
      <formula>NOT(ISERROR(SEARCH(("D"),(BB30))))</formula>
    </cfRule>
  </conditionalFormatting>
  <conditionalFormatting sqref="BD30:BH69">
    <cfRule type="containsBlanks" dxfId="6" priority="210">
      <formula>LEN(TRIM(BD30))=0</formula>
    </cfRule>
  </conditionalFormatting>
  <conditionalFormatting sqref="BJ30:BJ69">
    <cfRule type="containsBlanks" dxfId="6" priority="211">
      <formula>LEN(TRIM(BJ30))=0</formula>
    </cfRule>
  </conditionalFormatting>
  <conditionalFormatting sqref="K30:K69">
    <cfRule type="containsText" dxfId="4" priority="212" operator="containsText" text="A">
      <formula>NOT(ISERROR(SEARCH(("A"),(K30))))</formula>
    </cfRule>
  </conditionalFormatting>
  <conditionalFormatting sqref="K30:K69">
    <cfRule type="containsText" dxfId="5" priority="213" operator="containsText" text="B">
      <formula>NOT(ISERROR(SEARCH(("B"),(K30))))</formula>
    </cfRule>
  </conditionalFormatting>
  <conditionalFormatting sqref="K30:K69">
    <cfRule type="containsText" dxfId="5" priority="214" operator="containsText" text="C">
      <formula>NOT(ISERROR(SEARCH(("C"),(K30))))</formula>
    </cfRule>
  </conditionalFormatting>
  <conditionalFormatting sqref="K30:K69">
    <cfRule type="containsText" dxfId="5" priority="215" operator="containsText" text="D">
      <formula>NOT(ISERROR(SEARCH(("D"),(K30))))</formula>
    </cfRule>
  </conditionalFormatting>
  <conditionalFormatting sqref="D30:D69">
    <cfRule type="containsText" dxfId="4" priority="216" operator="containsText" text="A">
      <formula>NOT(ISERROR(SEARCH(("A"),(D30))))</formula>
    </cfRule>
  </conditionalFormatting>
  <conditionalFormatting sqref="D30:D69">
    <cfRule type="containsText" dxfId="5" priority="217" operator="containsText" text="B">
      <formula>NOT(ISERROR(SEARCH(("B"),(D30))))</formula>
    </cfRule>
  </conditionalFormatting>
  <conditionalFormatting sqref="D30:D69">
    <cfRule type="containsText" dxfId="5" priority="218" operator="containsText" text="C">
      <formula>NOT(ISERROR(SEARCH(("C"),(D30))))</formula>
    </cfRule>
  </conditionalFormatting>
  <conditionalFormatting sqref="D30:D69">
    <cfRule type="containsText" dxfId="5" priority="219" operator="containsText" text="D">
      <formula>NOT(ISERROR(SEARCH(("D"),(D30))))</formula>
    </cfRule>
  </conditionalFormatting>
  <conditionalFormatting sqref="E30:E69">
    <cfRule type="containsText" dxfId="4" priority="220" operator="containsText" text="A">
      <formula>NOT(ISERROR(SEARCH(("A"),(E30))))</formula>
    </cfRule>
  </conditionalFormatting>
  <conditionalFormatting sqref="E30:E69">
    <cfRule type="containsText" dxfId="5" priority="221" operator="containsText" text="B">
      <formula>NOT(ISERROR(SEARCH(("B"),(E30))))</formula>
    </cfRule>
  </conditionalFormatting>
  <conditionalFormatting sqref="E30:E69">
    <cfRule type="containsText" dxfId="5" priority="222" operator="containsText" text="C">
      <formula>NOT(ISERROR(SEARCH(("C"),(E30))))</formula>
    </cfRule>
  </conditionalFormatting>
  <conditionalFormatting sqref="E30:E69">
    <cfRule type="containsText" dxfId="5" priority="223" operator="containsText" text="D">
      <formula>NOT(ISERROR(SEARCH(("D"),(E30))))</formula>
    </cfRule>
  </conditionalFormatting>
  <hyperlinks>
    <hyperlink r:id="rId1" ref="A22"/>
  </hyperlinks>
  <printOptions gridLines="1" horizontalCentered="1"/>
  <pageMargins bottom="0.75" footer="0.0" header="0.0" left="0.7" right="0.7" top="0.75"/>
  <pageSetup fitToHeight="0" paperSize="9" cellComments="atEnd" orientation="portrait" pageOrder="overThenDown"/>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54" width="4.75"/>
    <col customWidth="1" min="55" max="55" width="2.88"/>
    <col customWidth="1" min="56" max="57" width="4.13"/>
    <col customWidth="1" min="58" max="58" width="4.25"/>
    <col customWidth="1" min="59" max="59" width="4.63"/>
    <col customWidth="1" min="60" max="60" width="4.75"/>
    <col customWidth="1" min="61" max="61" width="4.25"/>
    <col customWidth="1" min="62" max="62" width="14.13"/>
    <col customWidth="1" min="63" max="63" width="1.88"/>
    <col customWidth="1" min="64" max="64" width="5.25"/>
    <col customWidth="1" min="65" max="65" width="5.0"/>
    <col customWidth="1" min="66" max="66" width="14.13"/>
    <col customWidth="1" min="67" max="67" width="5.13"/>
    <col customWidth="1" min="68" max="68" width="4.75"/>
    <col customWidth="1" min="69" max="69" width="15.75"/>
    <col customWidth="1" min="70" max="70"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c r="BL1" s="3"/>
      <c r="BM1" s="3"/>
      <c r="BN1" s="3"/>
      <c r="BO1" s="3"/>
      <c r="BP1" s="3"/>
      <c r="BQ1" s="3"/>
      <c r="BR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c r="BL2" s="3"/>
      <c r="BM2" s="3"/>
      <c r="BN2" s="3"/>
      <c r="BO2" s="3"/>
      <c r="BP2" s="3"/>
      <c r="BQ2" s="3"/>
      <c r="BR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c r="BL3" s="3"/>
      <c r="BM3" s="3"/>
      <c r="BN3" s="3"/>
      <c r="BO3" s="3"/>
      <c r="BP3" s="3"/>
      <c r="BQ3" s="3"/>
      <c r="BR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c r="BL4" s="3"/>
      <c r="BM4" s="3"/>
      <c r="BN4" s="3"/>
      <c r="BO4" s="3"/>
      <c r="BP4" s="3"/>
      <c r="BQ4" s="3"/>
      <c r="BR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c r="BL5" s="3"/>
      <c r="BM5" s="3"/>
      <c r="BN5" s="3"/>
      <c r="BO5" s="3"/>
      <c r="BP5" s="3"/>
      <c r="BQ5" s="3"/>
      <c r="BR5" s="3"/>
    </row>
    <row r="6" ht="25.5" customHeight="1">
      <c r="A6" s="1"/>
      <c r="B6" s="1"/>
      <c r="C6" s="1"/>
      <c r="D6" s="5" t="s">
        <v>0</v>
      </c>
      <c r="BF6" s="4"/>
      <c r="BG6" s="4"/>
      <c r="BH6" s="4"/>
      <c r="BI6" s="3"/>
      <c r="BJ6" s="3"/>
      <c r="BK6" s="3"/>
      <c r="BL6" s="3"/>
      <c r="BM6" s="3"/>
      <c r="BN6" s="3"/>
      <c r="BO6" s="3"/>
      <c r="BP6" s="3"/>
      <c r="BQ6" s="3"/>
      <c r="BR6" s="3"/>
    </row>
    <row r="7" ht="25.5" customHeight="1">
      <c r="A7" s="1"/>
      <c r="B7" s="1"/>
      <c r="C7" s="1"/>
      <c r="BF7" s="4"/>
      <c r="BG7" s="4"/>
      <c r="BH7" s="4"/>
      <c r="BI7" s="3"/>
      <c r="BJ7" s="3"/>
      <c r="BK7" s="3"/>
      <c r="BL7" s="3"/>
      <c r="BM7" s="3"/>
      <c r="BN7" s="3"/>
      <c r="BO7" s="3"/>
      <c r="BP7" s="3"/>
      <c r="BQ7" s="3"/>
      <c r="BR7" s="3"/>
    </row>
    <row r="8" ht="25.5" customHeight="1">
      <c r="A8" s="1"/>
      <c r="B8" s="1"/>
      <c r="C8" s="1"/>
      <c r="BF8" s="4"/>
      <c r="BG8" s="4"/>
      <c r="BH8" s="4"/>
      <c r="BI8" s="3"/>
      <c r="BJ8" s="3"/>
      <c r="BK8" s="3"/>
      <c r="BL8" s="3"/>
      <c r="BM8" s="3"/>
      <c r="BN8" s="3"/>
      <c r="BO8" s="3"/>
      <c r="BP8" s="3"/>
      <c r="BQ8" s="3"/>
      <c r="BR8" s="3"/>
    </row>
    <row r="9" ht="25.5" customHeight="1">
      <c r="A9" s="1"/>
      <c r="B9" s="1"/>
      <c r="C9" s="1"/>
      <c r="D9" s="6" t="s">
        <v>1</v>
      </c>
      <c r="BF9" s="4"/>
      <c r="BG9" s="4"/>
      <c r="BH9" s="4"/>
      <c r="BI9" s="3"/>
      <c r="BJ9" s="3"/>
      <c r="BK9" s="3"/>
      <c r="BL9" s="3"/>
      <c r="BM9" s="3"/>
      <c r="BN9" s="3"/>
      <c r="BO9" s="3"/>
      <c r="BP9" s="3"/>
      <c r="BQ9" s="3"/>
      <c r="BR9" s="3"/>
    </row>
    <row r="10" ht="25.5" customHeight="1">
      <c r="A10" s="1"/>
      <c r="B10" s="1"/>
      <c r="C10" s="1"/>
      <c r="BF10" s="4"/>
      <c r="BG10" s="4"/>
      <c r="BH10" s="4"/>
      <c r="BI10" s="3"/>
      <c r="BJ10" s="3"/>
      <c r="BK10" s="3"/>
      <c r="BL10" s="3"/>
      <c r="BM10" s="3"/>
      <c r="BN10" s="3"/>
      <c r="BO10" s="3"/>
      <c r="BP10" s="3"/>
      <c r="BQ10" s="3"/>
      <c r="BR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c r="BL11" s="3"/>
      <c r="BM11" s="3"/>
      <c r="BN11" s="3"/>
      <c r="BO11" s="3"/>
      <c r="BP11" s="3"/>
      <c r="BQ11" s="3"/>
      <c r="BR11" s="3"/>
    </row>
    <row r="12" ht="25.5" customHeight="1">
      <c r="A12" s="1"/>
      <c r="B12" s="1"/>
      <c r="C12" s="1"/>
      <c r="D12" s="8" t="s">
        <v>2</v>
      </c>
      <c r="BF12" s="4"/>
      <c r="BG12" s="4"/>
      <c r="BH12" s="4"/>
      <c r="BI12" s="3"/>
      <c r="BJ12" s="3"/>
      <c r="BK12" s="3"/>
      <c r="BL12" s="3"/>
      <c r="BM12" s="3"/>
      <c r="BN12" s="3"/>
      <c r="BO12" s="3"/>
      <c r="BP12" s="3"/>
      <c r="BQ12" s="3"/>
      <c r="BR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D13" s="3"/>
      <c r="BE13" s="3"/>
      <c r="BF13" s="3"/>
      <c r="BG13" s="3"/>
      <c r="BH13" s="3"/>
      <c r="BI13" s="3"/>
      <c r="BJ13" s="4"/>
      <c r="BK13" s="4"/>
      <c r="BL13" s="4"/>
      <c r="BM13" s="4"/>
      <c r="BN13" s="4"/>
      <c r="BO13" s="4"/>
      <c r="BP13" s="4"/>
      <c r="BQ13" s="3"/>
      <c r="BR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D14" s="3"/>
      <c r="BE14" s="3"/>
      <c r="BF14" s="3"/>
      <c r="BG14" s="3"/>
      <c r="BH14" s="3"/>
      <c r="BI14" s="3"/>
      <c r="BJ14" s="4"/>
      <c r="BK14" s="4"/>
      <c r="BL14" s="4"/>
      <c r="BM14" s="4"/>
      <c r="BN14" s="4"/>
      <c r="BO14" s="4"/>
      <c r="BP14" s="4"/>
      <c r="BQ14" s="3"/>
      <c r="BR14" s="3"/>
    </row>
    <row r="15" ht="25.5" customHeight="1">
      <c r="A15" s="15" t="s">
        <v>116</v>
      </c>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D15" s="3"/>
      <c r="BE15" s="3"/>
      <c r="BF15" s="3"/>
      <c r="BG15" s="3"/>
      <c r="BH15" s="3"/>
      <c r="BI15" s="3"/>
      <c r="BJ15" s="4"/>
      <c r="BK15" s="4"/>
      <c r="BL15" s="4"/>
      <c r="BM15" s="4"/>
      <c r="BN15" s="4"/>
      <c r="BO15" s="4"/>
      <c r="BP15" s="4"/>
      <c r="BQ15" s="3"/>
      <c r="BR15" s="3"/>
    </row>
    <row r="16" ht="25.5" customHeight="1">
      <c r="A16" s="13"/>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D16" s="3"/>
      <c r="BE16" s="3"/>
      <c r="BF16" s="3"/>
      <c r="BG16" s="3"/>
      <c r="BH16" s="3"/>
      <c r="BI16" s="3"/>
      <c r="BJ16" s="4"/>
      <c r="BK16" s="4"/>
      <c r="BL16" s="4"/>
      <c r="BM16" s="4"/>
      <c r="BN16" s="4"/>
      <c r="BO16" s="4"/>
      <c r="BP16" s="4"/>
      <c r="BQ16" s="3"/>
      <c r="BR16" s="3"/>
    </row>
    <row r="17" ht="21.0" customHeight="1">
      <c r="A17" s="16" t="s">
        <v>4</v>
      </c>
      <c r="C17" s="18">
        <f>COUNTA(B30:B69)</f>
        <v>31</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D17" s="3"/>
      <c r="BE17" s="3"/>
      <c r="BF17" s="3"/>
      <c r="BG17" s="3"/>
      <c r="BH17" s="3"/>
      <c r="BI17" s="3"/>
      <c r="BJ17" s="4"/>
      <c r="BK17" s="4"/>
      <c r="BL17" s="4"/>
      <c r="BM17" s="4"/>
      <c r="BN17" s="4"/>
      <c r="BO17" s="4"/>
      <c r="BP17" s="4"/>
      <c r="BQ17" s="3"/>
      <c r="BR17" s="3"/>
    </row>
    <row r="18" ht="21.75" customHeight="1">
      <c r="A18" s="16" t="s">
        <v>5</v>
      </c>
      <c r="C18" s="18">
        <f>SUMPRODUCT(LEN(D30:D69) - LEN(SUBSTITUTE(SUBSTITUTE(SUBSTITUTE(SUBSTITUTE(SUBSTITUTE(D30:D69,"A",""),"B",""),"C",""),"D",""),"X","")))</f>
        <v>25</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D18" s="3"/>
      <c r="BE18" s="3"/>
      <c r="BF18" s="3"/>
      <c r="BG18" s="3"/>
      <c r="BH18" s="3"/>
      <c r="BI18" s="3"/>
      <c r="BJ18" s="4"/>
      <c r="BK18" s="4"/>
      <c r="BL18" s="4"/>
      <c r="BM18" s="4"/>
      <c r="BN18" s="4"/>
      <c r="BO18" s="4"/>
      <c r="BP18" s="4"/>
      <c r="BQ18" s="3"/>
      <c r="BR18" s="3"/>
    </row>
    <row r="19" ht="21.0" customHeight="1">
      <c r="A19" s="16" t="s">
        <v>6</v>
      </c>
      <c r="C19" s="18">
        <f>COUNTIF(D30:D69,"F")</f>
        <v>6</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D19" s="3"/>
      <c r="BE19" s="3"/>
      <c r="BF19" s="3"/>
      <c r="BG19" s="3"/>
      <c r="BH19" s="3"/>
      <c r="BI19" s="3"/>
      <c r="BJ19" s="4"/>
      <c r="BK19" s="4"/>
      <c r="BL19" s="4"/>
      <c r="BM19" s="4"/>
      <c r="BN19" s="4"/>
      <c r="BO19" s="4"/>
      <c r="BP19" s="4"/>
      <c r="BQ19" s="3"/>
      <c r="BR19" s="3"/>
    </row>
    <row r="20" ht="24.0" customHeight="1">
      <c r="A20" s="16" t="s">
        <v>7</v>
      </c>
      <c r="C20" s="18">
        <f>COUNTIF(C30:C69,"SIM")</f>
        <v>0</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D20" s="3"/>
      <c r="BE20" s="3"/>
      <c r="BF20" s="3"/>
      <c r="BG20" s="3"/>
      <c r="BH20" s="3"/>
      <c r="BI20" s="3"/>
      <c r="BJ20" s="4"/>
      <c r="BK20" s="4"/>
      <c r="BL20" s="4"/>
      <c r="BM20" s="4"/>
      <c r="BN20" s="4"/>
      <c r="BO20" s="4"/>
      <c r="BP20" s="4"/>
      <c r="BQ20" s="3"/>
      <c r="BR20" s="3"/>
    </row>
    <row r="21" ht="24.0" customHeight="1">
      <c r="A21" s="16"/>
      <c r="B21" s="19"/>
      <c r="C21" s="21"/>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D21" s="3"/>
      <c r="BE21" s="3"/>
      <c r="BF21" s="3"/>
      <c r="BG21" s="3"/>
      <c r="BH21" s="3"/>
      <c r="BI21" s="3"/>
      <c r="BJ21" s="4"/>
      <c r="BK21" s="4"/>
      <c r="BL21" s="4"/>
      <c r="BM21" s="4"/>
      <c r="BN21" s="4"/>
      <c r="BO21" s="4"/>
      <c r="BP21" s="4"/>
      <c r="BQ21" s="3"/>
      <c r="BR21" s="3"/>
    </row>
    <row r="22" ht="42.0" customHeight="1">
      <c r="A22" s="228" t="s">
        <v>8</v>
      </c>
      <c r="C22" s="14"/>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D22" s="3"/>
      <c r="BE22" s="3"/>
      <c r="BF22" s="3"/>
      <c r="BG22" s="3"/>
      <c r="BH22" s="3"/>
      <c r="BI22" s="3"/>
      <c r="BJ22" s="4"/>
      <c r="BK22" s="4"/>
      <c r="BL22" s="4"/>
      <c r="BM22" s="4"/>
      <c r="BN22" s="4"/>
      <c r="BO22" s="4"/>
      <c r="BP22" s="4"/>
      <c r="BQ22" s="3"/>
      <c r="BR22" s="3"/>
    </row>
    <row r="23" ht="18.75" customHeight="1">
      <c r="A23" s="229"/>
      <c r="B23" s="224"/>
      <c r="C23" s="231"/>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D23" s="3"/>
      <c r="BE23" s="3"/>
      <c r="BF23" s="3"/>
      <c r="BG23" s="3"/>
      <c r="BH23" s="3"/>
      <c r="BI23" s="3"/>
      <c r="BJ23" s="4"/>
      <c r="BK23" s="4"/>
      <c r="BL23" s="4"/>
      <c r="BM23" s="4"/>
      <c r="BN23" s="4"/>
      <c r="BO23" s="4"/>
      <c r="BP23" s="4"/>
      <c r="BQ23" s="3"/>
      <c r="BR23" s="3"/>
    </row>
    <row r="24" ht="139.5"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D24" s="3"/>
      <c r="BE24" s="3"/>
      <c r="BF24" s="3"/>
      <c r="BG24" s="3"/>
      <c r="BH24" s="3"/>
      <c r="BI24" s="3"/>
      <c r="BJ24" s="4"/>
      <c r="BK24" s="4"/>
      <c r="BL24" s="4"/>
      <c r="BM24" s="4"/>
      <c r="BN24" s="4"/>
      <c r="BO24" s="4"/>
      <c r="BP24" s="4"/>
      <c r="BQ24" s="3"/>
      <c r="BR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41"/>
      <c r="BK25" s="236"/>
      <c r="BL25" s="342" t="s">
        <v>155</v>
      </c>
      <c r="BR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29"/>
      <c r="Y26" s="29"/>
      <c r="Z26" s="29"/>
      <c r="AA26" s="29"/>
      <c r="AB26" s="41"/>
      <c r="AC26" s="42" t="s">
        <v>17</v>
      </c>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41"/>
      <c r="BD26" s="346" t="s">
        <v>89</v>
      </c>
      <c r="BK26" s="347"/>
      <c r="BL26" s="348" t="s">
        <v>158</v>
      </c>
      <c r="BN26" s="349"/>
      <c r="BO26" s="350" t="s">
        <v>17</v>
      </c>
      <c r="BR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8" t="s">
        <v>38</v>
      </c>
      <c r="Y27" s="48" t="s">
        <v>40</v>
      </c>
      <c r="Z27" s="48" t="s">
        <v>110</v>
      </c>
      <c r="AA27" s="48" t="s">
        <v>111</v>
      </c>
      <c r="AB27" s="239" t="s">
        <v>112</v>
      </c>
      <c r="AC27" s="50" t="s">
        <v>450</v>
      </c>
      <c r="AD27" s="51" t="s">
        <v>19</v>
      </c>
      <c r="AE27" s="51" t="s">
        <v>20</v>
      </c>
      <c r="AF27" s="51" t="s">
        <v>21</v>
      </c>
      <c r="AG27" s="51" t="s">
        <v>22</v>
      </c>
      <c r="AH27" s="51" t="s">
        <v>23</v>
      </c>
      <c r="AI27" s="51" t="s">
        <v>24</v>
      </c>
      <c r="AJ27" s="51" t="s">
        <v>25</v>
      </c>
      <c r="AK27" s="51" t="s">
        <v>26</v>
      </c>
      <c r="AL27" s="51" t="s">
        <v>27</v>
      </c>
      <c r="AM27" s="51" t="s">
        <v>28</v>
      </c>
      <c r="AN27" s="51" t="s">
        <v>29</v>
      </c>
      <c r="AO27" s="51" t="s">
        <v>30</v>
      </c>
      <c r="AP27" s="51" t="s">
        <v>31</v>
      </c>
      <c r="AQ27" s="51" t="s">
        <v>32</v>
      </c>
      <c r="AR27" s="51" t="s">
        <v>33</v>
      </c>
      <c r="AS27" s="51" t="s">
        <v>34</v>
      </c>
      <c r="AT27" s="51" t="s">
        <v>35</v>
      </c>
      <c r="AU27" s="51" t="s">
        <v>36</v>
      </c>
      <c r="AV27" s="51" t="s">
        <v>37</v>
      </c>
      <c r="AW27" s="51" t="s">
        <v>38</v>
      </c>
      <c r="AX27" s="51" t="s">
        <v>40</v>
      </c>
      <c r="AY27" s="51" t="s">
        <v>110</v>
      </c>
      <c r="AZ27" s="51" t="s">
        <v>111</v>
      </c>
      <c r="BA27" s="51" t="s">
        <v>112</v>
      </c>
      <c r="BB27" s="51" t="s">
        <v>114</v>
      </c>
      <c r="BD27" s="351" t="s">
        <v>160</v>
      </c>
      <c r="BE27" s="351" t="s">
        <v>161</v>
      </c>
      <c r="BF27" s="351" t="s">
        <v>162</v>
      </c>
      <c r="BG27" s="351" t="s">
        <v>163</v>
      </c>
      <c r="BH27" s="351" t="s">
        <v>164</v>
      </c>
      <c r="BI27" s="352" t="s">
        <v>165</v>
      </c>
      <c r="BJ27" s="353" t="s">
        <v>90</v>
      </c>
      <c r="BK27" s="354"/>
      <c r="BL27" s="355" t="s">
        <v>166</v>
      </c>
      <c r="BM27" s="355" t="s">
        <v>167</v>
      </c>
      <c r="BN27" s="356" t="s">
        <v>168</v>
      </c>
      <c r="BO27" s="450" t="s">
        <v>166</v>
      </c>
      <c r="BP27" s="358" t="s">
        <v>167</v>
      </c>
      <c r="BQ27" s="359" t="s">
        <v>168</v>
      </c>
      <c r="BR27" s="360"/>
    </row>
    <row r="28" ht="19.5" hidden="1" customHeight="1">
      <c r="A28" s="47"/>
      <c r="B28" s="14"/>
      <c r="C28" s="14"/>
      <c r="D28" s="451">
        <v>19.0</v>
      </c>
      <c r="E28" s="451">
        <v>9.0</v>
      </c>
      <c r="F28" s="451">
        <v>19.0</v>
      </c>
      <c r="G28" s="451">
        <v>28.0</v>
      </c>
      <c r="H28" s="451">
        <v>19.0</v>
      </c>
      <c r="I28" s="451">
        <v>28.0</v>
      </c>
      <c r="J28" s="451">
        <v>19.0</v>
      </c>
      <c r="K28" s="451">
        <v>0.0</v>
      </c>
      <c r="L28" s="451">
        <v>28.0</v>
      </c>
      <c r="M28" s="451">
        <v>28.0</v>
      </c>
      <c r="N28" s="451">
        <v>19.0</v>
      </c>
      <c r="O28" s="451">
        <v>19.0</v>
      </c>
      <c r="P28" s="451">
        <v>28.0</v>
      </c>
      <c r="Q28" s="451">
        <v>9.0</v>
      </c>
      <c r="R28" s="451">
        <v>0.0</v>
      </c>
      <c r="S28" s="451">
        <v>19.0</v>
      </c>
      <c r="T28" s="451">
        <v>28.0</v>
      </c>
      <c r="U28" s="451">
        <v>19.0</v>
      </c>
      <c r="V28" s="451">
        <v>28.0</v>
      </c>
      <c r="W28" s="451">
        <v>19.0</v>
      </c>
      <c r="X28" s="451">
        <v>19.0</v>
      </c>
      <c r="Y28" s="451">
        <v>28.0</v>
      </c>
      <c r="Z28" s="451">
        <v>19.0</v>
      </c>
      <c r="AA28" s="451">
        <v>19.0</v>
      </c>
      <c r="AB28" s="452">
        <v>28.0</v>
      </c>
      <c r="AC28" s="453">
        <v>16.0</v>
      </c>
      <c r="AD28" s="454">
        <v>23.0</v>
      </c>
      <c r="AE28" s="454">
        <v>16.0</v>
      </c>
      <c r="AF28" s="454">
        <v>8.0</v>
      </c>
      <c r="AG28" s="454">
        <v>23.0</v>
      </c>
      <c r="AH28" s="454">
        <v>16.0</v>
      </c>
      <c r="AI28" s="454">
        <v>16.0</v>
      </c>
      <c r="AJ28" s="454">
        <v>16.0</v>
      </c>
      <c r="AK28" s="454">
        <v>23.0</v>
      </c>
      <c r="AL28" s="454">
        <v>23.0</v>
      </c>
      <c r="AM28" s="454">
        <v>23.0</v>
      </c>
      <c r="AN28" s="454">
        <v>16.0</v>
      </c>
      <c r="AO28" s="454">
        <v>16.0</v>
      </c>
      <c r="AP28" s="454">
        <v>16.0</v>
      </c>
      <c r="AQ28" s="454">
        <v>16.0</v>
      </c>
      <c r="AR28" s="454">
        <v>23.0</v>
      </c>
      <c r="AS28" s="454">
        <v>23.0</v>
      </c>
      <c r="AT28" s="454">
        <v>23.0</v>
      </c>
      <c r="AU28" s="454">
        <v>16.0</v>
      </c>
      <c r="AV28" s="454">
        <v>23.0</v>
      </c>
      <c r="AW28" s="454">
        <v>23.0</v>
      </c>
      <c r="AX28" s="454">
        <v>16.0</v>
      </c>
      <c r="AY28" s="454">
        <v>23.0</v>
      </c>
      <c r="AZ28" s="454">
        <v>23.0</v>
      </c>
      <c r="BA28" s="454">
        <v>23.0</v>
      </c>
      <c r="BB28" s="454">
        <v>16.0</v>
      </c>
      <c r="BD28" s="47"/>
      <c r="BE28" s="47"/>
      <c r="BF28" s="47"/>
      <c r="BG28" s="47"/>
      <c r="BH28" s="47"/>
      <c r="BI28" s="47"/>
      <c r="BJ28" s="47"/>
      <c r="BK28" s="354"/>
      <c r="BL28" s="47"/>
      <c r="BM28" s="47"/>
      <c r="BN28" s="361"/>
      <c r="BO28" s="14"/>
      <c r="BP28" s="47"/>
      <c r="BQ28" s="47"/>
      <c r="BR28" s="360"/>
    </row>
    <row r="29" ht="19.5" customHeight="1">
      <c r="A29" s="65"/>
      <c r="B29" s="24"/>
      <c r="C29" s="24"/>
      <c r="D29" s="66" t="s">
        <v>44</v>
      </c>
      <c r="E29" s="66" t="s">
        <v>44</v>
      </c>
      <c r="F29" s="66" t="s">
        <v>41</v>
      </c>
      <c r="G29" s="66" t="s">
        <v>42</v>
      </c>
      <c r="H29" s="66" t="s">
        <v>43</v>
      </c>
      <c r="I29" s="66" t="s">
        <v>42</v>
      </c>
      <c r="J29" s="66" t="s">
        <v>41</v>
      </c>
      <c r="K29" s="66" t="s">
        <v>44</v>
      </c>
      <c r="L29" s="66" t="s">
        <v>43</v>
      </c>
      <c r="M29" s="66" t="s">
        <v>42</v>
      </c>
      <c r="N29" s="66" t="s">
        <v>44</v>
      </c>
      <c r="O29" s="66" t="s">
        <v>42</v>
      </c>
      <c r="P29" s="66" t="s">
        <v>42</v>
      </c>
      <c r="Q29" s="66" t="s">
        <v>44</v>
      </c>
      <c r="R29" s="66" t="s">
        <v>44</v>
      </c>
      <c r="S29" s="66" t="s">
        <v>41</v>
      </c>
      <c r="T29" s="66" t="s">
        <v>42</v>
      </c>
      <c r="U29" s="66" t="s">
        <v>44</v>
      </c>
      <c r="V29" s="66" t="s">
        <v>42</v>
      </c>
      <c r="W29" s="66" t="s">
        <v>41</v>
      </c>
      <c r="X29" s="245" t="s">
        <v>44</v>
      </c>
      <c r="Y29" s="66" t="s">
        <v>44</v>
      </c>
      <c r="Z29" s="66" t="s">
        <v>42</v>
      </c>
      <c r="AA29" s="66" t="s">
        <v>42</v>
      </c>
      <c r="AB29" s="246" t="s">
        <v>42</v>
      </c>
      <c r="AC29" s="68" t="s">
        <v>41</v>
      </c>
      <c r="AD29" s="69" t="s">
        <v>42</v>
      </c>
      <c r="AE29" s="69" t="s">
        <v>42</v>
      </c>
      <c r="AF29" s="69" t="s">
        <v>41</v>
      </c>
      <c r="AG29" s="69" t="s">
        <v>41</v>
      </c>
      <c r="AH29" s="69" t="s">
        <v>41</v>
      </c>
      <c r="AI29" s="69" t="s">
        <v>43</v>
      </c>
      <c r="AJ29" s="69" t="s">
        <v>42</v>
      </c>
      <c r="AK29" s="69" t="s">
        <v>43</v>
      </c>
      <c r="AL29" s="69" t="s">
        <v>44</v>
      </c>
      <c r="AM29" s="69" t="s">
        <v>41</v>
      </c>
      <c r="AN29" s="69" t="s">
        <v>42</v>
      </c>
      <c r="AO29" s="69" t="s">
        <v>43</v>
      </c>
      <c r="AP29" s="69" t="s">
        <v>42</v>
      </c>
      <c r="AQ29" s="69" t="s">
        <v>41</v>
      </c>
      <c r="AR29" s="69" t="s">
        <v>44</v>
      </c>
      <c r="AS29" s="69" t="s">
        <v>42</v>
      </c>
      <c r="AT29" s="69" t="s">
        <v>41</v>
      </c>
      <c r="AU29" s="69" t="s">
        <v>43</v>
      </c>
      <c r="AV29" s="69" t="s">
        <v>43</v>
      </c>
      <c r="AW29" s="69" t="s">
        <v>41</v>
      </c>
      <c r="AX29" s="69" t="s">
        <v>42</v>
      </c>
      <c r="AY29" s="69" t="s">
        <v>42</v>
      </c>
      <c r="AZ29" s="69" t="s">
        <v>43</v>
      </c>
      <c r="BA29" s="69" t="s">
        <v>41</v>
      </c>
      <c r="BB29" s="69" t="s">
        <v>43</v>
      </c>
      <c r="BD29" s="65"/>
      <c r="BE29" s="65"/>
      <c r="BF29" s="65"/>
      <c r="BG29" s="65"/>
      <c r="BH29" s="65"/>
      <c r="BI29" s="65"/>
      <c r="BJ29" s="65"/>
      <c r="BK29" s="354"/>
      <c r="BL29" s="65"/>
      <c r="BM29" s="65"/>
      <c r="BN29" s="362"/>
      <c r="BO29" s="24"/>
      <c r="BP29" s="65"/>
      <c r="BQ29" s="65"/>
      <c r="BR29" s="360"/>
    </row>
    <row r="30" ht="15.75" customHeight="1">
      <c r="A30" s="455">
        <v>1.0</v>
      </c>
      <c r="B30" s="71" t="s">
        <v>451</v>
      </c>
      <c r="C30" s="363" t="s">
        <v>170</v>
      </c>
      <c r="D30" s="447" t="s">
        <v>43</v>
      </c>
      <c r="E30" s="456" t="s">
        <v>43</v>
      </c>
      <c r="F30" s="456" t="s">
        <v>41</v>
      </c>
      <c r="G30" s="456" t="s">
        <v>44</v>
      </c>
      <c r="H30" s="456" t="s">
        <v>43</v>
      </c>
      <c r="I30" s="456" t="s">
        <v>42</v>
      </c>
      <c r="J30" s="456" t="s">
        <v>42</v>
      </c>
      <c r="K30" s="456" t="s">
        <v>42</v>
      </c>
      <c r="L30" s="456" t="s">
        <v>44</v>
      </c>
      <c r="M30" s="456" t="s">
        <v>42</v>
      </c>
      <c r="N30" s="456" t="s">
        <v>44</v>
      </c>
      <c r="O30" s="456" t="s">
        <v>44</v>
      </c>
      <c r="P30" s="456" t="s">
        <v>42</v>
      </c>
      <c r="Q30" s="456" t="s">
        <v>41</v>
      </c>
      <c r="R30" s="456" t="s">
        <v>41</v>
      </c>
      <c r="S30" s="456" t="s">
        <v>42</v>
      </c>
      <c r="T30" s="456" t="s">
        <v>42</v>
      </c>
      <c r="U30" s="456" t="s">
        <v>44</v>
      </c>
      <c r="V30" s="456" t="s">
        <v>44</v>
      </c>
      <c r="W30" s="456" t="s">
        <v>42</v>
      </c>
      <c r="X30" s="456" t="s">
        <v>43</v>
      </c>
      <c r="Y30" s="456" t="s">
        <v>42</v>
      </c>
      <c r="Z30" s="456" t="s">
        <v>42</v>
      </c>
      <c r="AA30" s="456" t="s">
        <v>42</v>
      </c>
      <c r="AB30" s="457" t="s">
        <v>42</v>
      </c>
      <c r="AC30" s="456" t="s">
        <v>41</v>
      </c>
      <c r="AD30" s="456" t="s">
        <v>43</v>
      </c>
      <c r="AE30" s="456" t="s">
        <v>42</v>
      </c>
      <c r="AF30" s="456" t="s">
        <v>43</v>
      </c>
      <c r="AG30" s="456" t="s">
        <v>44</v>
      </c>
      <c r="AH30" s="456" t="s">
        <v>41</v>
      </c>
      <c r="AI30" s="456" t="s">
        <v>42</v>
      </c>
      <c r="AJ30" s="456" t="s">
        <v>44</v>
      </c>
      <c r="AK30" s="456" t="s">
        <v>41</v>
      </c>
      <c r="AL30" s="456" t="s">
        <v>44</v>
      </c>
      <c r="AM30" s="456" t="s">
        <v>41</v>
      </c>
      <c r="AN30" s="456" t="s">
        <v>42</v>
      </c>
      <c r="AO30" s="456" t="s">
        <v>43</v>
      </c>
      <c r="AP30" s="456" t="s">
        <v>44</v>
      </c>
      <c r="AQ30" s="456" t="s">
        <v>42</v>
      </c>
      <c r="AR30" s="456" t="s">
        <v>42</v>
      </c>
      <c r="AS30" s="456" t="s">
        <v>43</v>
      </c>
      <c r="AT30" s="456" t="s">
        <v>41</v>
      </c>
      <c r="AU30" s="456" t="s">
        <v>44</v>
      </c>
      <c r="AV30" s="456" t="s">
        <v>42</v>
      </c>
      <c r="AW30" s="456" t="s">
        <v>41</v>
      </c>
      <c r="AX30" s="456" t="s">
        <v>43</v>
      </c>
      <c r="AY30" s="456" t="s">
        <v>41</v>
      </c>
      <c r="AZ30" s="456" t="s">
        <v>44</v>
      </c>
      <c r="BA30" s="456" t="s">
        <v>41</v>
      </c>
      <c r="BB30" s="456" t="s">
        <v>44</v>
      </c>
      <c r="BD30" s="369" t="s">
        <v>44</v>
      </c>
      <c r="BE30" s="458">
        <v>3.0</v>
      </c>
      <c r="BF30" s="458">
        <v>3.0</v>
      </c>
      <c r="BG30" s="458">
        <v>2.0</v>
      </c>
      <c r="BH30" s="458">
        <v>2.0</v>
      </c>
      <c r="BI30" s="371">
        <f t="shared" ref="BI30:BI60" si="1">(100/16)*((SUM(BE30:BH30)))</f>
        <v>62.5</v>
      </c>
      <c r="BJ30" s="377" t="str">
        <f t="shared" ref="BJ30:BJ60" si="2">IF((SUM(BI30))&lt;=25, "Abaixo do Básico", IF((SUM(BI30))&lt;=50, "Básico", IF((SUM(BI30))&lt;=75, "Adequado", "Avançado")))</f>
        <v>Adequado</v>
      </c>
      <c r="BK30" s="373"/>
      <c r="BL30" s="374">
        <f t="shared" ref="BL30:BL60" si="3">SUMPRODUCT(--(D30:AB30=D$29:AB$29))</f>
        <v>11</v>
      </c>
      <c r="BM30" s="374">
        <f t="shared" ref="BM30:BM60" si="4">SUMPRODUCT((D30:AB30=D$29:AB$29)*D$28:AB$28)</f>
        <v>254</v>
      </c>
      <c r="BN30" s="459" t="str">
        <f t="shared" ref="BN30:BN60" si="5">IF((SUM(BM30))&lt;=125, "Abaixo do Básico", IF((SUM(BM30))&lt;=250, "Básico", IF((SUM(BM30))&lt;=375, "Adequado", "Avançado")))</f>
        <v>Adequado</v>
      </c>
      <c r="BO30" s="376">
        <f t="shared" ref="BO30:BO60" si="6">SUMPRODUCT(--(AC30:BB30=AC$29:BB$29))</f>
        <v>10</v>
      </c>
      <c r="BP30" s="374">
        <f t="shared" ref="BP30:BP60" si="7">SUMPRODUCT((AC30:BB30=AC$29:BB$29)*AC$28:BB$28)</f>
        <v>195</v>
      </c>
      <c r="BQ30" s="377" t="str">
        <f t="shared" ref="BQ30:BQ60" si="8">IF((SUM(BP30))&lt;=125, "Abaixo do Básico", IF((SUM(BP30))&lt;=250, "Básico", IF((SUM(BP30))&lt;=375, "Adequado", "Avançado")))</f>
        <v>Básico</v>
      </c>
      <c r="BR30" s="25"/>
    </row>
    <row r="31" ht="15.75" customHeight="1">
      <c r="A31" s="455">
        <v>2.0</v>
      </c>
      <c r="B31" s="378" t="s">
        <v>452</v>
      </c>
      <c r="C31" s="363" t="s">
        <v>170</v>
      </c>
      <c r="D31" s="447" t="s">
        <v>42</v>
      </c>
      <c r="E31" s="456" t="s">
        <v>41</v>
      </c>
      <c r="F31" s="456" t="s">
        <v>43</v>
      </c>
      <c r="G31" s="456" t="s">
        <v>43</v>
      </c>
      <c r="H31" s="456" t="s">
        <v>42</v>
      </c>
      <c r="I31" s="456" t="s">
        <v>44</v>
      </c>
      <c r="J31" s="456" t="s">
        <v>41</v>
      </c>
      <c r="K31" s="456" t="s">
        <v>43</v>
      </c>
      <c r="L31" s="456" t="s">
        <v>44</v>
      </c>
      <c r="M31" s="456" t="s">
        <v>41</v>
      </c>
      <c r="N31" s="456" t="s">
        <v>42</v>
      </c>
      <c r="O31" s="456" t="s">
        <v>43</v>
      </c>
      <c r="P31" s="456" t="s">
        <v>41</v>
      </c>
      <c r="Q31" s="456" t="s">
        <v>44</v>
      </c>
      <c r="R31" s="456" t="s">
        <v>41</v>
      </c>
      <c r="S31" s="456" t="s">
        <v>41</v>
      </c>
      <c r="T31" s="456" t="s">
        <v>44</v>
      </c>
      <c r="U31" s="456" t="s">
        <v>44</v>
      </c>
      <c r="V31" s="456" t="s">
        <v>43</v>
      </c>
      <c r="W31" s="456" t="s">
        <v>41</v>
      </c>
      <c r="X31" s="456" t="s">
        <v>44</v>
      </c>
      <c r="Y31" s="456" t="s">
        <v>42</v>
      </c>
      <c r="Z31" s="456" t="s">
        <v>41</v>
      </c>
      <c r="AA31" s="456" t="s">
        <v>44</v>
      </c>
      <c r="AB31" s="457" t="s">
        <v>43</v>
      </c>
      <c r="AC31" s="456" t="s">
        <v>41</v>
      </c>
      <c r="AD31" s="456" t="s">
        <v>44</v>
      </c>
      <c r="AE31" s="456" t="s">
        <v>42</v>
      </c>
      <c r="AF31" s="456" t="s">
        <v>43</v>
      </c>
      <c r="AG31" s="456" t="s">
        <v>41</v>
      </c>
      <c r="AH31" s="456" t="s">
        <v>44</v>
      </c>
      <c r="AI31" s="456" t="s">
        <v>42</v>
      </c>
      <c r="AJ31" s="456" t="s">
        <v>43</v>
      </c>
      <c r="AK31" s="456" t="s">
        <v>41</v>
      </c>
      <c r="AL31" s="456" t="s">
        <v>44</v>
      </c>
      <c r="AM31" s="456" t="s">
        <v>42</v>
      </c>
      <c r="AN31" s="456" t="s">
        <v>43</v>
      </c>
      <c r="AO31" s="456" t="s">
        <v>41</v>
      </c>
      <c r="AP31" s="456" t="s">
        <v>42</v>
      </c>
      <c r="AQ31" s="456" t="s">
        <v>43</v>
      </c>
      <c r="AR31" s="456" t="s">
        <v>41</v>
      </c>
      <c r="AS31" s="456" t="s">
        <v>44</v>
      </c>
      <c r="AT31" s="456" t="s">
        <v>42</v>
      </c>
      <c r="AU31" s="456" t="s">
        <v>43</v>
      </c>
      <c r="AV31" s="456" t="s">
        <v>41</v>
      </c>
      <c r="AW31" s="456" t="s">
        <v>42</v>
      </c>
      <c r="AX31" s="456" t="s">
        <v>44</v>
      </c>
      <c r="AY31" s="456" t="s">
        <v>43</v>
      </c>
      <c r="AZ31" s="456" t="s">
        <v>41</v>
      </c>
      <c r="BA31" s="456" t="s">
        <v>44</v>
      </c>
      <c r="BB31" s="456" t="s">
        <v>42</v>
      </c>
      <c r="BD31" s="369" t="s">
        <v>44</v>
      </c>
      <c r="BE31" s="458">
        <v>2.0</v>
      </c>
      <c r="BF31" s="458">
        <v>2.0</v>
      </c>
      <c r="BG31" s="458">
        <v>2.0</v>
      </c>
      <c r="BH31" s="458">
        <v>2.0</v>
      </c>
      <c r="BI31" s="371">
        <f t="shared" si="1"/>
        <v>50</v>
      </c>
      <c r="BJ31" s="377" t="str">
        <f t="shared" si="2"/>
        <v>Básico</v>
      </c>
      <c r="BK31" s="373"/>
      <c r="BL31" s="374">
        <f t="shared" si="3"/>
        <v>6</v>
      </c>
      <c r="BM31" s="374">
        <f t="shared" si="4"/>
        <v>104</v>
      </c>
      <c r="BN31" s="459" t="str">
        <f t="shared" si="5"/>
        <v>Abaixo do Básico</v>
      </c>
      <c r="BO31" s="376">
        <f t="shared" si="6"/>
        <v>6</v>
      </c>
      <c r="BP31" s="374">
        <f t="shared" si="7"/>
        <v>110</v>
      </c>
      <c r="BQ31" s="377" t="str">
        <f t="shared" si="8"/>
        <v>Abaixo do Básico</v>
      </c>
      <c r="BR31" s="25"/>
    </row>
    <row r="32" ht="15.75" customHeight="1">
      <c r="A32" s="455">
        <v>3.0</v>
      </c>
      <c r="B32" s="378" t="s">
        <v>453</v>
      </c>
      <c r="C32" s="363" t="s">
        <v>170</v>
      </c>
      <c r="D32" s="447" t="s">
        <v>172</v>
      </c>
      <c r="E32" s="456" t="s">
        <v>172</v>
      </c>
      <c r="F32" s="456" t="s">
        <v>172</v>
      </c>
      <c r="G32" s="456" t="s">
        <v>172</v>
      </c>
      <c r="H32" s="456" t="s">
        <v>172</v>
      </c>
      <c r="I32" s="456" t="s">
        <v>172</v>
      </c>
      <c r="J32" s="456" t="s">
        <v>172</v>
      </c>
      <c r="K32" s="456" t="s">
        <v>172</v>
      </c>
      <c r="L32" s="456" t="s">
        <v>172</v>
      </c>
      <c r="M32" s="456" t="s">
        <v>172</v>
      </c>
      <c r="N32" s="456" t="s">
        <v>172</v>
      </c>
      <c r="O32" s="456" t="s">
        <v>172</v>
      </c>
      <c r="P32" s="456" t="s">
        <v>172</v>
      </c>
      <c r="Q32" s="456" t="s">
        <v>172</v>
      </c>
      <c r="R32" s="456" t="s">
        <v>172</v>
      </c>
      <c r="S32" s="456" t="s">
        <v>172</v>
      </c>
      <c r="T32" s="456" t="s">
        <v>172</v>
      </c>
      <c r="U32" s="456" t="s">
        <v>172</v>
      </c>
      <c r="V32" s="456" t="s">
        <v>172</v>
      </c>
      <c r="W32" s="456" t="s">
        <v>172</v>
      </c>
      <c r="X32" s="456" t="s">
        <v>172</v>
      </c>
      <c r="Y32" s="456" t="s">
        <v>172</v>
      </c>
      <c r="Z32" s="456" t="s">
        <v>172</v>
      </c>
      <c r="AA32" s="456" t="s">
        <v>172</v>
      </c>
      <c r="AB32" s="457" t="s">
        <v>172</v>
      </c>
      <c r="AC32" s="456" t="s">
        <v>172</v>
      </c>
      <c r="AD32" s="456" t="s">
        <v>172</v>
      </c>
      <c r="AE32" s="456" t="s">
        <v>172</v>
      </c>
      <c r="AF32" s="456" t="s">
        <v>172</v>
      </c>
      <c r="AG32" s="456" t="s">
        <v>172</v>
      </c>
      <c r="AH32" s="456" t="s">
        <v>172</v>
      </c>
      <c r="AI32" s="456" t="s">
        <v>172</v>
      </c>
      <c r="AJ32" s="456" t="s">
        <v>172</v>
      </c>
      <c r="AK32" s="456" t="s">
        <v>172</v>
      </c>
      <c r="AL32" s="456" t="s">
        <v>172</v>
      </c>
      <c r="AM32" s="456" t="s">
        <v>172</v>
      </c>
      <c r="AN32" s="456" t="s">
        <v>172</v>
      </c>
      <c r="AO32" s="456" t="s">
        <v>172</v>
      </c>
      <c r="AP32" s="456" t="s">
        <v>172</v>
      </c>
      <c r="AQ32" s="456" t="s">
        <v>172</v>
      </c>
      <c r="AR32" s="456" t="s">
        <v>172</v>
      </c>
      <c r="AS32" s="456" t="s">
        <v>172</v>
      </c>
      <c r="AT32" s="456" t="s">
        <v>172</v>
      </c>
      <c r="AU32" s="456" t="s">
        <v>172</v>
      </c>
      <c r="AV32" s="456" t="s">
        <v>172</v>
      </c>
      <c r="AW32" s="456" t="s">
        <v>172</v>
      </c>
      <c r="AX32" s="456" t="s">
        <v>172</v>
      </c>
      <c r="AY32" s="456" t="s">
        <v>172</v>
      </c>
      <c r="AZ32" s="456" t="s">
        <v>172</v>
      </c>
      <c r="BA32" s="456" t="s">
        <v>172</v>
      </c>
      <c r="BB32" s="456" t="s">
        <v>172</v>
      </c>
      <c r="BD32" s="369" t="s">
        <v>172</v>
      </c>
      <c r="BE32" s="458" t="s">
        <v>173</v>
      </c>
      <c r="BF32" s="458" t="s">
        <v>173</v>
      </c>
      <c r="BG32" s="458" t="s">
        <v>173</v>
      </c>
      <c r="BH32" s="458" t="s">
        <v>173</v>
      </c>
      <c r="BI32" s="371">
        <f t="shared" si="1"/>
        <v>0</v>
      </c>
      <c r="BJ32" s="377" t="str">
        <f t="shared" si="2"/>
        <v>Abaixo do Básico</v>
      </c>
      <c r="BK32" s="373"/>
      <c r="BL32" s="374">
        <f t="shared" si="3"/>
        <v>0</v>
      </c>
      <c r="BM32" s="374">
        <f t="shared" si="4"/>
        <v>0</v>
      </c>
      <c r="BN32" s="459" t="str">
        <f t="shared" si="5"/>
        <v>Abaixo do Básico</v>
      </c>
      <c r="BO32" s="376">
        <f t="shared" si="6"/>
        <v>0</v>
      </c>
      <c r="BP32" s="374">
        <f t="shared" si="7"/>
        <v>0</v>
      </c>
      <c r="BQ32" s="377" t="str">
        <f t="shared" si="8"/>
        <v>Abaixo do Básico</v>
      </c>
      <c r="BR32" s="25"/>
    </row>
    <row r="33" ht="15.75" customHeight="1">
      <c r="A33" s="455">
        <v>4.0</v>
      </c>
      <c r="B33" s="378" t="s">
        <v>454</v>
      </c>
      <c r="C33" s="363" t="s">
        <v>170</v>
      </c>
      <c r="D33" s="447" t="s">
        <v>43</v>
      </c>
      <c r="E33" s="456" t="s">
        <v>42</v>
      </c>
      <c r="F33" s="456" t="s">
        <v>41</v>
      </c>
      <c r="G33" s="456" t="s">
        <v>41</v>
      </c>
      <c r="H33" s="456" t="s">
        <v>44</v>
      </c>
      <c r="I33" s="456" t="s">
        <v>44</v>
      </c>
      <c r="J33" s="456" t="s">
        <v>42</v>
      </c>
      <c r="K33" s="456" t="s">
        <v>43</v>
      </c>
      <c r="L33" s="456" t="s">
        <v>41</v>
      </c>
      <c r="M33" s="456" t="s">
        <v>42</v>
      </c>
      <c r="N33" s="456" t="s">
        <v>43</v>
      </c>
      <c r="O33" s="456" t="s">
        <v>42</v>
      </c>
      <c r="P33" s="456" t="s">
        <v>43</v>
      </c>
      <c r="Q33" s="456" t="s">
        <v>42</v>
      </c>
      <c r="R33" s="456" t="s">
        <v>41</v>
      </c>
      <c r="S33" s="456" t="s">
        <v>41</v>
      </c>
      <c r="T33" s="456" t="s">
        <v>43</v>
      </c>
      <c r="U33" s="456" t="s">
        <v>42</v>
      </c>
      <c r="V33" s="456" t="s">
        <v>43</v>
      </c>
      <c r="W33" s="456" t="s">
        <v>41</v>
      </c>
      <c r="X33" s="456" t="s">
        <v>44</v>
      </c>
      <c r="Y33" s="456" t="s">
        <v>44</v>
      </c>
      <c r="Z33" s="456" t="s">
        <v>42</v>
      </c>
      <c r="AA33" s="456" t="s">
        <v>42</v>
      </c>
      <c r="AB33" s="457" t="s">
        <v>44</v>
      </c>
      <c r="AC33" s="456" t="s">
        <v>43</v>
      </c>
      <c r="AD33" s="456" t="s">
        <v>42</v>
      </c>
      <c r="AE33" s="456" t="s">
        <v>41</v>
      </c>
      <c r="AF33" s="456" t="s">
        <v>43</v>
      </c>
      <c r="AG33" s="456" t="s">
        <v>44</v>
      </c>
      <c r="AH33" s="456" t="s">
        <v>42</v>
      </c>
      <c r="AI33" s="456" t="s">
        <v>43</v>
      </c>
      <c r="AJ33" s="456" t="s">
        <v>41</v>
      </c>
      <c r="AK33" s="456" t="s">
        <v>43</v>
      </c>
      <c r="AL33" s="456" t="s">
        <v>44</v>
      </c>
      <c r="AM33" s="456" t="s">
        <v>42</v>
      </c>
      <c r="AN33" s="456" t="s">
        <v>43</v>
      </c>
      <c r="AO33" s="456" t="s">
        <v>43</v>
      </c>
      <c r="AP33" s="456" t="s">
        <v>42</v>
      </c>
      <c r="AQ33" s="456" t="s">
        <v>41</v>
      </c>
      <c r="AR33" s="456" t="s">
        <v>43</v>
      </c>
      <c r="AS33" s="456" t="s">
        <v>173</v>
      </c>
      <c r="AT33" s="456" t="s">
        <v>42</v>
      </c>
      <c r="AU33" s="456" t="s">
        <v>41</v>
      </c>
      <c r="AV33" s="456" t="s">
        <v>44</v>
      </c>
      <c r="AW33" s="456" t="s">
        <v>44</v>
      </c>
      <c r="AX33" s="456" t="s">
        <v>42</v>
      </c>
      <c r="AY33" s="456" t="s">
        <v>43</v>
      </c>
      <c r="AZ33" s="456" t="s">
        <v>43</v>
      </c>
      <c r="BA33" s="456" t="s">
        <v>41</v>
      </c>
      <c r="BB33" s="456" t="s">
        <v>43</v>
      </c>
      <c r="BD33" s="369" t="s">
        <v>44</v>
      </c>
      <c r="BE33" s="458">
        <v>3.0</v>
      </c>
      <c r="BF33" s="458">
        <v>3.0</v>
      </c>
      <c r="BG33" s="458">
        <v>3.0</v>
      </c>
      <c r="BH33" s="458">
        <v>3.0</v>
      </c>
      <c r="BI33" s="371">
        <f t="shared" si="1"/>
        <v>75</v>
      </c>
      <c r="BJ33" s="377" t="str">
        <f t="shared" si="2"/>
        <v>Adequado</v>
      </c>
      <c r="BK33" s="373"/>
      <c r="BL33" s="374">
        <f t="shared" si="3"/>
        <v>9</v>
      </c>
      <c r="BM33" s="374">
        <f t="shared" si="4"/>
        <v>189</v>
      </c>
      <c r="BN33" s="459" t="str">
        <f t="shared" si="5"/>
        <v>Básico</v>
      </c>
      <c r="BO33" s="376">
        <f t="shared" si="6"/>
        <v>11</v>
      </c>
      <c r="BP33" s="374">
        <f t="shared" si="7"/>
        <v>211</v>
      </c>
      <c r="BQ33" s="377" t="str">
        <f t="shared" si="8"/>
        <v>Básico</v>
      </c>
      <c r="BR33" s="25"/>
    </row>
    <row r="34" ht="15.75" customHeight="1">
      <c r="A34" s="455">
        <v>5.0</v>
      </c>
      <c r="B34" s="378" t="s">
        <v>455</v>
      </c>
      <c r="C34" s="363" t="s">
        <v>170</v>
      </c>
      <c r="D34" s="447" t="s">
        <v>44</v>
      </c>
      <c r="E34" s="456" t="s">
        <v>43</v>
      </c>
      <c r="F34" s="456" t="s">
        <v>41</v>
      </c>
      <c r="G34" s="456" t="s">
        <v>41</v>
      </c>
      <c r="H34" s="456" t="s">
        <v>43</v>
      </c>
      <c r="I34" s="456" t="s">
        <v>42</v>
      </c>
      <c r="J34" s="456" t="s">
        <v>41</v>
      </c>
      <c r="K34" s="456" t="s">
        <v>44</v>
      </c>
      <c r="L34" s="456" t="s">
        <v>41</v>
      </c>
      <c r="M34" s="456" t="s">
        <v>42</v>
      </c>
      <c r="N34" s="456" t="s">
        <v>44</v>
      </c>
      <c r="O34" s="456" t="s">
        <v>42</v>
      </c>
      <c r="P34" s="456" t="s">
        <v>42</v>
      </c>
      <c r="Q34" s="456" t="s">
        <v>41</v>
      </c>
      <c r="R34" s="456" t="s">
        <v>44</v>
      </c>
      <c r="S34" s="456" t="s">
        <v>41</v>
      </c>
      <c r="T34" s="456" t="s">
        <v>42</v>
      </c>
      <c r="U34" s="456" t="s">
        <v>44</v>
      </c>
      <c r="V34" s="456" t="s">
        <v>43</v>
      </c>
      <c r="W34" s="456" t="s">
        <v>41</v>
      </c>
      <c r="X34" s="456" t="s">
        <v>44</v>
      </c>
      <c r="Y34" s="456" t="s">
        <v>44</v>
      </c>
      <c r="Z34" s="456" t="s">
        <v>42</v>
      </c>
      <c r="AA34" s="456" t="s">
        <v>42</v>
      </c>
      <c r="AB34" s="457" t="s">
        <v>42</v>
      </c>
      <c r="AC34" s="456" t="s">
        <v>44</v>
      </c>
      <c r="AD34" s="456" t="s">
        <v>41</v>
      </c>
      <c r="AE34" s="456" t="s">
        <v>42</v>
      </c>
      <c r="AF34" s="456" t="s">
        <v>41</v>
      </c>
      <c r="AG34" s="456" t="s">
        <v>43</v>
      </c>
      <c r="AH34" s="456" t="s">
        <v>43</v>
      </c>
      <c r="AI34" s="456" t="s">
        <v>44</v>
      </c>
      <c r="AJ34" s="456" t="s">
        <v>42</v>
      </c>
      <c r="AK34" s="456" t="s">
        <v>41</v>
      </c>
      <c r="AL34" s="456" t="s">
        <v>44</v>
      </c>
      <c r="AM34" s="456" t="s">
        <v>41</v>
      </c>
      <c r="AN34" s="456" t="s">
        <v>41</v>
      </c>
      <c r="AO34" s="456" t="s">
        <v>43</v>
      </c>
      <c r="AP34" s="456" t="s">
        <v>44</v>
      </c>
      <c r="AQ34" s="456" t="s">
        <v>41</v>
      </c>
      <c r="AR34" s="456" t="s">
        <v>41</v>
      </c>
      <c r="AS34" s="456" t="s">
        <v>42</v>
      </c>
      <c r="AT34" s="456" t="s">
        <v>44</v>
      </c>
      <c r="AU34" s="456" t="s">
        <v>43</v>
      </c>
      <c r="AV34" s="456" t="s">
        <v>44</v>
      </c>
      <c r="AW34" s="456" t="s">
        <v>41</v>
      </c>
      <c r="AX34" s="456" t="s">
        <v>41</v>
      </c>
      <c r="AY34" s="456" t="s">
        <v>43</v>
      </c>
      <c r="AZ34" s="456" t="s">
        <v>43</v>
      </c>
      <c r="BA34" s="456" t="s">
        <v>44</v>
      </c>
      <c r="BB34" s="456" t="s">
        <v>42</v>
      </c>
      <c r="BD34" s="369" t="s">
        <v>44</v>
      </c>
      <c r="BE34" s="458">
        <v>3.0</v>
      </c>
      <c r="BF34" s="458">
        <v>3.0</v>
      </c>
      <c r="BG34" s="458">
        <v>3.0</v>
      </c>
      <c r="BH34" s="458">
        <v>3.0</v>
      </c>
      <c r="BI34" s="371">
        <f t="shared" si="1"/>
        <v>75</v>
      </c>
      <c r="BJ34" s="377" t="str">
        <f t="shared" si="2"/>
        <v>Adequado</v>
      </c>
      <c r="BK34" s="373"/>
      <c r="BL34" s="374">
        <f t="shared" si="3"/>
        <v>20</v>
      </c>
      <c r="BM34" s="374">
        <f t="shared" si="4"/>
        <v>396</v>
      </c>
      <c r="BN34" s="459" t="str">
        <f t="shared" si="5"/>
        <v>Avançado</v>
      </c>
      <c r="BO34" s="376">
        <f t="shared" si="6"/>
        <v>11</v>
      </c>
      <c r="BP34" s="374">
        <f t="shared" si="7"/>
        <v>203</v>
      </c>
      <c r="BQ34" s="377" t="str">
        <f t="shared" si="8"/>
        <v>Básico</v>
      </c>
      <c r="BR34" s="25"/>
    </row>
    <row r="35" ht="15.75" customHeight="1">
      <c r="A35" s="455">
        <v>6.0</v>
      </c>
      <c r="B35" s="378" t="s">
        <v>456</v>
      </c>
      <c r="C35" s="363" t="s">
        <v>170</v>
      </c>
      <c r="D35" s="447" t="s">
        <v>172</v>
      </c>
      <c r="E35" s="456" t="s">
        <v>172</v>
      </c>
      <c r="F35" s="456" t="s">
        <v>172</v>
      </c>
      <c r="G35" s="456" t="s">
        <v>172</v>
      </c>
      <c r="H35" s="456" t="s">
        <v>172</v>
      </c>
      <c r="I35" s="456" t="s">
        <v>172</v>
      </c>
      <c r="J35" s="456" t="s">
        <v>172</v>
      </c>
      <c r="K35" s="456" t="s">
        <v>172</v>
      </c>
      <c r="L35" s="456" t="s">
        <v>172</v>
      </c>
      <c r="M35" s="456" t="s">
        <v>172</v>
      </c>
      <c r="N35" s="456" t="s">
        <v>172</v>
      </c>
      <c r="O35" s="456" t="s">
        <v>172</v>
      </c>
      <c r="P35" s="456" t="s">
        <v>172</v>
      </c>
      <c r="Q35" s="456" t="s">
        <v>172</v>
      </c>
      <c r="R35" s="456" t="s">
        <v>172</v>
      </c>
      <c r="S35" s="456" t="s">
        <v>172</v>
      </c>
      <c r="T35" s="456" t="s">
        <v>172</v>
      </c>
      <c r="U35" s="456" t="s">
        <v>172</v>
      </c>
      <c r="V35" s="456" t="s">
        <v>172</v>
      </c>
      <c r="W35" s="456" t="s">
        <v>172</v>
      </c>
      <c r="X35" s="456" t="s">
        <v>172</v>
      </c>
      <c r="Y35" s="456" t="s">
        <v>172</v>
      </c>
      <c r="Z35" s="456" t="s">
        <v>172</v>
      </c>
      <c r="AA35" s="456" t="s">
        <v>172</v>
      </c>
      <c r="AB35" s="457" t="s">
        <v>172</v>
      </c>
      <c r="AC35" s="456" t="s">
        <v>172</v>
      </c>
      <c r="AD35" s="456" t="s">
        <v>172</v>
      </c>
      <c r="AE35" s="456" t="s">
        <v>172</v>
      </c>
      <c r="AF35" s="456" t="s">
        <v>172</v>
      </c>
      <c r="AG35" s="456" t="s">
        <v>172</v>
      </c>
      <c r="AH35" s="456" t="s">
        <v>172</v>
      </c>
      <c r="AI35" s="456" t="s">
        <v>172</v>
      </c>
      <c r="AJ35" s="456" t="s">
        <v>172</v>
      </c>
      <c r="AK35" s="456" t="s">
        <v>172</v>
      </c>
      <c r="AL35" s="456" t="s">
        <v>172</v>
      </c>
      <c r="AM35" s="456" t="s">
        <v>172</v>
      </c>
      <c r="AN35" s="456" t="s">
        <v>172</v>
      </c>
      <c r="AO35" s="456" t="s">
        <v>172</v>
      </c>
      <c r="AP35" s="456" t="s">
        <v>172</v>
      </c>
      <c r="AQ35" s="456" t="s">
        <v>172</v>
      </c>
      <c r="AR35" s="456" t="s">
        <v>172</v>
      </c>
      <c r="AS35" s="456" t="s">
        <v>172</v>
      </c>
      <c r="AT35" s="456" t="s">
        <v>172</v>
      </c>
      <c r="AU35" s="456" t="s">
        <v>172</v>
      </c>
      <c r="AV35" s="456" t="s">
        <v>172</v>
      </c>
      <c r="AW35" s="456" t="s">
        <v>172</v>
      </c>
      <c r="AX35" s="456" t="s">
        <v>172</v>
      </c>
      <c r="AY35" s="456" t="s">
        <v>172</v>
      </c>
      <c r="AZ35" s="456" t="s">
        <v>172</v>
      </c>
      <c r="BA35" s="456" t="s">
        <v>172</v>
      </c>
      <c r="BB35" s="456" t="s">
        <v>172</v>
      </c>
      <c r="BD35" s="369" t="s">
        <v>172</v>
      </c>
      <c r="BE35" s="458" t="s">
        <v>173</v>
      </c>
      <c r="BF35" s="458" t="s">
        <v>173</v>
      </c>
      <c r="BG35" s="458" t="s">
        <v>173</v>
      </c>
      <c r="BH35" s="458" t="s">
        <v>173</v>
      </c>
      <c r="BI35" s="371">
        <f t="shared" si="1"/>
        <v>0</v>
      </c>
      <c r="BJ35" s="377" t="str">
        <f t="shared" si="2"/>
        <v>Abaixo do Básico</v>
      </c>
      <c r="BK35" s="373"/>
      <c r="BL35" s="374">
        <f t="shared" si="3"/>
        <v>0</v>
      </c>
      <c r="BM35" s="374">
        <f t="shared" si="4"/>
        <v>0</v>
      </c>
      <c r="BN35" s="459" t="str">
        <f t="shared" si="5"/>
        <v>Abaixo do Básico</v>
      </c>
      <c r="BO35" s="376">
        <f t="shared" si="6"/>
        <v>0</v>
      </c>
      <c r="BP35" s="374">
        <f t="shared" si="7"/>
        <v>0</v>
      </c>
      <c r="BQ35" s="377" t="str">
        <f t="shared" si="8"/>
        <v>Abaixo do Básico</v>
      </c>
      <c r="BR35" s="25"/>
    </row>
    <row r="36" ht="15.75" customHeight="1">
      <c r="A36" s="455">
        <v>7.0</v>
      </c>
      <c r="B36" s="378" t="s">
        <v>457</v>
      </c>
      <c r="C36" s="363" t="s">
        <v>170</v>
      </c>
      <c r="D36" s="447" t="s">
        <v>41</v>
      </c>
      <c r="E36" s="456" t="s">
        <v>42</v>
      </c>
      <c r="F36" s="456" t="s">
        <v>44</v>
      </c>
      <c r="G36" s="456" t="s">
        <v>43</v>
      </c>
      <c r="H36" s="456" t="s">
        <v>41</v>
      </c>
      <c r="I36" s="456" t="s">
        <v>42</v>
      </c>
      <c r="J36" s="456" t="s">
        <v>44</v>
      </c>
      <c r="K36" s="456" t="s">
        <v>43</v>
      </c>
      <c r="L36" s="456" t="s">
        <v>42</v>
      </c>
      <c r="M36" s="456" t="s">
        <v>41</v>
      </c>
      <c r="N36" s="456" t="s">
        <v>41</v>
      </c>
      <c r="O36" s="456" t="s">
        <v>42</v>
      </c>
      <c r="P36" s="456" t="s">
        <v>44</v>
      </c>
      <c r="Q36" s="456" t="s">
        <v>42</v>
      </c>
      <c r="R36" s="456" t="s">
        <v>42</v>
      </c>
      <c r="S36" s="456" t="s">
        <v>41</v>
      </c>
      <c r="T36" s="456" t="s">
        <v>44</v>
      </c>
      <c r="U36" s="456" t="s">
        <v>43</v>
      </c>
      <c r="V36" s="456" t="s">
        <v>41</v>
      </c>
      <c r="W36" s="456" t="s">
        <v>42</v>
      </c>
      <c r="X36" s="456" t="s">
        <v>43</v>
      </c>
      <c r="Y36" s="456" t="s">
        <v>41</v>
      </c>
      <c r="Z36" s="456" t="s">
        <v>42</v>
      </c>
      <c r="AA36" s="456" t="s">
        <v>44</v>
      </c>
      <c r="AB36" s="457" t="s">
        <v>42</v>
      </c>
      <c r="AC36" s="456" t="s">
        <v>44</v>
      </c>
      <c r="AD36" s="456" t="s">
        <v>41</v>
      </c>
      <c r="AE36" s="456" t="s">
        <v>42</v>
      </c>
      <c r="AF36" s="456" t="s">
        <v>43</v>
      </c>
      <c r="AG36" s="456" t="s">
        <v>41</v>
      </c>
      <c r="AH36" s="456" t="s">
        <v>44</v>
      </c>
      <c r="AI36" s="456" t="s">
        <v>41</v>
      </c>
      <c r="AJ36" s="456" t="s">
        <v>43</v>
      </c>
      <c r="AK36" s="456" t="s">
        <v>41</v>
      </c>
      <c r="AL36" s="456" t="s">
        <v>42</v>
      </c>
      <c r="AM36" s="456" t="s">
        <v>42</v>
      </c>
      <c r="AN36" s="456" t="s">
        <v>44</v>
      </c>
      <c r="AO36" s="456" t="s">
        <v>43</v>
      </c>
      <c r="AP36" s="456" t="s">
        <v>44</v>
      </c>
      <c r="AQ36" s="456" t="s">
        <v>41</v>
      </c>
      <c r="AR36" s="456" t="s">
        <v>42</v>
      </c>
      <c r="AS36" s="456" t="s">
        <v>43</v>
      </c>
      <c r="AT36" s="456" t="s">
        <v>42</v>
      </c>
      <c r="AU36" s="456" t="s">
        <v>43</v>
      </c>
      <c r="AV36" s="456" t="s">
        <v>173</v>
      </c>
      <c r="AW36" s="456" t="s">
        <v>41</v>
      </c>
      <c r="AX36" s="456" t="s">
        <v>42</v>
      </c>
      <c r="AY36" s="456" t="s">
        <v>43</v>
      </c>
      <c r="AZ36" s="456" t="s">
        <v>44</v>
      </c>
      <c r="BA36" s="456" t="s">
        <v>41</v>
      </c>
      <c r="BB36" s="456" t="s">
        <v>42</v>
      </c>
      <c r="BD36" s="369" t="s">
        <v>44</v>
      </c>
      <c r="BE36" s="458">
        <v>2.0</v>
      </c>
      <c r="BF36" s="458">
        <v>2.0</v>
      </c>
      <c r="BG36" s="458">
        <v>2.0</v>
      </c>
      <c r="BH36" s="458">
        <v>2.0</v>
      </c>
      <c r="BI36" s="371">
        <f t="shared" si="1"/>
        <v>50</v>
      </c>
      <c r="BJ36" s="377" t="str">
        <f t="shared" si="2"/>
        <v>Básico</v>
      </c>
      <c r="BK36" s="373"/>
      <c r="BL36" s="374">
        <f t="shared" si="3"/>
        <v>5</v>
      </c>
      <c r="BM36" s="374">
        <f t="shared" si="4"/>
        <v>113</v>
      </c>
      <c r="BN36" s="459" t="str">
        <f t="shared" si="5"/>
        <v>Abaixo do Básico</v>
      </c>
      <c r="BO36" s="376">
        <f t="shared" si="6"/>
        <v>8</v>
      </c>
      <c r="BP36" s="374">
        <f t="shared" si="7"/>
        <v>149</v>
      </c>
      <c r="BQ36" s="377" t="str">
        <f t="shared" si="8"/>
        <v>Básico</v>
      </c>
      <c r="BR36" s="25"/>
    </row>
    <row r="37" ht="15.75" customHeight="1">
      <c r="A37" s="455">
        <v>8.0</v>
      </c>
      <c r="B37" s="378" t="s">
        <v>458</v>
      </c>
      <c r="C37" s="363" t="s">
        <v>170</v>
      </c>
      <c r="D37" s="447" t="s">
        <v>44</v>
      </c>
      <c r="E37" s="456" t="s">
        <v>42</v>
      </c>
      <c r="F37" s="456" t="s">
        <v>41</v>
      </c>
      <c r="G37" s="456" t="s">
        <v>43</v>
      </c>
      <c r="H37" s="456" t="s">
        <v>41</v>
      </c>
      <c r="I37" s="456" t="s">
        <v>42</v>
      </c>
      <c r="J37" s="456" t="s">
        <v>44</v>
      </c>
      <c r="K37" s="456" t="s">
        <v>43</v>
      </c>
      <c r="L37" s="456" t="s">
        <v>41</v>
      </c>
      <c r="M37" s="456" t="s">
        <v>42</v>
      </c>
      <c r="N37" s="456" t="s">
        <v>44</v>
      </c>
      <c r="O37" s="456" t="s">
        <v>42</v>
      </c>
      <c r="P37" s="456" t="s">
        <v>41</v>
      </c>
      <c r="Q37" s="456" t="s">
        <v>43</v>
      </c>
      <c r="R37" s="456" t="s">
        <v>41</v>
      </c>
      <c r="S37" s="456" t="s">
        <v>42</v>
      </c>
      <c r="T37" s="456" t="s">
        <v>44</v>
      </c>
      <c r="U37" s="456" t="s">
        <v>42</v>
      </c>
      <c r="V37" s="456" t="s">
        <v>41</v>
      </c>
      <c r="W37" s="456" t="s">
        <v>43</v>
      </c>
      <c r="X37" s="456" t="s">
        <v>44</v>
      </c>
      <c r="Y37" s="456" t="s">
        <v>42</v>
      </c>
      <c r="Z37" s="456" t="s">
        <v>41</v>
      </c>
      <c r="AA37" s="456" t="s">
        <v>43</v>
      </c>
      <c r="AB37" s="457" t="s">
        <v>41</v>
      </c>
      <c r="AC37" s="456" t="s">
        <v>43</v>
      </c>
      <c r="AD37" s="456" t="s">
        <v>41</v>
      </c>
      <c r="AE37" s="456" t="s">
        <v>43</v>
      </c>
      <c r="AF37" s="456" t="s">
        <v>44</v>
      </c>
      <c r="AG37" s="456" t="s">
        <v>42</v>
      </c>
      <c r="AH37" s="456" t="s">
        <v>173</v>
      </c>
      <c r="AI37" s="456" t="s">
        <v>42</v>
      </c>
      <c r="AJ37" s="456" t="s">
        <v>41</v>
      </c>
      <c r="AK37" s="456" t="s">
        <v>173</v>
      </c>
      <c r="AL37" s="456" t="s">
        <v>44</v>
      </c>
      <c r="AM37" s="456" t="s">
        <v>41</v>
      </c>
      <c r="AN37" s="456" t="s">
        <v>42</v>
      </c>
      <c r="AO37" s="456" t="s">
        <v>43</v>
      </c>
      <c r="AP37" s="456" t="s">
        <v>41</v>
      </c>
      <c r="AQ37" s="456" t="s">
        <v>43</v>
      </c>
      <c r="AR37" s="456" t="s">
        <v>44</v>
      </c>
      <c r="AS37" s="456" t="s">
        <v>43</v>
      </c>
      <c r="AT37" s="456" t="s">
        <v>44</v>
      </c>
      <c r="AU37" s="456" t="s">
        <v>42</v>
      </c>
      <c r="AV37" s="456" t="s">
        <v>43</v>
      </c>
      <c r="AW37" s="456" t="s">
        <v>41</v>
      </c>
      <c r="AX37" s="456" t="s">
        <v>44</v>
      </c>
      <c r="AY37" s="456" t="s">
        <v>42</v>
      </c>
      <c r="AZ37" s="456" t="s">
        <v>41</v>
      </c>
      <c r="BA37" s="456" t="s">
        <v>42</v>
      </c>
      <c r="BB37" s="456" t="s">
        <v>43</v>
      </c>
      <c r="BD37" s="369" t="s">
        <v>44</v>
      </c>
      <c r="BE37" s="458">
        <v>3.0</v>
      </c>
      <c r="BF37" s="458">
        <v>3.0</v>
      </c>
      <c r="BG37" s="458">
        <v>3.0</v>
      </c>
      <c r="BH37" s="458">
        <v>3.0</v>
      </c>
      <c r="BI37" s="371">
        <f t="shared" si="1"/>
        <v>75</v>
      </c>
      <c r="BJ37" s="377" t="str">
        <f t="shared" si="2"/>
        <v>Adequado</v>
      </c>
      <c r="BK37" s="373"/>
      <c r="BL37" s="374">
        <f t="shared" si="3"/>
        <v>7</v>
      </c>
      <c r="BM37" s="374">
        <f t="shared" si="4"/>
        <v>151</v>
      </c>
      <c r="BN37" s="459" t="str">
        <f t="shared" si="5"/>
        <v>Básico</v>
      </c>
      <c r="BO37" s="376">
        <f t="shared" si="6"/>
        <v>9</v>
      </c>
      <c r="BP37" s="374">
        <f t="shared" si="7"/>
        <v>186</v>
      </c>
      <c r="BQ37" s="377" t="str">
        <f t="shared" si="8"/>
        <v>Básico</v>
      </c>
      <c r="BR37" s="25"/>
    </row>
    <row r="38" ht="15.75" customHeight="1">
      <c r="A38" s="455">
        <v>9.0</v>
      </c>
      <c r="B38" s="378" t="s">
        <v>459</v>
      </c>
      <c r="C38" s="363" t="s">
        <v>170</v>
      </c>
      <c r="D38" s="447" t="s">
        <v>41</v>
      </c>
      <c r="E38" s="456" t="s">
        <v>42</v>
      </c>
      <c r="F38" s="456" t="s">
        <v>41</v>
      </c>
      <c r="G38" s="456" t="s">
        <v>42</v>
      </c>
      <c r="H38" s="456" t="s">
        <v>44</v>
      </c>
      <c r="I38" s="456" t="s">
        <v>42</v>
      </c>
      <c r="J38" s="456" t="s">
        <v>43</v>
      </c>
      <c r="K38" s="456" t="s">
        <v>44</v>
      </c>
      <c r="L38" s="456" t="s">
        <v>43</v>
      </c>
      <c r="M38" s="456" t="s">
        <v>44</v>
      </c>
      <c r="N38" s="456" t="s">
        <v>43</v>
      </c>
      <c r="O38" s="456" t="s">
        <v>41</v>
      </c>
      <c r="P38" s="456" t="s">
        <v>42</v>
      </c>
      <c r="Q38" s="456" t="s">
        <v>42</v>
      </c>
      <c r="R38" s="456" t="s">
        <v>41</v>
      </c>
      <c r="S38" s="456" t="s">
        <v>41</v>
      </c>
      <c r="T38" s="456" t="s">
        <v>42</v>
      </c>
      <c r="U38" s="456" t="s">
        <v>43</v>
      </c>
      <c r="V38" s="456" t="s">
        <v>43</v>
      </c>
      <c r="W38" s="456" t="s">
        <v>41</v>
      </c>
      <c r="X38" s="456" t="s">
        <v>44</v>
      </c>
      <c r="Y38" s="456" t="s">
        <v>42</v>
      </c>
      <c r="Z38" s="456" t="s">
        <v>42</v>
      </c>
      <c r="AA38" s="456" t="s">
        <v>42</v>
      </c>
      <c r="AB38" s="457" t="s">
        <v>43</v>
      </c>
      <c r="AC38" s="456" t="s">
        <v>44</v>
      </c>
      <c r="AD38" s="456" t="s">
        <v>41</v>
      </c>
      <c r="AE38" s="456" t="s">
        <v>44</v>
      </c>
      <c r="AF38" s="456" t="s">
        <v>43</v>
      </c>
      <c r="AG38" s="456" t="s">
        <v>42</v>
      </c>
      <c r="AH38" s="456" t="s">
        <v>44</v>
      </c>
      <c r="AI38" s="456" t="s">
        <v>44</v>
      </c>
      <c r="AJ38" s="456" t="s">
        <v>41</v>
      </c>
      <c r="AK38" s="456" t="s">
        <v>43</v>
      </c>
      <c r="AL38" s="456" t="s">
        <v>41</v>
      </c>
      <c r="AM38" s="456" t="s">
        <v>41</v>
      </c>
      <c r="AN38" s="456" t="s">
        <v>44</v>
      </c>
      <c r="AO38" s="456" t="s">
        <v>42</v>
      </c>
      <c r="AP38" s="456" t="s">
        <v>44</v>
      </c>
      <c r="AQ38" s="456" t="s">
        <v>42</v>
      </c>
      <c r="AR38" s="456" t="s">
        <v>42</v>
      </c>
      <c r="AS38" s="456" t="s">
        <v>43</v>
      </c>
      <c r="AT38" s="456" t="s">
        <v>42</v>
      </c>
      <c r="AU38" s="456" t="s">
        <v>41</v>
      </c>
      <c r="AV38" s="456" t="s">
        <v>44</v>
      </c>
      <c r="AW38" s="456" t="s">
        <v>42</v>
      </c>
      <c r="AX38" s="456" t="s">
        <v>41</v>
      </c>
      <c r="AY38" s="456" t="s">
        <v>44</v>
      </c>
      <c r="AZ38" s="456" t="s">
        <v>41</v>
      </c>
      <c r="BA38" s="456" t="s">
        <v>43</v>
      </c>
      <c r="BB38" s="456" t="s">
        <v>42</v>
      </c>
      <c r="BD38" s="369" t="s">
        <v>42</v>
      </c>
      <c r="BE38" s="458" t="s">
        <v>173</v>
      </c>
      <c r="BF38" s="458" t="s">
        <v>173</v>
      </c>
      <c r="BG38" s="458" t="s">
        <v>173</v>
      </c>
      <c r="BH38" s="458" t="s">
        <v>173</v>
      </c>
      <c r="BI38" s="371">
        <f t="shared" si="1"/>
        <v>0</v>
      </c>
      <c r="BJ38" s="377" t="str">
        <f t="shared" si="2"/>
        <v>Abaixo do Básico</v>
      </c>
      <c r="BK38" s="373"/>
      <c r="BL38" s="374">
        <f t="shared" si="3"/>
        <v>12</v>
      </c>
      <c r="BM38" s="374">
        <f t="shared" si="4"/>
        <v>254</v>
      </c>
      <c r="BN38" s="459" t="str">
        <f t="shared" si="5"/>
        <v>Adequado</v>
      </c>
      <c r="BO38" s="376">
        <f t="shared" si="6"/>
        <v>2</v>
      </c>
      <c r="BP38" s="374">
        <f t="shared" si="7"/>
        <v>46</v>
      </c>
      <c r="BQ38" s="377" t="str">
        <f t="shared" si="8"/>
        <v>Abaixo do Básico</v>
      </c>
      <c r="BR38" s="25"/>
    </row>
    <row r="39" ht="15.75" customHeight="1">
      <c r="A39" s="455">
        <v>10.0</v>
      </c>
      <c r="B39" s="378" t="s">
        <v>460</v>
      </c>
      <c r="C39" s="363" t="s">
        <v>170</v>
      </c>
      <c r="D39" s="447" t="s">
        <v>42</v>
      </c>
      <c r="E39" s="456" t="s">
        <v>43</v>
      </c>
      <c r="F39" s="456" t="s">
        <v>41</v>
      </c>
      <c r="G39" s="456" t="s">
        <v>44</v>
      </c>
      <c r="H39" s="456" t="s">
        <v>43</v>
      </c>
      <c r="I39" s="456" t="s">
        <v>42</v>
      </c>
      <c r="J39" s="456" t="s">
        <v>41</v>
      </c>
      <c r="K39" s="456" t="s">
        <v>44</v>
      </c>
      <c r="L39" s="456" t="s">
        <v>44</v>
      </c>
      <c r="M39" s="456" t="s">
        <v>42</v>
      </c>
      <c r="N39" s="456" t="s">
        <v>41</v>
      </c>
      <c r="O39" s="456" t="s">
        <v>42</v>
      </c>
      <c r="P39" s="456" t="s">
        <v>44</v>
      </c>
      <c r="Q39" s="456" t="s">
        <v>42</v>
      </c>
      <c r="R39" s="456" t="s">
        <v>44</v>
      </c>
      <c r="S39" s="456" t="s">
        <v>42</v>
      </c>
      <c r="T39" s="456" t="s">
        <v>43</v>
      </c>
      <c r="U39" s="456" t="s">
        <v>41</v>
      </c>
      <c r="V39" s="456" t="s">
        <v>44</v>
      </c>
      <c r="W39" s="456" t="s">
        <v>42</v>
      </c>
      <c r="X39" s="456" t="s">
        <v>43</v>
      </c>
      <c r="Y39" s="456" t="s">
        <v>41</v>
      </c>
      <c r="Z39" s="456" t="s">
        <v>44</v>
      </c>
      <c r="AA39" s="456" t="s">
        <v>42</v>
      </c>
      <c r="AB39" s="457" t="s">
        <v>43</v>
      </c>
      <c r="AC39" s="456" t="s">
        <v>43</v>
      </c>
      <c r="AD39" s="456" t="s">
        <v>44</v>
      </c>
      <c r="AE39" s="456" t="s">
        <v>41</v>
      </c>
      <c r="AF39" s="456" t="s">
        <v>42</v>
      </c>
      <c r="AG39" s="456" t="s">
        <v>44</v>
      </c>
      <c r="AH39" s="456" t="s">
        <v>42</v>
      </c>
      <c r="AI39" s="456" t="s">
        <v>43</v>
      </c>
      <c r="AJ39" s="456" t="s">
        <v>42</v>
      </c>
      <c r="AK39" s="456" t="s">
        <v>41</v>
      </c>
      <c r="AL39" s="456" t="s">
        <v>44</v>
      </c>
      <c r="AM39" s="456" t="s">
        <v>41</v>
      </c>
      <c r="AN39" s="456" t="s">
        <v>43</v>
      </c>
      <c r="AO39" s="456" t="s">
        <v>42</v>
      </c>
      <c r="AP39" s="456" t="s">
        <v>42</v>
      </c>
      <c r="AQ39" s="456" t="s">
        <v>41</v>
      </c>
      <c r="AR39" s="456" t="s">
        <v>41</v>
      </c>
      <c r="AS39" s="456" t="s">
        <v>44</v>
      </c>
      <c r="AT39" s="456" t="s">
        <v>43</v>
      </c>
      <c r="AU39" s="456" t="s">
        <v>42</v>
      </c>
      <c r="AV39" s="456" t="s">
        <v>41</v>
      </c>
      <c r="AW39" s="456" t="s">
        <v>44</v>
      </c>
      <c r="AX39" s="456" t="s">
        <v>42</v>
      </c>
      <c r="AY39" s="456" t="s">
        <v>41</v>
      </c>
      <c r="AZ39" s="456" t="s">
        <v>42</v>
      </c>
      <c r="BA39" s="456" t="s">
        <v>43</v>
      </c>
      <c r="BB39" s="456" t="s">
        <v>44</v>
      </c>
      <c r="BD39" s="369" t="s">
        <v>44</v>
      </c>
      <c r="BE39" s="458">
        <v>3.0</v>
      </c>
      <c r="BF39" s="458">
        <v>3.0</v>
      </c>
      <c r="BG39" s="458">
        <v>2.0</v>
      </c>
      <c r="BH39" s="458">
        <v>2.0</v>
      </c>
      <c r="BI39" s="371">
        <f t="shared" si="1"/>
        <v>62.5</v>
      </c>
      <c r="BJ39" s="377" t="str">
        <f t="shared" si="2"/>
        <v>Adequado</v>
      </c>
      <c r="BK39" s="373"/>
      <c r="BL39" s="374">
        <f t="shared" si="3"/>
        <v>9</v>
      </c>
      <c r="BM39" s="374">
        <f t="shared" si="4"/>
        <v>151</v>
      </c>
      <c r="BN39" s="459" t="str">
        <f t="shared" si="5"/>
        <v>Básico</v>
      </c>
      <c r="BO39" s="376">
        <f t="shared" si="6"/>
        <v>7</v>
      </c>
      <c r="BP39" s="374">
        <f t="shared" si="7"/>
        <v>126</v>
      </c>
      <c r="BQ39" s="377" t="str">
        <f t="shared" si="8"/>
        <v>Básico</v>
      </c>
      <c r="BR39" s="25"/>
    </row>
    <row r="40" ht="15.75" customHeight="1">
      <c r="A40" s="455">
        <v>11.0</v>
      </c>
      <c r="B40" s="378" t="s">
        <v>461</v>
      </c>
      <c r="C40" s="363" t="s">
        <v>170</v>
      </c>
      <c r="D40" s="447" t="s">
        <v>172</v>
      </c>
      <c r="E40" s="456" t="s">
        <v>172</v>
      </c>
      <c r="F40" s="456" t="s">
        <v>172</v>
      </c>
      <c r="G40" s="456" t="s">
        <v>172</v>
      </c>
      <c r="H40" s="456" t="s">
        <v>172</v>
      </c>
      <c r="I40" s="456" t="s">
        <v>172</v>
      </c>
      <c r="J40" s="456" t="s">
        <v>172</v>
      </c>
      <c r="K40" s="456" t="s">
        <v>172</v>
      </c>
      <c r="L40" s="456" t="s">
        <v>172</v>
      </c>
      <c r="M40" s="456" t="s">
        <v>172</v>
      </c>
      <c r="N40" s="456" t="s">
        <v>172</v>
      </c>
      <c r="O40" s="456" t="s">
        <v>172</v>
      </c>
      <c r="P40" s="456" t="s">
        <v>172</v>
      </c>
      <c r="Q40" s="456" t="s">
        <v>172</v>
      </c>
      <c r="R40" s="456" t="s">
        <v>172</v>
      </c>
      <c r="S40" s="456" t="s">
        <v>172</v>
      </c>
      <c r="T40" s="456" t="s">
        <v>172</v>
      </c>
      <c r="U40" s="456" t="s">
        <v>172</v>
      </c>
      <c r="V40" s="456" t="s">
        <v>172</v>
      </c>
      <c r="W40" s="456" t="s">
        <v>172</v>
      </c>
      <c r="X40" s="456" t="s">
        <v>172</v>
      </c>
      <c r="Y40" s="456" t="s">
        <v>172</v>
      </c>
      <c r="Z40" s="456" t="s">
        <v>172</v>
      </c>
      <c r="AA40" s="456" t="s">
        <v>172</v>
      </c>
      <c r="AB40" s="457" t="s">
        <v>172</v>
      </c>
      <c r="AC40" s="456" t="s">
        <v>172</v>
      </c>
      <c r="AD40" s="456" t="s">
        <v>172</v>
      </c>
      <c r="AE40" s="456" t="s">
        <v>172</v>
      </c>
      <c r="AF40" s="456" t="s">
        <v>172</v>
      </c>
      <c r="AG40" s="456" t="s">
        <v>172</v>
      </c>
      <c r="AH40" s="456" t="s">
        <v>172</v>
      </c>
      <c r="AI40" s="456" t="s">
        <v>172</v>
      </c>
      <c r="AJ40" s="456" t="s">
        <v>172</v>
      </c>
      <c r="AK40" s="456" t="s">
        <v>172</v>
      </c>
      <c r="AL40" s="456" t="s">
        <v>172</v>
      </c>
      <c r="AM40" s="456" t="s">
        <v>172</v>
      </c>
      <c r="AN40" s="456" t="s">
        <v>172</v>
      </c>
      <c r="AO40" s="456" t="s">
        <v>172</v>
      </c>
      <c r="AP40" s="456" t="s">
        <v>172</v>
      </c>
      <c r="AQ40" s="456" t="s">
        <v>172</v>
      </c>
      <c r="AR40" s="456" t="s">
        <v>172</v>
      </c>
      <c r="AS40" s="456" t="s">
        <v>172</v>
      </c>
      <c r="AT40" s="456" t="s">
        <v>172</v>
      </c>
      <c r="AU40" s="456" t="s">
        <v>172</v>
      </c>
      <c r="AV40" s="456" t="s">
        <v>172</v>
      </c>
      <c r="AW40" s="456" t="s">
        <v>172</v>
      </c>
      <c r="AX40" s="456" t="s">
        <v>172</v>
      </c>
      <c r="AY40" s="456" t="s">
        <v>172</v>
      </c>
      <c r="AZ40" s="456" t="s">
        <v>172</v>
      </c>
      <c r="BA40" s="456" t="s">
        <v>172</v>
      </c>
      <c r="BB40" s="456" t="s">
        <v>172</v>
      </c>
      <c r="BD40" s="369" t="s">
        <v>172</v>
      </c>
      <c r="BE40" s="458" t="s">
        <v>173</v>
      </c>
      <c r="BF40" s="458" t="s">
        <v>173</v>
      </c>
      <c r="BG40" s="458" t="s">
        <v>173</v>
      </c>
      <c r="BH40" s="458" t="s">
        <v>173</v>
      </c>
      <c r="BI40" s="371">
        <f t="shared" si="1"/>
        <v>0</v>
      </c>
      <c r="BJ40" s="377" t="str">
        <f t="shared" si="2"/>
        <v>Abaixo do Básico</v>
      </c>
      <c r="BK40" s="373"/>
      <c r="BL40" s="374">
        <f t="shared" si="3"/>
        <v>0</v>
      </c>
      <c r="BM40" s="374">
        <f t="shared" si="4"/>
        <v>0</v>
      </c>
      <c r="BN40" s="459" t="str">
        <f t="shared" si="5"/>
        <v>Abaixo do Básico</v>
      </c>
      <c r="BO40" s="376">
        <f t="shared" si="6"/>
        <v>0</v>
      </c>
      <c r="BP40" s="374">
        <f t="shared" si="7"/>
        <v>0</v>
      </c>
      <c r="BQ40" s="377" t="str">
        <f t="shared" si="8"/>
        <v>Abaixo do Básico</v>
      </c>
      <c r="BR40" s="25"/>
    </row>
    <row r="41" ht="15.75" customHeight="1">
      <c r="A41" s="455">
        <v>12.0</v>
      </c>
      <c r="B41" s="378" t="s">
        <v>462</v>
      </c>
      <c r="C41" s="363" t="s">
        <v>170</v>
      </c>
      <c r="D41" s="447" t="s">
        <v>41</v>
      </c>
      <c r="E41" s="456" t="s">
        <v>43</v>
      </c>
      <c r="F41" s="456" t="s">
        <v>41</v>
      </c>
      <c r="G41" s="456" t="s">
        <v>44</v>
      </c>
      <c r="H41" s="456" t="s">
        <v>42</v>
      </c>
      <c r="I41" s="456" t="s">
        <v>43</v>
      </c>
      <c r="J41" s="456" t="s">
        <v>173</v>
      </c>
      <c r="K41" s="456" t="s">
        <v>42</v>
      </c>
      <c r="L41" s="456" t="s">
        <v>41</v>
      </c>
      <c r="M41" s="456" t="s">
        <v>44</v>
      </c>
      <c r="N41" s="456" t="s">
        <v>43</v>
      </c>
      <c r="O41" s="456" t="s">
        <v>42</v>
      </c>
      <c r="P41" s="456" t="s">
        <v>44</v>
      </c>
      <c r="Q41" s="456" t="s">
        <v>41</v>
      </c>
      <c r="R41" s="456" t="s">
        <v>43</v>
      </c>
      <c r="S41" s="456" t="s">
        <v>43</v>
      </c>
      <c r="T41" s="456" t="s">
        <v>41</v>
      </c>
      <c r="U41" s="456" t="s">
        <v>44</v>
      </c>
      <c r="V41" s="456" t="s">
        <v>41</v>
      </c>
      <c r="W41" s="456" t="s">
        <v>43</v>
      </c>
      <c r="X41" s="456" t="s">
        <v>42</v>
      </c>
      <c r="Y41" s="456" t="s">
        <v>43</v>
      </c>
      <c r="Z41" s="456" t="s">
        <v>44</v>
      </c>
      <c r="AA41" s="456" t="s">
        <v>42</v>
      </c>
      <c r="AB41" s="457" t="s">
        <v>42</v>
      </c>
      <c r="AC41" s="456" t="s">
        <v>44</v>
      </c>
      <c r="AD41" s="456" t="s">
        <v>43</v>
      </c>
      <c r="AE41" s="456" t="s">
        <v>42</v>
      </c>
      <c r="AF41" s="456" t="s">
        <v>41</v>
      </c>
      <c r="AG41" s="456" t="s">
        <v>41</v>
      </c>
      <c r="AH41" s="456" t="s">
        <v>44</v>
      </c>
      <c r="AI41" s="456" t="s">
        <v>43</v>
      </c>
      <c r="AJ41" s="456" t="s">
        <v>42</v>
      </c>
      <c r="AK41" s="456" t="s">
        <v>43</v>
      </c>
      <c r="AL41" s="456" t="s">
        <v>42</v>
      </c>
      <c r="AM41" s="456" t="s">
        <v>41</v>
      </c>
      <c r="AN41" s="456" t="s">
        <v>42</v>
      </c>
      <c r="AO41" s="456" t="s">
        <v>42</v>
      </c>
      <c r="AP41" s="456" t="s">
        <v>43</v>
      </c>
      <c r="AQ41" s="456" t="s">
        <v>43</v>
      </c>
      <c r="AR41" s="456" t="s">
        <v>42</v>
      </c>
      <c r="AS41" s="456" t="s">
        <v>41</v>
      </c>
      <c r="AT41" s="456" t="s">
        <v>44</v>
      </c>
      <c r="AU41" s="456" t="s">
        <v>44</v>
      </c>
      <c r="AV41" s="456" t="s">
        <v>41</v>
      </c>
      <c r="AW41" s="456" t="s">
        <v>43</v>
      </c>
      <c r="AX41" s="456" t="s">
        <v>44</v>
      </c>
      <c r="AY41" s="456" t="s">
        <v>42</v>
      </c>
      <c r="AZ41" s="456" t="s">
        <v>41</v>
      </c>
      <c r="BA41" s="456" t="s">
        <v>43</v>
      </c>
      <c r="BB41" s="456" t="s">
        <v>44</v>
      </c>
      <c r="BD41" s="369" t="s">
        <v>42</v>
      </c>
      <c r="BE41" s="458" t="s">
        <v>173</v>
      </c>
      <c r="BF41" s="458" t="s">
        <v>173</v>
      </c>
      <c r="BG41" s="458" t="s">
        <v>173</v>
      </c>
      <c r="BH41" s="458" t="s">
        <v>173</v>
      </c>
      <c r="BI41" s="371">
        <f t="shared" si="1"/>
        <v>0</v>
      </c>
      <c r="BJ41" s="377" t="str">
        <f t="shared" si="2"/>
        <v>Abaixo do Básico</v>
      </c>
      <c r="BK41" s="373"/>
      <c r="BL41" s="374">
        <f t="shared" si="3"/>
        <v>5</v>
      </c>
      <c r="BM41" s="374">
        <f t="shared" si="4"/>
        <v>104</v>
      </c>
      <c r="BN41" s="459" t="str">
        <f t="shared" si="5"/>
        <v>Abaixo do Básico</v>
      </c>
      <c r="BO41" s="376">
        <f t="shared" si="6"/>
        <v>9</v>
      </c>
      <c r="BP41" s="374">
        <f t="shared" si="7"/>
        <v>164</v>
      </c>
      <c r="BQ41" s="377" t="str">
        <f t="shared" si="8"/>
        <v>Básico</v>
      </c>
      <c r="BR41" s="25"/>
    </row>
    <row r="42" ht="15.75" customHeight="1">
      <c r="A42" s="455">
        <v>13.0</v>
      </c>
      <c r="B42" s="378" t="s">
        <v>463</v>
      </c>
      <c r="C42" s="363" t="s">
        <v>170</v>
      </c>
      <c r="D42" s="447" t="s">
        <v>42</v>
      </c>
      <c r="E42" s="456" t="s">
        <v>44</v>
      </c>
      <c r="F42" s="456" t="s">
        <v>41</v>
      </c>
      <c r="G42" s="456" t="s">
        <v>41</v>
      </c>
      <c r="H42" s="456" t="s">
        <v>43</v>
      </c>
      <c r="I42" s="456" t="s">
        <v>42</v>
      </c>
      <c r="J42" s="456" t="s">
        <v>44</v>
      </c>
      <c r="K42" s="456" t="s">
        <v>44</v>
      </c>
      <c r="L42" s="456" t="s">
        <v>41</v>
      </c>
      <c r="M42" s="456" t="s">
        <v>42</v>
      </c>
      <c r="N42" s="456" t="s">
        <v>42</v>
      </c>
      <c r="O42" s="456" t="s">
        <v>42</v>
      </c>
      <c r="P42" s="456" t="s">
        <v>42</v>
      </c>
      <c r="Q42" s="456" t="s">
        <v>44</v>
      </c>
      <c r="R42" s="456" t="s">
        <v>44</v>
      </c>
      <c r="S42" s="456" t="s">
        <v>41</v>
      </c>
      <c r="T42" s="456" t="s">
        <v>42</v>
      </c>
      <c r="U42" s="456" t="s">
        <v>173</v>
      </c>
      <c r="V42" s="456" t="s">
        <v>41</v>
      </c>
      <c r="W42" s="456" t="s">
        <v>42</v>
      </c>
      <c r="X42" s="456" t="s">
        <v>43</v>
      </c>
      <c r="Y42" s="456" t="s">
        <v>44</v>
      </c>
      <c r="Z42" s="456" t="s">
        <v>41</v>
      </c>
      <c r="AA42" s="456" t="s">
        <v>42</v>
      </c>
      <c r="AB42" s="457" t="s">
        <v>44</v>
      </c>
      <c r="AC42" s="456" t="s">
        <v>41</v>
      </c>
      <c r="AD42" s="456" t="s">
        <v>43</v>
      </c>
      <c r="AE42" s="456" t="s">
        <v>42</v>
      </c>
      <c r="AF42" s="456" t="s">
        <v>41</v>
      </c>
      <c r="AG42" s="456" t="s">
        <v>44</v>
      </c>
      <c r="AH42" s="456" t="s">
        <v>43</v>
      </c>
      <c r="AI42" s="456" t="s">
        <v>41</v>
      </c>
      <c r="AJ42" s="456" t="s">
        <v>41</v>
      </c>
      <c r="AK42" s="456" t="s">
        <v>42</v>
      </c>
      <c r="AL42" s="456" t="s">
        <v>44</v>
      </c>
      <c r="AM42" s="456" t="s">
        <v>41</v>
      </c>
      <c r="AN42" s="456" t="s">
        <v>43</v>
      </c>
      <c r="AO42" s="456" t="s">
        <v>42</v>
      </c>
      <c r="AP42" s="456" t="s">
        <v>44</v>
      </c>
      <c r="AQ42" s="456" t="s">
        <v>43</v>
      </c>
      <c r="AR42" s="456" t="s">
        <v>41</v>
      </c>
      <c r="AS42" s="456" t="s">
        <v>42</v>
      </c>
      <c r="AT42" s="456" t="s">
        <v>44</v>
      </c>
      <c r="AU42" s="456" t="s">
        <v>44</v>
      </c>
      <c r="AV42" s="456" t="s">
        <v>42</v>
      </c>
      <c r="AW42" s="456" t="s">
        <v>41</v>
      </c>
      <c r="AX42" s="456" t="s">
        <v>41</v>
      </c>
      <c r="AY42" s="456" t="s">
        <v>43</v>
      </c>
      <c r="AZ42" s="456" t="s">
        <v>44</v>
      </c>
      <c r="BA42" s="456" t="s">
        <v>44</v>
      </c>
      <c r="BB42" s="456" t="s">
        <v>42</v>
      </c>
      <c r="BD42" s="369" t="s">
        <v>44</v>
      </c>
      <c r="BE42" s="458">
        <v>3.0</v>
      </c>
      <c r="BF42" s="458">
        <v>3.0</v>
      </c>
      <c r="BG42" s="458">
        <v>3.0</v>
      </c>
      <c r="BH42" s="458">
        <v>3.0</v>
      </c>
      <c r="BI42" s="371">
        <f t="shared" si="1"/>
        <v>75</v>
      </c>
      <c r="BJ42" s="377" t="str">
        <f t="shared" si="2"/>
        <v>Adequado</v>
      </c>
      <c r="BK42" s="373"/>
      <c r="BL42" s="374">
        <f t="shared" si="3"/>
        <v>14</v>
      </c>
      <c r="BM42" s="374">
        <f t="shared" si="4"/>
        <v>253</v>
      </c>
      <c r="BN42" s="459" t="str">
        <f t="shared" si="5"/>
        <v>Adequado</v>
      </c>
      <c r="BO42" s="376">
        <f t="shared" si="6"/>
        <v>7</v>
      </c>
      <c r="BP42" s="374">
        <f t="shared" si="7"/>
        <v>132</v>
      </c>
      <c r="BQ42" s="377" t="str">
        <f t="shared" si="8"/>
        <v>Básico</v>
      </c>
      <c r="BR42" s="25"/>
    </row>
    <row r="43" ht="15.75" customHeight="1">
      <c r="A43" s="455">
        <v>14.0</v>
      </c>
      <c r="B43" s="378" t="s">
        <v>464</v>
      </c>
      <c r="C43" s="363" t="s">
        <v>170</v>
      </c>
      <c r="D43" s="447" t="s">
        <v>41</v>
      </c>
      <c r="E43" s="456" t="s">
        <v>44</v>
      </c>
      <c r="F43" s="456" t="s">
        <v>41</v>
      </c>
      <c r="G43" s="456" t="s">
        <v>43</v>
      </c>
      <c r="H43" s="456" t="s">
        <v>42</v>
      </c>
      <c r="I43" s="456" t="s">
        <v>41</v>
      </c>
      <c r="J43" s="456" t="s">
        <v>44</v>
      </c>
      <c r="K43" s="456" t="s">
        <v>43</v>
      </c>
      <c r="L43" s="456" t="s">
        <v>41</v>
      </c>
      <c r="M43" s="456" t="s">
        <v>44</v>
      </c>
      <c r="N43" s="456" t="s">
        <v>41</v>
      </c>
      <c r="O43" s="456" t="s">
        <v>44</v>
      </c>
      <c r="P43" s="456" t="s">
        <v>42</v>
      </c>
      <c r="Q43" s="456" t="s">
        <v>44</v>
      </c>
      <c r="R43" s="456" t="s">
        <v>42</v>
      </c>
      <c r="S43" s="456" t="s">
        <v>41</v>
      </c>
      <c r="T43" s="456" t="s">
        <v>43</v>
      </c>
      <c r="U43" s="456" t="s">
        <v>44</v>
      </c>
      <c r="V43" s="456" t="s">
        <v>41</v>
      </c>
      <c r="W43" s="456" t="s">
        <v>42</v>
      </c>
      <c r="X43" s="456" t="s">
        <v>43</v>
      </c>
      <c r="Y43" s="456" t="s">
        <v>43</v>
      </c>
      <c r="Z43" s="456" t="s">
        <v>42</v>
      </c>
      <c r="AA43" s="456" t="s">
        <v>44</v>
      </c>
      <c r="AB43" s="457" t="s">
        <v>43</v>
      </c>
      <c r="AC43" s="456" t="s">
        <v>41</v>
      </c>
      <c r="AD43" s="456" t="s">
        <v>41</v>
      </c>
      <c r="AE43" s="456" t="s">
        <v>42</v>
      </c>
      <c r="AF43" s="456" t="s">
        <v>44</v>
      </c>
      <c r="AG43" s="456" t="s">
        <v>42</v>
      </c>
      <c r="AH43" s="456" t="s">
        <v>43</v>
      </c>
      <c r="AI43" s="456" t="s">
        <v>42</v>
      </c>
      <c r="AJ43" s="456" t="s">
        <v>41</v>
      </c>
      <c r="AK43" s="456" t="s">
        <v>44</v>
      </c>
      <c r="AL43" s="456" t="s">
        <v>42</v>
      </c>
      <c r="AM43" s="456" t="s">
        <v>43</v>
      </c>
      <c r="AN43" s="456" t="s">
        <v>41</v>
      </c>
      <c r="AO43" s="456" t="s">
        <v>41</v>
      </c>
      <c r="AP43" s="456" t="s">
        <v>41</v>
      </c>
      <c r="AQ43" s="456" t="s">
        <v>43</v>
      </c>
      <c r="AR43" s="456" t="s">
        <v>42</v>
      </c>
      <c r="AS43" s="456" t="s">
        <v>42</v>
      </c>
      <c r="AT43" s="456" t="s">
        <v>41</v>
      </c>
      <c r="AU43" s="456" t="s">
        <v>44</v>
      </c>
      <c r="AV43" s="456" t="s">
        <v>42</v>
      </c>
      <c r="AW43" s="456" t="s">
        <v>43</v>
      </c>
      <c r="AX43" s="456" t="s">
        <v>44</v>
      </c>
      <c r="AY43" s="456" t="s">
        <v>41</v>
      </c>
      <c r="AZ43" s="456" t="s">
        <v>44</v>
      </c>
      <c r="BA43" s="456" t="s">
        <v>41</v>
      </c>
      <c r="BB43" s="456" t="s">
        <v>44</v>
      </c>
      <c r="BD43" s="369" t="s">
        <v>42</v>
      </c>
      <c r="BE43" s="458" t="s">
        <v>173</v>
      </c>
      <c r="BF43" s="458" t="s">
        <v>173</v>
      </c>
      <c r="BG43" s="458" t="s">
        <v>173</v>
      </c>
      <c r="BH43" s="458" t="s">
        <v>173</v>
      </c>
      <c r="BI43" s="371">
        <f t="shared" si="1"/>
        <v>0</v>
      </c>
      <c r="BJ43" s="377" t="str">
        <f t="shared" si="2"/>
        <v>Abaixo do Básico</v>
      </c>
      <c r="BK43" s="373"/>
      <c r="BL43" s="374">
        <f t="shared" si="3"/>
        <v>7</v>
      </c>
      <c r="BM43" s="374">
        <f t="shared" si="4"/>
        <v>122</v>
      </c>
      <c r="BN43" s="459" t="str">
        <f t="shared" si="5"/>
        <v>Abaixo do Básico</v>
      </c>
      <c r="BO43" s="376">
        <f t="shared" si="6"/>
        <v>5</v>
      </c>
      <c r="BP43" s="374">
        <f t="shared" si="7"/>
        <v>101</v>
      </c>
      <c r="BQ43" s="377" t="str">
        <f t="shared" si="8"/>
        <v>Abaixo do Básico</v>
      </c>
      <c r="BR43" s="25"/>
    </row>
    <row r="44" ht="15.75" customHeight="1">
      <c r="A44" s="455">
        <v>15.0</v>
      </c>
      <c r="B44" s="378" t="s">
        <v>465</v>
      </c>
      <c r="C44" s="363" t="s">
        <v>170</v>
      </c>
      <c r="D44" s="447" t="s">
        <v>44</v>
      </c>
      <c r="E44" s="456" t="s">
        <v>44</v>
      </c>
      <c r="F44" s="456" t="s">
        <v>41</v>
      </c>
      <c r="G44" s="456" t="s">
        <v>42</v>
      </c>
      <c r="H44" s="456" t="s">
        <v>44</v>
      </c>
      <c r="I44" s="456" t="s">
        <v>42</v>
      </c>
      <c r="J44" s="456" t="s">
        <v>43</v>
      </c>
      <c r="K44" s="456" t="s">
        <v>44</v>
      </c>
      <c r="L44" s="456" t="s">
        <v>41</v>
      </c>
      <c r="M44" s="456" t="s">
        <v>42</v>
      </c>
      <c r="N44" s="456" t="s">
        <v>42</v>
      </c>
      <c r="O44" s="456" t="s">
        <v>41</v>
      </c>
      <c r="P44" s="456" t="s">
        <v>44</v>
      </c>
      <c r="Q44" s="456" t="s">
        <v>44</v>
      </c>
      <c r="R44" s="456" t="s">
        <v>42</v>
      </c>
      <c r="S44" s="456" t="s">
        <v>41</v>
      </c>
      <c r="T44" s="456" t="s">
        <v>42</v>
      </c>
      <c r="U44" s="456" t="s">
        <v>41</v>
      </c>
      <c r="V44" s="456" t="s">
        <v>42</v>
      </c>
      <c r="W44" s="456" t="s">
        <v>41</v>
      </c>
      <c r="X44" s="456" t="s">
        <v>44</v>
      </c>
      <c r="Y44" s="456" t="s">
        <v>41</v>
      </c>
      <c r="Z44" s="456" t="s">
        <v>44</v>
      </c>
      <c r="AA44" s="456" t="s">
        <v>42</v>
      </c>
      <c r="AB44" s="457" t="s">
        <v>44</v>
      </c>
      <c r="AC44" s="456" t="s">
        <v>44</v>
      </c>
      <c r="AD44" s="456" t="s">
        <v>41</v>
      </c>
      <c r="AE44" s="456" t="s">
        <v>43</v>
      </c>
      <c r="AF44" s="456" t="s">
        <v>41</v>
      </c>
      <c r="AG44" s="456" t="s">
        <v>42</v>
      </c>
      <c r="AH44" s="456" t="s">
        <v>42</v>
      </c>
      <c r="AI44" s="456" t="s">
        <v>43</v>
      </c>
      <c r="AJ44" s="456" t="s">
        <v>42</v>
      </c>
      <c r="AK44" s="456" t="s">
        <v>41</v>
      </c>
      <c r="AL44" s="456" t="s">
        <v>44</v>
      </c>
      <c r="AM44" s="456" t="s">
        <v>42</v>
      </c>
      <c r="AN44" s="456" t="s">
        <v>44</v>
      </c>
      <c r="AO44" s="456" t="s">
        <v>42</v>
      </c>
      <c r="AP44" s="456" t="s">
        <v>41</v>
      </c>
      <c r="AQ44" s="456" t="s">
        <v>41</v>
      </c>
      <c r="AR44" s="456" t="s">
        <v>41</v>
      </c>
      <c r="AS44" s="456" t="s">
        <v>42</v>
      </c>
      <c r="AT44" s="456" t="s">
        <v>44</v>
      </c>
      <c r="AU44" s="456" t="s">
        <v>42</v>
      </c>
      <c r="AV44" s="456" t="s">
        <v>42</v>
      </c>
      <c r="AW44" s="456" t="s">
        <v>42</v>
      </c>
      <c r="AX44" s="456" t="s">
        <v>44</v>
      </c>
      <c r="AY44" s="456" t="s">
        <v>43</v>
      </c>
      <c r="AZ44" s="456" t="s">
        <v>43</v>
      </c>
      <c r="BA44" s="456" t="s">
        <v>42</v>
      </c>
      <c r="BB44" s="456" t="s">
        <v>42</v>
      </c>
      <c r="BD44" s="369" t="s">
        <v>44</v>
      </c>
      <c r="BE44" s="458">
        <v>3.0</v>
      </c>
      <c r="BF44" s="458">
        <v>3.0</v>
      </c>
      <c r="BG44" s="458">
        <v>3.0</v>
      </c>
      <c r="BH44" s="458">
        <v>3.0</v>
      </c>
      <c r="BI44" s="371">
        <f t="shared" si="1"/>
        <v>75</v>
      </c>
      <c r="BJ44" s="377" t="str">
        <f t="shared" si="2"/>
        <v>Adequado</v>
      </c>
      <c r="BK44" s="373"/>
      <c r="BL44" s="374">
        <f t="shared" si="3"/>
        <v>14</v>
      </c>
      <c r="BM44" s="374">
        <f t="shared" si="4"/>
        <v>272</v>
      </c>
      <c r="BN44" s="459" t="str">
        <f t="shared" si="5"/>
        <v>Adequado</v>
      </c>
      <c r="BO44" s="376">
        <f t="shared" si="6"/>
        <v>7</v>
      </c>
      <c r="BP44" s="374">
        <f t="shared" si="7"/>
        <v>125</v>
      </c>
      <c r="BQ44" s="377" t="str">
        <f t="shared" si="8"/>
        <v>Abaixo do Básico</v>
      </c>
      <c r="BR44" s="25"/>
    </row>
    <row r="45" ht="15.75" customHeight="1">
      <c r="A45" s="455">
        <v>16.0</v>
      </c>
      <c r="B45" s="378" t="s">
        <v>466</v>
      </c>
      <c r="C45" s="363" t="s">
        <v>170</v>
      </c>
      <c r="D45" s="447" t="s">
        <v>41</v>
      </c>
      <c r="E45" s="456" t="s">
        <v>43</v>
      </c>
      <c r="F45" s="456" t="s">
        <v>41</v>
      </c>
      <c r="G45" s="456" t="s">
        <v>44</v>
      </c>
      <c r="H45" s="456" t="s">
        <v>43</v>
      </c>
      <c r="I45" s="456" t="s">
        <v>42</v>
      </c>
      <c r="J45" s="456" t="s">
        <v>41</v>
      </c>
      <c r="K45" s="456" t="s">
        <v>44</v>
      </c>
      <c r="L45" s="456" t="s">
        <v>41</v>
      </c>
      <c r="M45" s="456" t="s">
        <v>42</v>
      </c>
      <c r="N45" s="456" t="s">
        <v>44</v>
      </c>
      <c r="O45" s="456" t="s">
        <v>42</v>
      </c>
      <c r="P45" s="456" t="s">
        <v>41</v>
      </c>
      <c r="Q45" s="456" t="s">
        <v>44</v>
      </c>
      <c r="R45" s="456" t="s">
        <v>44</v>
      </c>
      <c r="S45" s="456" t="s">
        <v>41</v>
      </c>
      <c r="T45" s="456" t="s">
        <v>42</v>
      </c>
      <c r="U45" s="456" t="s">
        <v>42</v>
      </c>
      <c r="V45" s="456" t="s">
        <v>41</v>
      </c>
      <c r="W45" s="456" t="s">
        <v>43</v>
      </c>
      <c r="X45" s="456" t="s">
        <v>43</v>
      </c>
      <c r="Y45" s="456" t="s">
        <v>44</v>
      </c>
      <c r="Z45" s="456" t="s">
        <v>42</v>
      </c>
      <c r="AA45" s="456" t="s">
        <v>42</v>
      </c>
      <c r="AB45" s="457" t="s">
        <v>42</v>
      </c>
      <c r="AC45" s="456" t="s">
        <v>44</v>
      </c>
      <c r="AD45" s="456" t="s">
        <v>43</v>
      </c>
      <c r="AE45" s="456" t="s">
        <v>42</v>
      </c>
      <c r="AF45" s="456" t="s">
        <v>42</v>
      </c>
      <c r="AG45" s="456" t="s">
        <v>41</v>
      </c>
      <c r="AH45" s="456" t="s">
        <v>41</v>
      </c>
      <c r="AI45" s="456" t="s">
        <v>41</v>
      </c>
      <c r="AJ45" s="456" t="s">
        <v>42</v>
      </c>
      <c r="AK45" s="456" t="s">
        <v>41</v>
      </c>
      <c r="AL45" s="456" t="s">
        <v>44</v>
      </c>
      <c r="AM45" s="456" t="s">
        <v>41</v>
      </c>
      <c r="AN45" s="456" t="s">
        <v>43</v>
      </c>
      <c r="AO45" s="456" t="s">
        <v>43</v>
      </c>
      <c r="AP45" s="456" t="s">
        <v>42</v>
      </c>
      <c r="AQ45" s="456" t="s">
        <v>44</v>
      </c>
      <c r="AR45" s="456" t="s">
        <v>43</v>
      </c>
      <c r="AS45" s="456" t="s">
        <v>41</v>
      </c>
      <c r="AT45" s="456" t="s">
        <v>41</v>
      </c>
      <c r="AU45" s="456" t="s">
        <v>43</v>
      </c>
      <c r="AV45" s="456" t="s">
        <v>43</v>
      </c>
      <c r="AW45" s="456" t="s">
        <v>41</v>
      </c>
      <c r="AX45" s="456" t="s">
        <v>42</v>
      </c>
      <c r="AY45" s="456" t="s">
        <v>44</v>
      </c>
      <c r="AZ45" s="456" t="s">
        <v>43</v>
      </c>
      <c r="BA45" s="456" t="s">
        <v>42</v>
      </c>
      <c r="BB45" s="456" t="s">
        <v>43</v>
      </c>
      <c r="BD45" s="369" t="s">
        <v>42</v>
      </c>
      <c r="BE45" s="458" t="s">
        <v>173</v>
      </c>
      <c r="BF45" s="458" t="s">
        <v>173</v>
      </c>
      <c r="BG45" s="458" t="s">
        <v>173</v>
      </c>
      <c r="BH45" s="458" t="s">
        <v>173</v>
      </c>
      <c r="BI45" s="371">
        <f t="shared" si="1"/>
        <v>0</v>
      </c>
      <c r="BJ45" s="377" t="str">
        <f t="shared" si="2"/>
        <v>Abaixo do Básico</v>
      </c>
      <c r="BK45" s="373"/>
      <c r="BL45" s="374">
        <f t="shared" si="3"/>
        <v>16</v>
      </c>
      <c r="BM45" s="374">
        <f t="shared" si="4"/>
        <v>301</v>
      </c>
      <c r="BN45" s="459" t="str">
        <f t="shared" si="5"/>
        <v>Adequado</v>
      </c>
      <c r="BO45" s="376">
        <f t="shared" si="6"/>
        <v>15</v>
      </c>
      <c r="BP45" s="374">
        <f t="shared" si="7"/>
        <v>289</v>
      </c>
      <c r="BQ45" s="377" t="str">
        <f t="shared" si="8"/>
        <v>Adequado</v>
      </c>
      <c r="BR45" s="25"/>
    </row>
    <row r="46" ht="15.75" customHeight="1">
      <c r="A46" s="455">
        <v>17.0</v>
      </c>
      <c r="B46" s="378" t="s">
        <v>467</v>
      </c>
      <c r="C46" s="363" t="s">
        <v>170</v>
      </c>
      <c r="D46" s="447" t="s">
        <v>41</v>
      </c>
      <c r="E46" s="456" t="s">
        <v>41</v>
      </c>
      <c r="F46" s="456" t="s">
        <v>41</v>
      </c>
      <c r="G46" s="456" t="s">
        <v>42</v>
      </c>
      <c r="H46" s="456" t="s">
        <v>43</v>
      </c>
      <c r="I46" s="456" t="s">
        <v>42</v>
      </c>
      <c r="J46" s="456" t="s">
        <v>41</v>
      </c>
      <c r="K46" s="456" t="s">
        <v>44</v>
      </c>
      <c r="L46" s="456" t="s">
        <v>41</v>
      </c>
      <c r="M46" s="456" t="s">
        <v>42</v>
      </c>
      <c r="N46" s="456" t="s">
        <v>44</v>
      </c>
      <c r="O46" s="456" t="s">
        <v>42</v>
      </c>
      <c r="P46" s="456" t="s">
        <v>42</v>
      </c>
      <c r="Q46" s="456" t="s">
        <v>44</v>
      </c>
      <c r="R46" s="456" t="s">
        <v>41</v>
      </c>
      <c r="S46" s="456" t="s">
        <v>41</v>
      </c>
      <c r="T46" s="456" t="s">
        <v>42</v>
      </c>
      <c r="U46" s="456" t="s">
        <v>44</v>
      </c>
      <c r="V46" s="456" t="s">
        <v>42</v>
      </c>
      <c r="W46" s="456" t="s">
        <v>42</v>
      </c>
      <c r="X46" s="456" t="s">
        <v>41</v>
      </c>
      <c r="Y46" s="456" t="s">
        <v>44</v>
      </c>
      <c r="Z46" s="456" t="s">
        <v>42</v>
      </c>
      <c r="AA46" s="456" t="s">
        <v>42</v>
      </c>
      <c r="AB46" s="457" t="s">
        <v>42</v>
      </c>
      <c r="AC46" s="456" t="s">
        <v>44</v>
      </c>
      <c r="AD46" s="456" t="s">
        <v>43</v>
      </c>
      <c r="AE46" s="456" t="s">
        <v>41</v>
      </c>
      <c r="AF46" s="456" t="s">
        <v>42</v>
      </c>
      <c r="AG46" s="456" t="s">
        <v>43</v>
      </c>
      <c r="AH46" s="456" t="s">
        <v>41</v>
      </c>
      <c r="AI46" s="456" t="s">
        <v>44</v>
      </c>
      <c r="AJ46" s="456" t="s">
        <v>42</v>
      </c>
      <c r="AK46" s="456" t="s">
        <v>42</v>
      </c>
      <c r="AL46" s="456" t="s">
        <v>41</v>
      </c>
      <c r="AM46" s="456" t="s">
        <v>42</v>
      </c>
      <c r="AN46" s="456" t="s">
        <v>44</v>
      </c>
      <c r="AO46" s="456" t="s">
        <v>43</v>
      </c>
      <c r="AP46" s="456" t="s">
        <v>42</v>
      </c>
      <c r="AQ46" s="456" t="s">
        <v>43</v>
      </c>
      <c r="AR46" s="456" t="s">
        <v>41</v>
      </c>
      <c r="AS46" s="456" t="s">
        <v>44</v>
      </c>
      <c r="AT46" s="456" t="s">
        <v>44</v>
      </c>
      <c r="AU46" s="456" t="s">
        <v>41</v>
      </c>
      <c r="AV46" s="456" t="s">
        <v>43</v>
      </c>
      <c r="AW46" s="456" t="s">
        <v>42</v>
      </c>
      <c r="AX46" s="456" t="s">
        <v>41</v>
      </c>
      <c r="AY46" s="456" t="s">
        <v>41</v>
      </c>
      <c r="AZ46" s="456" t="s">
        <v>44</v>
      </c>
      <c r="BA46" s="456" t="s">
        <v>43</v>
      </c>
      <c r="BB46" s="456" t="s">
        <v>41</v>
      </c>
      <c r="BD46" s="369" t="s">
        <v>44</v>
      </c>
      <c r="BE46" s="458">
        <v>3.0</v>
      </c>
      <c r="BF46" s="458">
        <v>3.0</v>
      </c>
      <c r="BG46" s="458">
        <v>3.0</v>
      </c>
      <c r="BH46" s="458">
        <v>3.0</v>
      </c>
      <c r="BI46" s="371">
        <f t="shared" si="1"/>
        <v>75</v>
      </c>
      <c r="BJ46" s="377" t="str">
        <f t="shared" si="2"/>
        <v>Adequado</v>
      </c>
      <c r="BK46" s="373"/>
      <c r="BL46" s="374">
        <f t="shared" si="3"/>
        <v>19</v>
      </c>
      <c r="BM46" s="374">
        <f t="shared" si="4"/>
        <v>404</v>
      </c>
      <c r="BN46" s="459" t="str">
        <f t="shared" si="5"/>
        <v>Avançado</v>
      </c>
      <c r="BO46" s="376">
        <f t="shared" si="6"/>
        <v>5</v>
      </c>
      <c r="BP46" s="374">
        <f t="shared" si="7"/>
        <v>87</v>
      </c>
      <c r="BQ46" s="377" t="str">
        <f t="shared" si="8"/>
        <v>Abaixo do Básico</v>
      </c>
      <c r="BR46" s="25"/>
    </row>
    <row r="47" ht="15.75" customHeight="1">
      <c r="A47" s="455">
        <v>18.0</v>
      </c>
      <c r="B47" s="378" t="s">
        <v>468</v>
      </c>
      <c r="C47" s="363" t="s">
        <v>170</v>
      </c>
      <c r="D47" s="447" t="s">
        <v>172</v>
      </c>
      <c r="E47" s="456" t="s">
        <v>172</v>
      </c>
      <c r="F47" s="456" t="s">
        <v>172</v>
      </c>
      <c r="G47" s="456" t="s">
        <v>172</v>
      </c>
      <c r="H47" s="456" t="s">
        <v>172</v>
      </c>
      <c r="I47" s="456" t="s">
        <v>172</v>
      </c>
      <c r="J47" s="456" t="s">
        <v>172</v>
      </c>
      <c r="K47" s="456" t="s">
        <v>172</v>
      </c>
      <c r="L47" s="456" t="s">
        <v>172</v>
      </c>
      <c r="M47" s="456" t="s">
        <v>172</v>
      </c>
      <c r="N47" s="456" t="s">
        <v>172</v>
      </c>
      <c r="O47" s="456" t="s">
        <v>172</v>
      </c>
      <c r="P47" s="456" t="s">
        <v>172</v>
      </c>
      <c r="Q47" s="456" t="s">
        <v>172</v>
      </c>
      <c r="R47" s="456" t="s">
        <v>172</v>
      </c>
      <c r="S47" s="456" t="s">
        <v>172</v>
      </c>
      <c r="T47" s="456" t="s">
        <v>172</v>
      </c>
      <c r="U47" s="456" t="s">
        <v>172</v>
      </c>
      <c r="V47" s="456" t="s">
        <v>172</v>
      </c>
      <c r="W47" s="456" t="s">
        <v>172</v>
      </c>
      <c r="X47" s="456" t="s">
        <v>172</v>
      </c>
      <c r="Y47" s="456" t="s">
        <v>172</v>
      </c>
      <c r="Z47" s="456" t="s">
        <v>172</v>
      </c>
      <c r="AA47" s="456" t="s">
        <v>172</v>
      </c>
      <c r="AB47" s="457" t="s">
        <v>172</v>
      </c>
      <c r="AC47" s="456" t="s">
        <v>172</v>
      </c>
      <c r="AD47" s="456" t="s">
        <v>172</v>
      </c>
      <c r="AE47" s="456" t="s">
        <v>172</v>
      </c>
      <c r="AF47" s="456" t="s">
        <v>172</v>
      </c>
      <c r="AG47" s="456" t="s">
        <v>172</v>
      </c>
      <c r="AH47" s="456" t="s">
        <v>172</v>
      </c>
      <c r="AI47" s="456" t="s">
        <v>172</v>
      </c>
      <c r="AJ47" s="456" t="s">
        <v>172</v>
      </c>
      <c r="AK47" s="456" t="s">
        <v>172</v>
      </c>
      <c r="AL47" s="456" t="s">
        <v>172</v>
      </c>
      <c r="AM47" s="456" t="s">
        <v>172</v>
      </c>
      <c r="AN47" s="456" t="s">
        <v>172</v>
      </c>
      <c r="AO47" s="456" t="s">
        <v>172</v>
      </c>
      <c r="AP47" s="456" t="s">
        <v>172</v>
      </c>
      <c r="AQ47" s="456" t="s">
        <v>172</v>
      </c>
      <c r="AR47" s="456" t="s">
        <v>172</v>
      </c>
      <c r="AS47" s="456" t="s">
        <v>172</v>
      </c>
      <c r="AT47" s="456" t="s">
        <v>172</v>
      </c>
      <c r="AU47" s="456" t="s">
        <v>172</v>
      </c>
      <c r="AV47" s="456" t="s">
        <v>172</v>
      </c>
      <c r="AW47" s="456" t="s">
        <v>172</v>
      </c>
      <c r="AX47" s="456" t="s">
        <v>172</v>
      </c>
      <c r="AY47" s="456" t="s">
        <v>172</v>
      </c>
      <c r="AZ47" s="456" t="s">
        <v>172</v>
      </c>
      <c r="BA47" s="456" t="s">
        <v>172</v>
      </c>
      <c r="BB47" s="456" t="s">
        <v>172</v>
      </c>
      <c r="BD47" s="369" t="s">
        <v>172</v>
      </c>
      <c r="BE47" s="458" t="s">
        <v>173</v>
      </c>
      <c r="BF47" s="458" t="s">
        <v>173</v>
      </c>
      <c r="BG47" s="458" t="s">
        <v>173</v>
      </c>
      <c r="BH47" s="458" t="s">
        <v>173</v>
      </c>
      <c r="BI47" s="371">
        <f t="shared" si="1"/>
        <v>0</v>
      </c>
      <c r="BJ47" s="377" t="str">
        <f t="shared" si="2"/>
        <v>Abaixo do Básico</v>
      </c>
      <c r="BK47" s="373"/>
      <c r="BL47" s="374">
        <f t="shared" si="3"/>
        <v>0</v>
      </c>
      <c r="BM47" s="374">
        <f t="shared" si="4"/>
        <v>0</v>
      </c>
      <c r="BN47" s="459" t="str">
        <f t="shared" si="5"/>
        <v>Abaixo do Básico</v>
      </c>
      <c r="BO47" s="376">
        <f t="shared" si="6"/>
        <v>0</v>
      </c>
      <c r="BP47" s="374">
        <f t="shared" si="7"/>
        <v>0</v>
      </c>
      <c r="BQ47" s="377" t="str">
        <f t="shared" si="8"/>
        <v>Abaixo do Básico</v>
      </c>
      <c r="BR47" s="25"/>
    </row>
    <row r="48" ht="15.75" customHeight="1">
      <c r="A48" s="455">
        <v>19.0</v>
      </c>
      <c r="B48" s="378" t="s">
        <v>469</v>
      </c>
      <c r="C48" s="363" t="s">
        <v>170</v>
      </c>
      <c r="D48" s="447" t="s">
        <v>43</v>
      </c>
      <c r="E48" s="456" t="s">
        <v>44</v>
      </c>
      <c r="F48" s="456" t="s">
        <v>41</v>
      </c>
      <c r="G48" s="456" t="s">
        <v>42</v>
      </c>
      <c r="H48" s="456" t="s">
        <v>44</v>
      </c>
      <c r="I48" s="456" t="s">
        <v>42</v>
      </c>
      <c r="J48" s="456" t="s">
        <v>42</v>
      </c>
      <c r="K48" s="456" t="s">
        <v>44</v>
      </c>
      <c r="L48" s="456" t="s">
        <v>42</v>
      </c>
      <c r="M48" s="456" t="s">
        <v>44</v>
      </c>
      <c r="N48" s="456" t="s">
        <v>44</v>
      </c>
      <c r="O48" s="456" t="s">
        <v>41</v>
      </c>
      <c r="P48" s="456" t="s">
        <v>42</v>
      </c>
      <c r="Q48" s="456" t="s">
        <v>41</v>
      </c>
      <c r="R48" s="456" t="s">
        <v>41</v>
      </c>
      <c r="S48" s="456" t="s">
        <v>42</v>
      </c>
      <c r="T48" s="456" t="s">
        <v>42</v>
      </c>
      <c r="U48" s="456" t="s">
        <v>44</v>
      </c>
      <c r="V48" s="456" t="s">
        <v>43</v>
      </c>
      <c r="W48" s="456" t="s">
        <v>41</v>
      </c>
      <c r="X48" s="456" t="s">
        <v>42</v>
      </c>
      <c r="Y48" s="456" t="s">
        <v>42</v>
      </c>
      <c r="Z48" s="456" t="s">
        <v>42</v>
      </c>
      <c r="AA48" s="456" t="s">
        <v>42</v>
      </c>
      <c r="AB48" s="457" t="s">
        <v>44</v>
      </c>
      <c r="AC48" s="456" t="s">
        <v>41</v>
      </c>
      <c r="AD48" s="456" t="s">
        <v>42</v>
      </c>
      <c r="AE48" s="456" t="s">
        <v>43</v>
      </c>
      <c r="AF48" s="456" t="s">
        <v>42</v>
      </c>
      <c r="AG48" s="456" t="s">
        <v>42</v>
      </c>
      <c r="AH48" s="456" t="s">
        <v>44</v>
      </c>
      <c r="AI48" s="456" t="s">
        <v>42</v>
      </c>
      <c r="AJ48" s="456" t="s">
        <v>43</v>
      </c>
      <c r="AK48" s="456" t="s">
        <v>43</v>
      </c>
      <c r="AL48" s="456" t="s">
        <v>42</v>
      </c>
      <c r="AM48" s="456" t="s">
        <v>44</v>
      </c>
      <c r="AN48" s="456" t="s">
        <v>41</v>
      </c>
      <c r="AO48" s="456" t="s">
        <v>43</v>
      </c>
      <c r="AP48" s="456" t="s">
        <v>43</v>
      </c>
      <c r="AQ48" s="456" t="s">
        <v>42</v>
      </c>
      <c r="AR48" s="456" t="s">
        <v>42</v>
      </c>
      <c r="AS48" s="456" t="s">
        <v>44</v>
      </c>
      <c r="AT48" s="456" t="s">
        <v>41</v>
      </c>
      <c r="AU48" s="456" t="s">
        <v>43</v>
      </c>
      <c r="AV48" s="456" t="s">
        <v>44</v>
      </c>
      <c r="AW48" s="456" t="s">
        <v>44</v>
      </c>
      <c r="AX48" s="456" t="s">
        <v>41</v>
      </c>
      <c r="AY48" s="456" t="s">
        <v>42</v>
      </c>
      <c r="AZ48" s="456" t="s">
        <v>43</v>
      </c>
      <c r="BA48" s="456" t="s">
        <v>41</v>
      </c>
      <c r="BB48" s="456" t="s">
        <v>43</v>
      </c>
      <c r="BD48" s="369" t="s">
        <v>42</v>
      </c>
      <c r="BE48" s="458" t="s">
        <v>173</v>
      </c>
      <c r="BF48" s="458" t="s">
        <v>173</v>
      </c>
      <c r="BG48" s="458" t="s">
        <v>173</v>
      </c>
      <c r="BH48" s="458" t="s">
        <v>173</v>
      </c>
      <c r="BI48" s="371">
        <f t="shared" si="1"/>
        <v>0</v>
      </c>
      <c r="BJ48" s="377" t="str">
        <f t="shared" si="2"/>
        <v>Abaixo do Básico</v>
      </c>
      <c r="BK48" s="373"/>
      <c r="BL48" s="374">
        <f t="shared" si="3"/>
        <v>12</v>
      </c>
      <c r="BM48" s="374">
        <f t="shared" si="4"/>
        <v>235</v>
      </c>
      <c r="BN48" s="459" t="str">
        <f t="shared" si="5"/>
        <v>Básico</v>
      </c>
      <c r="BO48" s="376">
        <f t="shared" si="6"/>
        <v>10</v>
      </c>
      <c r="BP48" s="374">
        <f t="shared" si="7"/>
        <v>202</v>
      </c>
      <c r="BQ48" s="377" t="str">
        <f t="shared" si="8"/>
        <v>Básico</v>
      </c>
      <c r="BR48" s="25"/>
    </row>
    <row r="49" ht="15.75" customHeight="1">
      <c r="A49" s="455">
        <v>20.0</v>
      </c>
      <c r="B49" s="378" t="s">
        <v>470</v>
      </c>
      <c r="C49" s="363" t="s">
        <v>170</v>
      </c>
      <c r="D49" s="447" t="s">
        <v>41</v>
      </c>
      <c r="E49" s="456" t="s">
        <v>44</v>
      </c>
      <c r="F49" s="456" t="s">
        <v>41</v>
      </c>
      <c r="G49" s="456" t="s">
        <v>42</v>
      </c>
      <c r="H49" s="456" t="s">
        <v>43</v>
      </c>
      <c r="I49" s="456" t="s">
        <v>44</v>
      </c>
      <c r="J49" s="456" t="s">
        <v>44</v>
      </c>
      <c r="K49" s="456" t="s">
        <v>41</v>
      </c>
      <c r="L49" s="456" t="s">
        <v>44</v>
      </c>
      <c r="M49" s="456" t="s">
        <v>42</v>
      </c>
      <c r="N49" s="456" t="s">
        <v>43</v>
      </c>
      <c r="O49" s="456" t="s">
        <v>41</v>
      </c>
      <c r="P49" s="456" t="s">
        <v>41</v>
      </c>
      <c r="Q49" s="456" t="s">
        <v>44</v>
      </c>
      <c r="R49" s="456" t="s">
        <v>41</v>
      </c>
      <c r="S49" s="456" t="s">
        <v>43</v>
      </c>
      <c r="T49" s="456" t="s">
        <v>44</v>
      </c>
      <c r="U49" s="456" t="s">
        <v>43</v>
      </c>
      <c r="V49" s="456" t="s">
        <v>42</v>
      </c>
      <c r="W49" s="456" t="s">
        <v>42</v>
      </c>
      <c r="X49" s="456" t="s">
        <v>44</v>
      </c>
      <c r="Y49" s="456" t="s">
        <v>41</v>
      </c>
      <c r="Z49" s="456" t="s">
        <v>43</v>
      </c>
      <c r="AA49" s="456" t="s">
        <v>44</v>
      </c>
      <c r="AB49" s="457" t="s">
        <v>44</v>
      </c>
      <c r="AC49" s="456" t="s">
        <v>43</v>
      </c>
      <c r="AD49" s="456" t="s">
        <v>44</v>
      </c>
      <c r="AE49" s="456" t="s">
        <v>41</v>
      </c>
      <c r="AF49" s="456" t="s">
        <v>44</v>
      </c>
      <c r="AG49" s="456" t="s">
        <v>42</v>
      </c>
      <c r="AH49" s="456" t="s">
        <v>42</v>
      </c>
      <c r="AI49" s="456" t="s">
        <v>44</v>
      </c>
      <c r="AJ49" s="456" t="s">
        <v>42</v>
      </c>
      <c r="AK49" s="456" t="s">
        <v>42</v>
      </c>
      <c r="AL49" s="456" t="s">
        <v>42</v>
      </c>
      <c r="AM49" s="456" t="s">
        <v>44</v>
      </c>
      <c r="AN49" s="456" t="s">
        <v>43</v>
      </c>
      <c r="AO49" s="456" t="s">
        <v>43</v>
      </c>
      <c r="AP49" s="456" t="s">
        <v>43</v>
      </c>
      <c r="AQ49" s="456" t="s">
        <v>44</v>
      </c>
      <c r="AR49" s="456" t="s">
        <v>41</v>
      </c>
      <c r="AS49" s="456" t="s">
        <v>43</v>
      </c>
      <c r="AT49" s="456" t="s">
        <v>41</v>
      </c>
      <c r="AU49" s="456" t="s">
        <v>43</v>
      </c>
      <c r="AV49" s="456" t="s">
        <v>42</v>
      </c>
      <c r="AW49" s="456" t="s">
        <v>42</v>
      </c>
      <c r="AX49" s="456" t="s">
        <v>41</v>
      </c>
      <c r="AY49" s="456" t="s">
        <v>41</v>
      </c>
      <c r="AZ49" s="456" t="s">
        <v>44</v>
      </c>
      <c r="BA49" s="456" t="s">
        <v>44</v>
      </c>
      <c r="BB49" s="456" t="s">
        <v>41</v>
      </c>
      <c r="BD49" s="369" t="s">
        <v>44</v>
      </c>
      <c r="BE49" s="458">
        <v>2.0</v>
      </c>
      <c r="BF49" s="458">
        <v>2.0</v>
      </c>
      <c r="BG49" s="458">
        <v>2.0</v>
      </c>
      <c r="BH49" s="458">
        <v>2.0</v>
      </c>
      <c r="BI49" s="371">
        <f t="shared" si="1"/>
        <v>50</v>
      </c>
      <c r="BJ49" s="377" t="str">
        <f t="shared" si="2"/>
        <v>Básico</v>
      </c>
      <c r="BK49" s="373"/>
      <c r="BL49" s="374">
        <f t="shared" si="3"/>
        <v>8</v>
      </c>
      <c r="BM49" s="374">
        <f t="shared" si="4"/>
        <v>159</v>
      </c>
      <c r="BN49" s="459" t="str">
        <f t="shared" si="5"/>
        <v>Básico</v>
      </c>
      <c r="BO49" s="376">
        <f t="shared" si="6"/>
        <v>4</v>
      </c>
      <c r="BP49" s="374">
        <f t="shared" si="7"/>
        <v>71</v>
      </c>
      <c r="BQ49" s="377" t="str">
        <f t="shared" si="8"/>
        <v>Abaixo do Básico</v>
      </c>
      <c r="BR49" s="25"/>
    </row>
    <row r="50" ht="15.75" customHeight="1">
      <c r="A50" s="455">
        <v>21.0</v>
      </c>
      <c r="B50" s="378" t="s">
        <v>471</v>
      </c>
      <c r="C50" s="363" t="s">
        <v>170</v>
      </c>
      <c r="D50" s="447" t="s">
        <v>43</v>
      </c>
      <c r="E50" s="456" t="s">
        <v>42</v>
      </c>
      <c r="F50" s="456" t="s">
        <v>44</v>
      </c>
      <c r="G50" s="456" t="s">
        <v>44</v>
      </c>
      <c r="H50" s="456" t="s">
        <v>41</v>
      </c>
      <c r="I50" s="456" t="s">
        <v>42</v>
      </c>
      <c r="J50" s="456" t="s">
        <v>43</v>
      </c>
      <c r="K50" s="456" t="s">
        <v>44</v>
      </c>
      <c r="L50" s="456" t="s">
        <v>42</v>
      </c>
      <c r="M50" s="456" t="s">
        <v>41</v>
      </c>
      <c r="N50" s="456" t="s">
        <v>42</v>
      </c>
      <c r="O50" s="456" t="s">
        <v>43</v>
      </c>
      <c r="P50" s="456" t="s">
        <v>41</v>
      </c>
      <c r="Q50" s="456" t="s">
        <v>44</v>
      </c>
      <c r="R50" s="456" t="s">
        <v>41</v>
      </c>
      <c r="S50" s="456" t="s">
        <v>41</v>
      </c>
      <c r="T50" s="456" t="s">
        <v>42</v>
      </c>
      <c r="U50" s="456" t="s">
        <v>42</v>
      </c>
      <c r="V50" s="456" t="s">
        <v>44</v>
      </c>
      <c r="W50" s="456" t="s">
        <v>42</v>
      </c>
      <c r="X50" s="456" t="s">
        <v>43</v>
      </c>
      <c r="Y50" s="456" t="s">
        <v>44</v>
      </c>
      <c r="Z50" s="456" t="s">
        <v>42</v>
      </c>
      <c r="AA50" s="456" t="s">
        <v>42</v>
      </c>
      <c r="AB50" s="457" t="s">
        <v>41</v>
      </c>
      <c r="AC50" s="456" t="s">
        <v>41</v>
      </c>
      <c r="AD50" s="456" t="s">
        <v>43</v>
      </c>
      <c r="AE50" s="456" t="s">
        <v>42</v>
      </c>
      <c r="AF50" s="456" t="s">
        <v>43</v>
      </c>
      <c r="AG50" s="456" t="s">
        <v>44</v>
      </c>
      <c r="AH50" s="456" t="s">
        <v>41</v>
      </c>
      <c r="AI50" s="456" t="s">
        <v>42</v>
      </c>
      <c r="AJ50" s="456" t="s">
        <v>44</v>
      </c>
      <c r="AK50" s="456" t="s">
        <v>41</v>
      </c>
      <c r="AL50" s="456" t="s">
        <v>44</v>
      </c>
      <c r="AM50" s="456" t="s">
        <v>41</v>
      </c>
      <c r="AN50" s="456" t="s">
        <v>42</v>
      </c>
      <c r="AO50" s="456" t="s">
        <v>43</v>
      </c>
      <c r="AP50" s="456" t="s">
        <v>44</v>
      </c>
      <c r="AQ50" s="456" t="s">
        <v>42</v>
      </c>
      <c r="AR50" s="456" t="s">
        <v>42</v>
      </c>
      <c r="AS50" s="456" t="s">
        <v>43</v>
      </c>
      <c r="AT50" s="456" t="s">
        <v>41</v>
      </c>
      <c r="AU50" s="456" t="s">
        <v>44</v>
      </c>
      <c r="AV50" s="456" t="s">
        <v>42</v>
      </c>
      <c r="AW50" s="456" t="s">
        <v>41</v>
      </c>
      <c r="AX50" s="456" t="s">
        <v>43</v>
      </c>
      <c r="AY50" s="456" t="s">
        <v>41</v>
      </c>
      <c r="AZ50" s="456" t="s">
        <v>44</v>
      </c>
      <c r="BA50" s="456" t="s">
        <v>41</v>
      </c>
      <c r="BB50" s="456" t="s">
        <v>44</v>
      </c>
      <c r="BD50" s="369" t="s">
        <v>44</v>
      </c>
      <c r="BE50" s="458">
        <v>3.0</v>
      </c>
      <c r="BF50" s="458">
        <v>3.0</v>
      </c>
      <c r="BG50" s="458">
        <v>3.0</v>
      </c>
      <c r="BH50" s="458">
        <v>3.0</v>
      </c>
      <c r="BI50" s="371">
        <f t="shared" si="1"/>
        <v>75</v>
      </c>
      <c r="BJ50" s="377" t="str">
        <f t="shared" si="2"/>
        <v>Adequado</v>
      </c>
      <c r="BK50" s="373"/>
      <c r="BL50" s="374">
        <f t="shared" si="3"/>
        <v>8</v>
      </c>
      <c r="BM50" s="374">
        <f t="shared" si="4"/>
        <v>150</v>
      </c>
      <c r="BN50" s="459" t="str">
        <f t="shared" si="5"/>
        <v>Básico</v>
      </c>
      <c r="BO50" s="376">
        <f t="shared" si="6"/>
        <v>10</v>
      </c>
      <c r="BP50" s="374">
        <f t="shared" si="7"/>
        <v>195</v>
      </c>
      <c r="BQ50" s="377" t="str">
        <f t="shared" si="8"/>
        <v>Básico</v>
      </c>
      <c r="BR50" s="25"/>
    </row>
    <row r="51" ht="15.75" customHeight="1">
      <c r="A51" s="455">
        <v>22.0</v>
      </c>
      <c r="B51" s="378" t="s">
        <v>472</v>
      </c>
      <c r="C51" s="363" t="s">
        <v>170</v>
      </c>
      <c r="D51" s="447" t="s">
        <v>44</v>
      </c>
      <c r="E51" s="456" t="s">
        <v>42</v>
      </c>
      <c r="F51" s="456" t="s">
        <v>41</v>
      </c>
      <c r="G51" s="456" t="s">
        <v>41</v>
      </c>
      <c r="H51" s="456" t="s">
        <v>44</v>
      </c>
      <c r="I51" s="456" t="s">
        <v>42</v>
      </c>
      <c r="J51" s="456" t="s">
        <v>43</v>
      </c>
      <c r="K51" s="456" t="s">
        <v>44</v>
      </c>
      <c r="L51" s="456" t="s">
        <v>41</v>
      </c>
      <c r="M51" s="456" t="s">
        <v>44</v>
      </c>
      <c r="N51" s="456" t="s">
        <v>44</v>
      </c>
      <c r="O51" s="456" t="s">
        <v>42</v>
      </c>
      <c r="P51" s="456" t="s">
        <v>41</v>
      </c>
      <c r="Q51" s="456" t="s">
        <v>42</v>
      </c>
      <c r="R51" s="456" t="s">
        <v>41</v>
      </c>
      <c r="S51" s="456" t="s">
        <v>41</v>
      </c>
      <c r="T51" s="456" t="s">
        <v>43</v>
      </c>
      <c r="U51" s="456" t="s">
        <v>44</v>
      </c>
      <c r="V51" s="456" t="s">
        <v>44</v>
      </c>
      <c r="W51" s="456" t="s">
        <v>41</v>
      </c>
      <c r="X51" s="456" t="s">
        <v>42</v>
      </c>
      <c r="Y51" s="456" t="s">
        <v>42</v>
      </c>
      <c r="Z51" s="456" t="s">
        <v>42</v>
      </c>
      <c r="AA51" s="456" t="s">
        <v>42</v>
      </c>
      <c r="AB51" s="457" t="s">
        <v>42</v>
      </c>
      <c r="AC51" s="456" t="s">
        <v>44</v>
      </c>
      <c r="AD51" s="456" t="s">
        <v>44</v>
      </c>
      <c r="AE51" s="456" t="s">
        <v>43</v>
      </c>
      <c r="AF51" s="456" t="s">
        <v>44</v>
      </c>
      <c r="AG51" s="456" t="s">
        <v>42</v>
      </c>
      <c r="AH51" s="456" t="s">
        <v>41</v>
      </c>
      <c r="AI51" s="456" t="s">
        <v>44</v>
      </c>
      <c r="AJ51" s="456" t="s">
        <v>41</v>
      </c>
      <c r="AK51" s="456" t="s">
        <v>41</v>
      </c>
      <c r="AL51" s="456" t="s">
        <v>41</v>
      </c>
      <c r="AM51" s="456" t="s">
        <v>43</v>
      </c>
      <c r="AN51" s="456" t="s">
        <v>41</v>
      </c>
      <c r="AO51" s="456" t="s">
        <v>41</v>
      </c>
      <c r="AP51" s="456" t="s">
        <v>43</v>
      </c>
      <c r="AQ51" s="456" t="s">
        <v>42</v>
      </c>
      <c r="AR51" s="456" t="s">
        <v>41</v>
      </c>
      <c r="AS51" s="456" t="s">
        <v>42</v>
      </c>
      <c r="AT51" s="456" t="s">
        <v>42</v>
      </c>
      <c r="AU51" s="456" t="s">
        <v>44</v>
      </c>
      <c r="AV51" s="456" t="s">
        <v>43</v>
      </c>
      <c r="AW51" s="456" t="s">
        <v>42</v>
      </c>
      <c r="AX51" s="456" t="s">
        <v>44</v>
      </c>
      <c r="AY51" s="456" t="s">
        <v>42</v>
      </c>
      <c r="AZ51" s="456" t="s">
        <v>41</v>
      </c>
      <c r="BA51" s="456" t="s">
        <v>42</v>
      </c>
      <c r="BB51" s="456" t="s">
        <v>42</v>
      </c>
      <c r="BD51" s="369" t="s">
        <v>42</v>
      </c>
      <c r="BE51" s="458" t="s">
        <v>173</v>
      </c>
      <c r="BF51" s="458" t="s">
        <v>173</v>
      </c>
      <c r="BG51" s="458" t="s">
        <v>173</v>
      </c>
      <c r="BH51" s="458" t="s">
        <v>173</v>
      </c>
      <c r="BI51" s="371">
        <f t="shared" si="1"/>
        <v>0</v>
      </c>
      <c r="BJ51" s="377" t="str">
        <f t="shared" si="2"/>
        <v>Abaixo do Básico</v>
      </c>
      <c r="BK51" s="373"/>
      <c r="BL51" s="374">
        <f t="shared" si="3"/>
        <v>12</v>
      </c>
      <c r="BM51" s="374">
        <f t="shared" si="4"/>
        <v>227</v>
      </c>
      <c r="BN51" s="459" t="str">
        <f t="shared" si="5"/>
        <v>Básico</v>
      </c>
      <c r="BO51" s="376">
        <f t="shared" si="6"/>
        <v>4</v>
      </c>
      <c r="BP51" s="374">
        <f t="shared" si="7"/>
        <v>85</v>
      </c>
      <c r="BQ51" s="377" t="str">
        <f t="shared" si="8"/>
        <v>Abaixo do Básico</v>
      </c>
      <c r="BR51" s="25"/>
    </row>
    <row r="52" ht="15.75" customHeight="1">
      <c r="A52" s="455">
        <v>23.0</v>
      </c>
      <c r="B52" s="378" t="s">
        <v>473</v>
      </c>
      <c r="C52" s="363" t="s">
        <v>170</v>
      </c>
      <c r="D52" s="447" t="s">
        <v>42</v>
      </c>
      <c r="E52" s="456" t="s">
        <v>43</v>
      </c>
      <c r="F52" s="456" t="s">
        <v>44</v>
      </c>
      <c r="G52" s="456" t="s">
        <v>42</v>
      </c>
      <c r="H52" s="456" t="s">
        <v>41</v>
      </c>
      <c r="I52" s="456" t="s">
        <v>41</v>
      </c>
      <c r="J52" s="456" t="s">
        <v>44</v>
      </c>
      <c r="K52" s="456" t="s">
        <v>43</v>
      </c>
      <c r="L52" s="456" t="s">
        <v>43</v>
      </c>
      <c r="M52" s="456" t="s">
        <v>44</v>
      </c>
      <c r="N52" s="456" t="s">
        <v>44</v>
      </c>
      <c r="O52" s="456" t="s">
        <v>43</v>
      </c>
      <c r="P52" s="456" t="s">
        <v>43</v>
      </c>
      <c r="Q52" s="456" t="s">
        <v>41</v>
      </c>
      <c r="R52" s="456" t="s">
        <v>42</v>
      </c>
      <c r="S52" s="456" t="s">
        <v>43</v>
      </c>
      <c r="T52" s="456" t="s">
        <v>41</v>
      </c>
      <c r="U52" s="456" t="s">
        <v>41</v>
      </c>
      <c r="V52" s="456" t="s">
        <v>44</v>
      </c>
      <c r="W52" s="456" t="s">
        <v>41</v>
      </c>
      <c r="X52" s="456" t="s">
        <v>42</v>
      </c>
      <c r="Y52" s="456" t="s">
        <v>43</v>
      </c>
      <c r="Z52" s="456" t="s">
        <v>42</v>
      </c>
      <c r="AA52" s="456" t="s">
        <v>44</v>
      </c>
      <c r="AB52" s="457" t="s">
        <v>44</v>
      </c>
      <c r="AC52" s="456" t="s">
        <v>44</v>
      </c>
      <c r="AD52" s="456" t="s">
        <v>43</v>
      </c>
      <c r="AE52" s="456" t="s">
        <v>42</v>
      </c>
      <c r="AF52" s="456" t="s">
        <v>41</v>
      </c>
      <c r="AG52" s="456" t="s">
        <v>43</v>
      </c>
      <c r="AH52" s="456" t="s">
        <v>44</v>
      </c>
      <c r="AI52" s="456" t="s">
        <v>44</v>
      </c>
      <c r="AJ52" s="456" t="s">
        <v>41</v>
      </c>
      <c r="AK52" s="456" t="s">
        <v>42</v>
      </c>
      <c r="AL52" s="456" t="s">
        <v>41</v>
      </c>
      <c r="AM52" s="456" t="s">
        <v>44</v>
      </c>
      <c r="AN52" s="456" t="s">
        <v>42</v>
      </c>
      <c r="AO52" s="456" t="s">
        <v>42</v>
      </c>
      <c r="AP52" s="456" t="s">
        <v>43</v>
      </c>
      <c r="AQ52" s="456" t="s">
        <v>43</v>
      </c>
      <c r="AR52" s="456" t="s">
        <v>41</v>
      </c>
      <c r="AS52" s="456" t="s">
        <v>44</v>
      </c>
      <c r="AT52" s="456" t="s">
        <v>41</v>
      </c>
      <c r="AU52" s="456" t="s">
        <v>42</v>
      </c>
      <c r="AV52" s="456" t="s">
        <v>41</v>
      </c>
      <c r="AW52" s="456" t="s">
        <v>41</v>
      </c>
      <c r="AX52" s="456" t="s">
        <v>41</v>
      </c>
      <c r="AY52" s="456" t="s">
        <v>41</v>
      </c>
      <c r="AZ52" s="456" t="s">
        <v>44</v>
      </c>
      <c r="BA52" s="456" t="s">
        <v>42</v>
      </c>
      <c r="BB52" s="456" t="s">
        <v>43</v>
      </c>
      <c r="BD52" s="369" t="s">
        <v>44</v>
      </c>
      <c r="BE52" s="458">
        <v>2.0</v>
      </c>
      <c r="BF52" s="458">
        <v>2.0</v>
      </c>
      <c r="BG52" s="458">
        <v>2.0</v>
      </c>
      <c r="BH52" s="458">
        <v>2.0</v>
      </c>
      <c r="BI52" s="371">
        <f t="shared" si="1"/>
        <v>50</v>
      </c>
      <c r="BJ52" s="377" t="str">
        <f t="shared" si="2"/>
        <v>Básico</v>
      </c>
      <c r="BK52" s="373"/>
      <c r="BL52" s="374">
        <f t="shared" si="3"/>
        <v>5</v>
      </c>
      <c r="BM52" s="374">
        <f t="shared" si="4"/>
        <v>113</v>
      </c>
      <c r="BN52" s="459" t="str">
        <f t="shared" si="5"/>
        <v>Abaixo do Básico</v>
      </c>
      <c r="BO52" s="376">
        <f t="shared" si="6"/>
        <v>6</v>
      </c>
      <c r="BP52" s="374">
        <f t="shared" si="7"/>
        <v>102</v>
      </c>
      <c r="BQ52" s="377" t="str">
        <f t="shared" si="8"/>
        <v>Abaixo do Básico</v>
      </c>
      <c r="BR52" s="25"/>
    </row>
    <row r="53" ht="15.75" customHeight="1">
      <c r="A53" s="455">
        <v>24.0</v>
      </c>
      <c r="B53" s="378" t="s">
        <v>474</v>
      </c>
      <c r="C53" s="363" t="s">
        <v>170</v>
      </c>
      <c r="D53" s="447" t="s">
        <v>172</v>
      </c>
      <c r="E53" s="456" t="s">
        <v>172</v>
      </c>
      <c r="F53" s="456" t="s">
        <v>172</v>
      </c>
      <c r="G53" s="456" t="s">
        <v>172</v>
      </c>
      <c r="H53" s="456" t="s">
        <v>172</v>
      </c>
      <c r="I53" s="456" t="s">
        <v>172</v>
      </c>
      <c r="J53" s="456" t="s">
        <v>172</v>
      </c>
      <c r="K53" s="456" t="s">
        <v>172</v>
      </c>
      <c r="L53" s="456" t="s">
        <v>172</v>
      </c>
      <c r="M53" s="456" t="s">
        <v>172</v>
      </c>
      <c r="N53" s="456" t="s">
        <v>172</v>
      </c>
      <c r="O53" s="456" t="s">
        <v>172</v>
      </c>
      <c r="P53" s="456" t="s">
        <v>172</v>
      </c>
      <c r="Q53" s="456" t="s">
        <v>172</v>
      </c>
      <c r="R53" s="456" t="s">
        <v>172</v>
      </c>
      <c r="S53" s="456" t="s">
        <v>172</v>
      </c>
      <c r="T53" s="456" t="s">
        <v>172</v>
      </c>
      <c r="U53" s="456" t="s">
        <v>172</v>
      </c>
      <c r="V53" s="456" t="s">
        <v>172</v>
      </c>
      <c r="W53" s="456" t="s">
        <v>172</v>
      </c>
      <c r="X53" s="456" t="s">
        <v>172</v>
      </c>
      <c r="Y53" s="456" t="s">
        <v>172</v>
      </c>
      <c r="Z53" s="456" t="s">
        <v>172</v>
      </c>
      <c r="AA53" s="456" t="s">
        <v>172</v>
      </c>
      <c r="AB53" s="457" t="s">
        <v>172</v>
      </c>
      <c r="AC53" s="456" t="s">
        <v>172</v>
      </c>
      <c r="AD53" s="456" t="s">
        <v>172</v>
      </c>
      <c r="AE53" s="456" t="s">
        <v>172</v>
      </c>
      <c r="AF53" s="456" t="s">
        <v>172</v>
      </c>
      <c r="AG53" s="456" t="s">
        <v>172</v>
      </c>
      <c r="AH53" s="456" t="s">
        <v>172</v>
      </c>
      <c r="AI53" s="456" t="s">
        <v>172</v>
      </c>
      <c r="AJ53" s="456" t="s">
        <v>172</v>
      </c>
      <c r="AK53" s="456" t="s">
        <v>172</v>
      </c>
      <c r="AL53" s="456" t="s">
        <v>172</v>
      </c>
      <c r="AM53" s="456" t="s">
        <v>172</v>
      </c>
      <c r="AN53" s="456" t="s">
        <v>172</v>
      </c>
      <c r="AO53" s="456" t="s">
        <v>172</v>
      </c>
      <c r="AP53" s="456" t="s">
        <v>172</v>
      </c>
      <c r="AQ53" s="456" t="s">
        <v>172</v>
      </c>
      <c r="AR53" s="456" t="s">
        <v>172</v>
      </c>
      <c r="AS53" s="456" t="s">
        <v>172</v>
      </c>
      <c r="AT53" s="456" t="s">
        <v>172</v>
      </c>
      <c r="AU53" s="456" t="s">
        <v>172</v>
      </c>
      <c r="AV53" s="456" t="s">
        <v>172</v>
      </c>
      <c r="AW53" s="456" t="s">
        <v>172</v>
      </c>
      <c r="AX53" s="456" t="s">
        <v>172</v>
      </c>
      <c r="AY53" s="456" t="s">
        <v>172</v>
      </c>
      <c r="AZ53" s="456" t="s">
        <v>172</v>
      </c>
      <c r="BA53" s="456" t="s">
        <v>172</v>
      </c>
      <c r="BB53" s="456" t="s">
        <v>172</v>
      </c>
      <c r="BD53" s="369" t="s">
        <v>172</v>
      </c>
      <c r="BE53" s="458" t="s">
        <v>173</v>
      </c>
      <c r="BF53" s="458" t="s">
        <v>173</v>
      </c>
      <c r="BG53" s="458" t="s">
        <v>173</v>
      </c>
      <c r="BH53" s="458" t="s">
        <v>173</v>
      </c>
      <c r="BI53" s="371">
        <f t="shared" si="1"/>
        <v>0</v>
      </c>
      <c r="BJ53" s="377" t="str">
        <f t="shared" si="2"/>
        <v>Abaixo do Básico</v>
      </c>
      <c r="BK53" s="373"/>
      <c r="BL53" s="374">
        <f t="shared" si="3"/>
        <v>0</v>
      </c>
      <c r="BM53" s="374">
        <f t="shared" si="4"/>
        <v>0</v>
      </c>
      <c r="BN53" s="459" t="str">
        <f t="shared" si="5"/>
        <v>Abaixo do Básico</v>
      </c>
      <c r="BO53" s="376">
        <f t="shared" si="6"/>
        <v>0</v>
      </c>
      <c r="BP53" s="374">
        <f t="shared" si="7"/>
        <v>0</v>
      </c>
      <c r="BQ53" s="377" t="str">
        <f t="shared" si="8"/>
        <v>Abaixo do Básico</v>
      </c>
      <c r="BR53" s="25"/>
    </row>
    <row r="54" ht="15.75" customHeight="1">
      <c r="A54" s="455">
        <v>25.0</v>
      </c>
      <c r="B54" s="378" t="s">
        <v>475</v>
      </c>
      <c r="C54" s="363" t="s">
        <v>170</v>
      </c>
      <c r="D54" s="447" t="s">
        <v>44</v>
      </c>
      <c r="E54" s="456" t="s">
        <v>44</v>
      </c>
      <c r="F54" s="456" t="s">
        <v>41</v>
      </c>
      <c r="G54" s="456" t="s">
        <v>43</v>
      </c>
      <c r="H54" s="456" t="s">
        <v>41</v>
      </c>
      <c r="I54" s="456" t="s">
        <v>42</v>
      </c>
      <c r="J54" s="456" t="s">
        <v>43</v>
      </c>
      <c r="K54" s="456" t="s">
        <v>44</v>
      </c>
      <c r="L54" s="456" t="s">
        <v>43</v>
      </c>
      <c r="M54" s="456" t="s">
        <v>41</v>
      </c>
      <c r="N54" s="456" t="s">
        <v>42</v>
      </c>
      <c r="O54" s="456" t="s">
        <v>41</v>
      </c>
      <c r="P54" s="456" t="s">
        <v>43</v>
      </c>
      <c r="Q54" s="456" t="s">
        <v>42</v>
      </c>
      <c r="R54" s="456" t="s">
        <v>41</v>
      </c>
      <c r="S54" s="456" t="s">
        <v>43</v>
      </c>
      <c r="T54" s="456" t="s">
        <v>42</v>
      </c>
      <c r="U54" s="456" t="s">
        <v>42</v>
      </c>
      <c r="V54" s="456" t="s">
        <v>41</v>
      </c>
      <c r="W54" s="456" t="s">
        <v>44</v>
      </c>
      <c r="X54" s="456" t="s">
        <v>41</v>
      </c>
      <c r="Y54" s="456" t="s">
        <v>43</v>
      </c>
      <c r="Z54" s="456" t="s">
        <v>41</v>
      </c>
      <c r="AA54" s="456" t="s">
        <v>42</v>
      </c>
      <c r="AB54" s="457" t="s">
        <v>43</v>
      </c>
      <c r="AC54" s="456" t="s">
        <v>41</v>
      </c>
      <c r="AD54" s="456" t="s">
        <v>43</v>
      </c>
      <c r="AE54" s="456" t="s">
        <v>43</v>
      </c>
      <c r="AF54" s="456" t="s">
        <v>41</v>
      </c>
      <c r="AG54" s="456" t="s">
        <v>44</v>
      </c>
      <c r="AH54" s="456" t="s">
        <v>42</v>
      </c>
      <c r="AI54" s="456" t="s">
        <v>42</v>
      </c>
      <c r="AJ54" s="456" t="s">
        <v>41</v>
      </c>
      <c r="AK54" s="456" t="s">
        <v>44</v>
      </c>
      <c r="AL54" s="456" t="s">
        <v>44</v>
      </c>
      <c r="AM54" s="456" t="s">
        <v>41</v>
      </c>
      <c r="AN54" s="456" t="s">
        <v>42</v>
      </c>
      <c r="AO54" s="456" t="s">
        <v>42</v>
      </c>
      <c r="AP54" s="456" t="s">
        <v>44</v>
      </c>
      <c r="AQ54" s="456" t="s">
        <v>41</v>
      </c>
      <c r="AR54" s="456" t="s">
        <v>43</v>
      </c>
      <c r="AS54" s="456" t="s">
        <v>42</v>
      </c>
      <c r="AT54" s="456" t="s">
        <v>42</v>
      </c>
      <c r="AU54" s="456" t="s">
        <v>41</v>
      </c>
      <c r="AV54" s="456" t="s">
        <v>43</v>
      </c>
      <c r="AW54" s="456" t="s">
        <v>42</v>
      </c>
      <c r="AX54" s="456" t="s">
        <v>41</v>
      </c>
      <c r="AY54" s="456" t="s">
        <v>44</v>
      </c>
      <c r="AZ54" s="456" t="s">
        <v>43</v>
      </c>
      <c r="BA54" s="456" t="s">
        <v>41</v>
      </c>
      <c r="BB54" s="456" t="s">
        <v>42</v>
      </c>
      <c r="BD54" s="369" t="s">
        <v>44</v>
      </c>
      <c r="BE54" s="458">
        <v>3.0</v>
      </c>
      <c r="BF54" s="458">
        <v>2.0</v>
      </c>
      <c r="BG54" s="458">
        <v>2.0</v>
      </c>
      <c r="BH54" s="458">
        <v>2.0</v>
      </c>
      <c r="BI54" s="371">
        <f t="shared" si="1"/>
        <v>56.25</v>
      </c>
      <c r="BJ54" s="377" t="str">
        <f t="shared" si="2"/>
        <v>Adequado</v>
      </c>
      <c r="BK54" s="373"/>
      <c r="BL54" s="374">
        <f t="shared" si="3"/>
        <v>8</v>
      </c>
      <c r="BM54" s="374">
        <f t="shared" si="4"/>
        <v>150</v>
      </c>
      <c r="BN54" s="459" t="str">
        <f t="shared" si="5"/>
        <v>Básico</v>
      </c>
      <c r="BO54" s="376">
        <f t="shared" si="6"/>
        <v>10</v>
      </c>
      <c r="BP54" s="374">
        <f t="shared" si="7"/>
        <v>194</v>
      </c>
      <c r="BQ54" s="377" t="str">
        <f t="shared" si="8"/>
        <v>Básico</v>
      </c>
      <c r="BR54" s="25"/>
    </row>
    <row r="55" ht="15.75" customHeight="1">
      <c r="A55" s="455">
        <v>26.0</v>
      </c>
      <c r="B55" s="378" t="s">
        <v>476</v>
      </c>
      <c r="C55" s="363" t="s">
        <v>170</v>
      </c>
      <c r="D55" s="447" t="s">
        <v>41</v>
      </c>
      <c r="E55" s="456" t="s">
        <v>44</v>
      </c>
      <c r="F55" s="456" t="s">
        <v>41</v>
      </c>
      <c r="G55" s="456" t="s">
        <v>43</v>
      </c>
      <c r="H55" s="456" t="s">
        <v>42</v>
      </c>
      <c r="I55" s="456" t="s">
        <v>42</v>
      </c>
      <c r="J55" s="456" t="s">
        <v>43</v>
      </c>
      <c r="K55" s="456" t="s">
        <v>41</v>
      </c>
      <c r="L55" s="456" t="s">
        <v>44</v>
      </c>
      <c r="M55" s="456" t="s">
        <v>42</v>
      </c>
      <c r="N55" s="456" t="s">
        <v>41</v>
      </c>
      <c r="O55" s="456" t="s">
        <v>42</v>
      </c>
      <c r="P55" s="456" t="s">
        <v>41</v>
      </c>
      <c r="Q55" s="456" t="s">
        <v>41</v>
      </c>
      <c r="R55" s="456" t="s">
        <v>41</v>
      </c>
      <c r="S55" s="456" t="s">
        <v>41</v>
      </c>
      <c r="T55" s="456" t="s">
        <v>43</v>
      </c>
      <c r="U55" s="456" t="s">
        <v>44</v>
      </c>
      <c r="V55" s="456" t="s">
        <v>41</v>
      </c>
      <c r="W55" s="456" t="s">
        <v>44</v>
      </c>
      <c r="X55" s="456" t="s">
        <v>43</v>
      </c>
      <c r="Y55" s="456" t="s">
        <v>42</v>
      </c>
      <c r="Z55" s="456" t="s">
        <v>42</v>
      </c>
      <c r="AA55" s="456" t="s">
        <v>41</v>
      </c>
      <c r="AB55" s="457" t="s">
        <v>44</v>
      </c>
      <c r="AC55" s="456" t="s">
        <v>42</v>
      </c>
      <c r="AD55" s="456" t="s">
        <v>41</v>
      </c>
      <c r="AE55" s="456" t="s">
        <v>42</v>
      </c>
      <c r="AF55" s="456" t="s">
        <v>44</v>
      </c>
      <c r="AG55" s="456" t="s">
        <v>41</v>
      </c>
      <c r="AH55" s="456" t="s">
        <v>43</v>
      </c>
      <c r="AI55" s="456" t="s">
        <v>42</v>
      </c>
      <c r="AJ55" s="456" t="s">
        <v>44</v>
      </c>
      <c r="AK55" s="456" t="s">
        <v>42</v>
      </c>
      <c r="AL55" s="456" t="s">
        <v>43</v>
      </c>
      <c r="AM55" s="456" t="s">
        <v>44</v>
      </c>
      <c r="AN55" s="456" t="s">
        <v>41</v>
      </c>
      <c r="AO55" s="456" t="s">
        <v>43</v>
      </c>
      <c r="AP55" s="456" t="s">
        <v>42</v>
      </c>
      <c r="AQ55" s="456" t="s">
        <v>43</v>
      </c>
      <c r="AR55" s="456" t="s">
        <v>43</v>
      </c>
      <c r="AS55" s="456" t="s">
        <v>41</v>
      </c>
      <c r="AT55" s="456" t="s">
        <v>44</v>
      </c>
      <c r="AU55" s="456" t="s">
        <v>42</v>
      </c>
      <c r="AV55" s="456" t="s">
        <v>41</v>
      </c>
      <c r="AW55" s="456" t="s">
        <v>43</v>
      </c>
      <c r="AX55" s="456" t="s">
        <v>43</v>
      </c>
      <c r="AY55" s="456" t="s">
        <v>42</v>
      </c>
      <c r="AZ55" s="456" t="s">
        <v>41</v>
      </c>
      <c r="BA55" s="456" t="s">
        <v>44</v>
      </c>
      <c r="BB55" s="456" t="s">
        <v>42</v>
      </c>
      <c r="BD55" s="369" t="s">
        <v>44</v>
      </c>
      <c r="BE55" s="458">
        <v>3.0</v>
      </c>
      <c r="BF55" s="458">
        <v>2.0</v>
      </c>
      <c r="BG55" s="458">
        <v>2.0</v>
      </c>
      <c r="BH55" s="458">
        <v>2.0</v>
      </c>
      <c r="BI55" s="371">
        <f t="shared" si="1"/>
        <v>56.25</v>
      </c>
      <c r="BJ55" s="377" t="str">
        <f t="shared" si="2"/>
        <v>Adequado</v>
      </c>
      <c r="BK55" s="373"/>
      <c r="BL55" s="374">
        <f t="shared" si="3"/>
        <v>8</v>
      </c>
      <c r="BM55" s="374">
        <f t="shared" si="4"/>
        <v>160</v>
      </c>
      <c r="BN55" s="459" t="str">
        <f t="shared" si="5"/>
        <v>Básico</v>
      </c>
      <c r="BO55" s="376">
        <f t="shared" si="6"/>
        <v>5</v>
      </c>
      <c r="BP55" s="374">
        <f t="shared" si="7"/>
        <v>94</v>
      </c>
      <c r="BQ55" s="377" t="str">
        <f t="shared" si="8"/>
        <v>Abaixo do Básico</v>
      </c>
      <c r="BR55" s="25"/>
    </row>
    <row r="56" ht="15.75" customHeight="1">
      <c r="A56" s="455">
        <v>27.0</v>
      </c>
      <c r="B56" s="378" t="s">
        <v>477</v>
      </c>
      <c r="C56" s="363" t="s">
        <v>170</v>
      </c>
      <c r="D56" s="447" t="s">
        <v>44</v>
      </c>
      <c r="E56" s="456" t="s">
        <v>41</v>
      </c>
      <c r="F56" s="456" t="s">
        <v>41</v>
      </c>
      <c r="G56" s="456" t="s">
        <v>42</v>
      </c>
      <c r="H56" s="456" t="s">
        <v>43</v>
      </c>
      <c r="I56" s="456" t="s">
        <v>42</v>
      </c>
      <c r="J56" s="456" t="s">
        <v>41</v>
      </c>
      <c r="K56" s="456" t="s">
        <v>44</v>
      </c>
      <c r="L56" s="456" t="s">
        <v>41</v>
      </c>
      <c r="M56" s="456" t="s">
        <v>42</v>
      </c>
      <c r="N56" s="456" t="s">
        <v>44</v>
      </c>
      <c r="O56" s="456" t="s">
        <v>42</v>
      </c>
      <c r="P56" s="456" t="s">
        <v>42</v>
      </c>
      <c r="Q56" s="456" t="s">
        <v>44</v>
      </c>
      <c r="R56" s="456" t="s">
        <v>41</v>
      </c>
      <c r="S56" s="456" t="s">
        <v>41</v>
      </c>
      <c r="T56" s="456" t="s">
        <v>42</v>
      </c>
      <c r="U56" s="456" t="s">
        <v>44</v>
      </c>
      <c r="V56" s="456" t="s">
        <v>43</v>
      </c>
      <c r="W56" s="456" t="s">
        <v>42</v>
      </c>
      <c r="X56" s="456" t="s">
        <v>44</v>
      </c>
      <c r="Y56" s="456" t="s">
        <v>42</v>
      </c>
      <c r="Z56" s="456" t="s">
        <v>42</v>
      </c>
      <c r="AA56" s="456" t="s">
        <v>42</v>
      </c>
      <c r="AB56" s="457" t="s">
        <v>42</v>
      </c>
      <c r="AC56" s="456" t="s">
        <v>42</v>
      </c>
      <c r="AD56" s="456" t="s">
        <v>44</v>
      </c>
      <c r="AE56" s="456" t="s">
        <v>44</v>
      </c>
      <c r="AF56" s="456" t="s">
        <v>43</v>
      </c>
      <c r="AG56" s="456" t="s">
        <v>41</v>
      </c>
      <c r="AH56" s="456" t="s">
        <v>44</v>
      </c>
      <c r="AI56" s="456" t="s">
        <v>42</v>
      </c>
      <c r="AJ56" s="456" t="s">
        <v>43</v>
      </c>
      <c r="AK56" s="456" t="s">
        <v>41</v>
      </c>
      <c r="AL56" s="456" t="s">
        <v>44</v>
      </c>
      <c r="AM56" s="456" t="s">
        <v>41</v>
      </c>
      <c r="AN56" s="456" t="s">
        <v>41</v>
      </c>
      <c r="AO56" s="456" t="s">
        <v>43</v>
      </c>
      <c r="AP56" s="456" t="s">
        <v>43</v>
      </c>
      <c r="AQ56" s="456" t="s">
        <v>42</v>
      </c>
      <c r="AR56" s="456" t="s">
        <v>43</v>
      </c>
      <c r="AS56" s="456" t="s">
        <v>44</v>
      </c>
      <c r="AT56" s="456" t="s">
        <v>41</v>
      </c>
      <c r="AU56" s="456" t="s">
        <v>41</v>
      </c>
      <c r="AV56" s="456" t="s">
        <v>41</v>
      </c>
      <c r="AW56" s="456" t="s">
        <v>44</v>
      </c>
      <c r="AX56" s="456" t="s">
        <v>44</v>
      </c>
      <c r="AY56" s="456" t="s">
        <v>42</v>
      </c>
      <c r="AZ56" s="456" t="s">
        <v>43</v>
      </c>
      <c r="BA56" s="456" t="s">
        <v>43</v>
      </c>
      <c r="BB56" s="456" t="s">
        <v>41</v>
      </c>
      <c r="BD56" s="369" t="s">
        <v>44</v>
      </c>
      <c r="BE56" s="458">
        <v>3.0</v>
      </c>
      <c r="BF56" s="458">
        <v>3.0</v>
      </c>
      <c r="BG56" s="458">
        <v>3.0</v>
      </c>
      <c r="BH56" s="458">
        <v>3.0</v>
      </c>
      <c r="BI56" s="371">
        <f t="shared" si="1"/>
        <v>75</v>
      </c>
      <c r="BJ56" s="377" t="str">
        <f t="shared" si="2"/>
        <v>Adequado</v>
      </c>
      <c r="BK56" s="373"/>
      <c r="BL56" s="374">
        <f t="shared" si="3"/>
        <v>19</v>
      </c>
      <c r="BM56" s="374">
        <f t="shared" si="4"/>
        <v>386</v>
      </c>
      <c r="BN56" s="459" t="str">
        <f t="shared" si="5"/>
        <v>Avançado</v>
      </c>
      <c r="BO56" s="376">
        <f t="shared" si="6"/>
        <v>7</v>
      </c>
      <c r="BP56" s="374">
        <f t="shared" si="7"/>
        <v>154</v>
      </c>
      <c r="BQ56" s="377" t="str">
        <f t="shared" si="8"/>
        <v>Básico</v>
      </c>
      <c r="BR56" s="25"/>
    </row>
    <row r="57" ht="15.75" customHeight="1">
      <c r="A57" s="455">
        <v>28.0</v>
      </c>
      <c r="B57" s="378" t="s">
        <v>478</v>
      </c>
      <c r="C57" s="363" t="s">
        <v>170</v>
      </c>
      <c r="D57" s="447" t="s">
        <v>43</v>
      </c>
      <c r="E57" s="456" t="s">
        <v>42</v>
      </c>
      <c r="F57" s="456" t="s">
        <v>41</v>
      </c>
      <c r="G57" s="456" t="s">
        <v>41</v>
      </c>
      <c r="H57" s="456" t="s">
        <v>44</v>
      </c>
      <c r="I57" s="456" t="s">
        <v>42</v>
      </c>
      <c r="J57" s="456" t="s">
        <v>41</v>
      </c>
      <c r="K57" s="456" t="s">
        <v>41</v>
      </c>
      <c r="L57" s="456" t="s">
        <v>44</v>
      </c>
      <c r="M57" s="456" t="s">
        <v>41</v>
      </c>
      <c r="N57" s="456" t="s">
        <v>43</v>
      </c>
      <c r="O57" s="456" t="s">
        <v>42</v>
      </c>
      <c r="P57" s="456" t="s">
        <v>41</v>
      </c>
      <c r="Q57" s="456" t="s">
        <v>44</v>
      </c>
      <c r="R57" s="456" t="s">
        <v>41</v>
      </c>
      <c r="S57" s="456" t="s">
        <v>41</v>
      </c>
      <c r="T57" s="456" t="s">
        <v>43</v>
      </c>
      <c r="U57" s="456" t="s">
        <v>44</v>
      </c>
      <c r="V57" s="456" t="s">
        <v>44</v>
      </c>
      <c r="W57" s="456" t="s">
        <v>42</v>
      </c>
      <c r="X57" s="456" t="s">
        <v>44</v>
      </c>
      <c r="Y57" s="456" t="s">
        <v>44</v>
      </c>
      <c r="Z57" s="456" t="s">
        <v>42</v>
      </c>
      <c r="AA57" s="456" t="s">
        <v>42</v>
      </c>
      <c r="AB57" s="457" t="s">
        <v>44</v>
      </c>
      <c r="AC57" s="456" t="s">
        <v>41</v>
      </c>
      <c r="AD57" s="456" t="s">
        <v>41</v>
      </c>
      <c r="AE57" s="456" t="s">
        <v>42</v>
      </c>
      <c r="AF57" s="456" t="s">
        <v>42</v>
      </c>
      <c r="AG57" s="456" t="s">
        <v>42</v>
      </c>
      <c r="AH57" s="456" t="s">
        <v>44</v>
      </c>
      <c r="AI57" s="456" t="s">
        <v>41</v>
      </c>
      <c r="AJ57" s="456" t="s">
        <v>44</v>
      </c>
      <c r="AK57" s="456" t="s">
        <v>44</v>
      </c>
      <c r="AL57" s="456" t="s">
        <v>41</v>
      </c>
      <c r="AM57" s="456" t="s">
        <v>41</v>
      </c>
      <c r="AN57" s="456" t="s">
        <v>44</v>
      </c>
      <c r="AO57" s="456" t="s">
        <v>41</v>
      </c>
      <c r="AP57" s="456" t="s">
        <v>41</v>
      </c>
      <c r="AQ57" s="456" t="s">
        <v>41</v>
      </c>
      <c r="AR57" s="456" t="s">
        <v>42</v>
      </c>
      <c r="AS57" s="456" t="s">
        <v>42</v>
      </c>
      <c r="AT57" s="456" t="s">
        <v>41</v>
      </c>
      <c r="AU57" s="456" t="s">
        <v>43</v>
      </c>
      <c r="AV57" s="456" t="s">
        <v>41</v>
      </c>
      <c r="AW57" s="456" t="s">
        <v>42</v>
      </c>
      <c r="AX57" s="456" t="s">
        <v>44</v>
      </c>
      <c r="AY57" s="456" t="s">
        <v>44</v>
      </c>
      <c r="AZ57" s="456" t="s">
        <v>43</v>
      </c>
      <c r="BA57" s="456" t="s">
        <v>41</v>
      </c>
      <c r="BB57" s="456" t="s">
        <v>43</v>
      </c>
      <c r="BD57" s="369" t="s">
        <v>44</v>
      </c>
      <c r="BE57" s="458">
        <v>2.0</v>
      </c>
      <c r="BF57" s="458">
        <v>2.0</v>
      </c>
      <c r="BG57" s="458">
        <v>2.0</v>
      </c>
      <c r="BH57" s="458">
        <v>2.0</v>
      </c>
      <c r="BI57" s="371">
        <f t="shared" si="1"/>
        <v>50</v>
      </c>
      <c r="BJ57" s="377" t="str">
        <f t="shared" si="2"/>
        <v>Básico</v>
      </c>
      <c r="BK57" s="373"/>
      <c r="BL57" s="374">
        <f t="shared" si="3"/>
        <v>11</v>
      </c>
      <c r="BM57" s="374">
        <f t="shared" si="4"/>
        <v>217</v>
      </c>
      <c r="BN57" s="459" t="str">
        <f t="shared" si="5"/>
        <v>Básico</v>
      </c>
      <c r="BO57" s="376">
        <f t="shared" si="6"/>
        <v>10</v>
      </c>
      <c r="BP57" s="374">
        <f t="shared" si="7"/>
        <v>195</v>
      </c>
      <c r="BQ57" s="377" t="str">
        <f t="shared" si="8"/>
        <v>Básico</v>
      </c>
      <c r="BR57" s="25"/>
    </row>
    <row r="58" ht="15.75" customHeight="1">
      <c r="A58" s="455">
        <v>29.0</v>
      </c>
      <c r="B58" s="378" t="s">
        <v>479</v>
      </c>
      <c r="C58" s="363" t="s">
        <v>170</v>
      </c>
      <c r="D58" s="447" t="s">
        <v>42</v>
      </c>
      <c r="E58" s="456" t="s">
        <v>41</v>
      </c>
      <c r="F58" s="456" t="s">
        <v>44</v>
      </c>
      <c r="G58" s="456" t="s">
        <v>41</v>
      </c>
      <c r="H58" s="456" t="s">
        <v>42</v>
      </c>
      <c r="I58" s="456" t="s">
        <v>44</v>
      </c>
      <c r="J58" s="456" t="s">
        <v>43</v>
      </c>
      <c r="K58" s="456" t="s">
        <v>43</v>
      </c>
      <c r="L58" s="456" t="s">
        <v>44</v>
      </c>
      <c r="M58" s="456" t="s">
        <v>42</v>
      </c>
      <c r="N58" s="456" t="s">
        <v>42</v>
      </c>
      <c r="O58" s="456" t="s">
        <v>41</v>
      </c>
      <c r="P58" s="456" t="s">
        <v>44</v>
      </c>
      <c r="Q58" s="456" t="s">
        <v>41</v>
      </c>
      <c r="R58" s="456" t="s">
        <v>42</v>
      </c>
      <c r="S58" s="456" t="s">
        <v>44</v>
      </c>
      <c r="T58" s="456" t="s">
        <v>42</v>
      </c>
      <c r="U58" s="456" t="s">
        <v>44</v>
      </c>
      <c r="V58" s="456" t="s">
        <v>42</v>
      </c>
      <c r="W58" s="456" t="s">
        <v>43</v>
      </c>
      <c r="X58" s="456" t="s">
        <v>43</v>
      </c>
      <c r="Y58" s="456" t="s">
        <v>42</v>
      </c>
      <c r="Z58" s="456" t="s">
        <v>41</v>
      </c>
      <c r="AA58" s="456" t="s">
        <v>44</v>
      </c>
      <c r="AB58" s="457" t="s">
        <v>44</v>
      </c>
      <c r="AC58" s="456" t="s">
        <v>41</v>
      </c>
      <c r="AD58" s="456" t="s">
        <v>43</v>
      </c>
      <c r="AE58" s="456" t="s">
        <v>42</v>
      </c>
      <c r="AF58" s="456" t="s">
        <v>44</v>
      </c>
      <c r="AG58" s="456" t="s">
        <v>41</v>
      </c>
      <c r="AH58" s="456" t="s">
        <v>41</v>
      </c>
      <c r="AI58" s="456" t="s">
        <v>43</v>
      </c>
      <c r="AJ58" s="456" t="s">
        <v>42</v>
      </c>
      <c r="AK58" s="456" t="s">
        <v>42</v>
      </c>
      <c r="AL58" s="456" t="s">
        <v>43</v>
      </c>
      <c r="AM58" s="456" t="s">
        <v>41</v>
      </c>
      <c r="AN58" s="456" t="s">
        <v>42</v>
      </c>
      <c r="AO58" s="456" t="s">
        <v>44</v>
      </c>
      <c r="AP58" s="456" t="s">
        <v>42</v>
      </c>
      <c r="AQ58" s="456" t="s">
        <v>42</v>
      </c>
      <c r="AR58" s="456" t="s">
        <v>44</v>
      </c>
      <c r="AS58" s="456" t="s">
        <v>43</v>
      </c>
      <c r="AT58" s="456" t="s">
        <v>44</v>
      </c>
      <c r="AU58" s="456" t="s">
        <v>41</v>
      </c>
      <c r="AV58" s="456" t="s">
        <v>41</v>
      </c>
      <c r="AW58" s="456" t="s">
        <v>44</v>
      </c>
      <c r="AX58" s="456" t="s">
        <v>43</v>
      </c>
      <c r="AY58" s="456" t="s">
        <v>41</v>
      </c>
      <c r="AZ58" s="456" t="s">
        <v>44</v>
      </c>
      <c r="BA58" s="456" t="s">
        <v>41</v>
      </c>
      <c r="BB58" s="456" t="s">
        <v>42</v>
      </c>
      <c r="BD58" s="369" t="s">
        <v>44</v>
      </c>
      <c r="BE58" s="458">
        <v>4.0</v>
      </c>
      <c r="BF58" s="458">
        <v>3.0</v>
      </c>
      <c r="BG58" s="458">
        <v>3.0</v>
      </c>
      <c r="BH58" s="458">
        <v>3.0</v>
      </c>
      <c r="BI58" s="371">
        <f t="shared" si="1"/>
        <v>81.25</v>
      </c>
      <c r="BJ58" s="377" t="str">
        <f t="shared" si="2"/>
        <v>Avançado</v>
      </c>
      <c r="BK58" s="373"/>
      <c r="BL58" s="374">
        <f t="shared" si="3"/>
        <v>4</v>
      </c>
      <c r="BM58" s="374">
        <f t="shared" si="4"/>
        <v>103</v>
      </c>
      <c r="BN58" s="459" t="str">
        <f t="shared" si="5"/>
        <v>Abaixo do Básico</v>
      </c>
      <c r="BO58" s="376">
        <f t="shared" si="6"/>
        <v>11</v>
      </c>
      <c r="BP58" s="374">
        <f t="shared" si="7"/>
        <v>204</v>
      </c>
      <c r="BQ58" s="377" t="str">
        <f t="shared" si="8"/>
        <v>Básico</v>
      </c>
      <c r="BR58" s="25"/>
    </row>
    <row r="59" ht="15.75" customHeight="1">
      <c r="A59" s="460">
        <v>30.0</v>
      </c>
      <c r="B59" s="378" t="s">
        <v>480</v>
      </c>
      <c r="C59" s="363" t="s">
        <v>170</v>
      </c>
      <c r="D59" s="447" t="s">
        <v>172</v>
      </c>
      <c r="E59" s="456" t="s">
        <v>172</v>
      </c>
      <c r="F59" s="456" t="s">
        <v>172</v>
      </c>
      <c r="G59" s="456" t="s">
        <v>172</v>
      </c>
      <c r="H59" s="456" t="s">
        <v>172</v>
      </c>
      <c r="I59" s="456" t="s">
        <v>172</v>
      </c>
      <c r="J59" s="456" t="s">
        <v>172</v>
      </c>
      <c r="K59" s="456" t="s">
        <v>172</v>
      </c>
      <c r="L59" s="456" t="s">
        <v>172</v>
      </c>
      <c r="M59" s="456" t="s">
        <v>172</v>
      </c>
      <c r="N59" s="456" t="s">
        <v>172</v>
      </c>
      <c r="O59" s="456" t="s">
        <v>172</v>
      </c>
      <c r="P59" s="456" t="s">
        <v>172</v>
      </c>
      <c r="Q59" s="456" t="s">
        <v>172</v>
      </c>
      <c r="R59" s="456" t="s">
        <v>172</v>
      </c>
      <c r="S59" s="456" t="s">
        <v>172</v>
      </c>
      <c r="T59" s="456" t="s">
        <v>172</v>
      </c>
      <c r="U59" s="456" t="s">
        <v>172</v>
      </c>
      <c r="V59" s="456" t="s">
        <v>172</v>
      </c>
      <c r="W59" s="456" t="s">
        <v>172</v>
      </c>
      <c r="X59" s="456" t="s">
        <v>172</v>
      </c>
      <c r="Y59" s="456" t="s">
        <v>172</v>
      </c>
      <c r="Z59" s="456" t="s">
        <v>172</v>
      </c>
      <c r="AA59" s="456" t="s">
        <v>172</v>
      </c>
      <c r="AB59" s="457" t="s">
        <v>172</v>
      </c>
      <c r="AC59" s="456" t="s">
        <v>172</v>
      </c>
      <c r="AD59" s="456" t="s">
        <v>172</v>
      </c>
      <c r="AE59" s="456" t="s">
        <v>172</v>
      </c>
      <c r="AF59" s="456" t="s">
        <v>172</v>
      </c>
      <c r="AG59" s="456" t="s">
        <v>172</v>
      </c>
      <c r="AH59" s="456" t="s">
        <v>172</v>
      </c>
      <c r="AI59" s="456" t="s">
        <v>172</v>
      </c>
      <c r="AJ59" s="456" t="s">
        <v>172</v>
      </c>
      <c r="AK59" s="456" t="s">
        <v>172</v>
      </c>
      <c r="AL59" s="456" t="s">
        <v>172</v>
      </c>
      <c r="AM59" s="456" t="s">
        <v>172</v>
      </c>
      <c r="AN59" s="456" t="s">
        <v>172</v>
      </c>
      <c r="AO59" s="456" t="s">
        <v>172</v>
      </c>
      <c r="AP59" s="456" t="s">
        <v>172</v>
      </c>
      <c r="AQ59" s="456" t="s">
        <v>172</v>
      </c>
      <c r="AR59" s="456" t="s">
        <v>172</v>
      </c>
      <c r="AS59" s="456" t="s">
        <v>172</v>
      </c>
      <c r="AT59" s="456" t="s">
        <v>172</v>
      </c>
      <c r="AU59" s="456" t="s">
        <v>172</v>
      </c>
      <c r="AV59" s="456" t="s">
        <v>172</v>
      </c>
      <c r="AW59" s="456" t="s">
        <v>172</v>
      </c>
      <c r="AX59" s="456" t="s">
        <v>172</v>
      </c>
      <c r="AY59" s="456" t="s">
        <v>172</v>
      </c>
      <c r="AZ59" s="456" t="s">
        <v>172</v>
      </c>
      <c r="BA59" s="456" t="s">
        <v>172</v>
      </c>
      <c r="BB59" s="456" t="s">
        <v>172</v>
      </c>
      <c r="BD59" s="369" t="s">
        <v>172</v>
      </c>
      <c r="BE59" s="458" t="s">
        <v>173</v>
      </c>
      <c r="BF59" s="458" t="s">
        <v>173</v>
      </c>
      <c r="BG59" s="458" t="s">
        <v>173</v>
      </c>
      <c r="BH59" s="458" t="s">
        <v>173</v>
      </c>
      <c r="BI59" s="371">
        <f t="shared" si="1"/>
        <v>0</v>
      </c>
      <c r="BJ59" s="377" t="str">
        <f t="shared" si="2"/>
        <v>Abaixo do Básico</v>
      </c>
      <c r="BK59" s="373"/>
      <c r="BL59" s="374">
        <f t="shared" si="3"/>
        <v>0</v>
      </c>
      <c r="BM59" s="374">
        <f t="shared" si="4"/>
        <v>0</v>
      </c>
      <c r="BN59" s="459" t="str">
        <f t="shared" si="5"/>
        <v>Abaixo do Básico</v>
      </c>
      <c r="BO59" s="376">
        <f t="shared" si="6"/>
        <v>0</v>
      </c>
      <c r="BP59" s="374">
        <f t="shared" si="7"/>
        <v>0</v>
      </c>
      <c r="BQ59" s="377" t="str">
        <f t="shared" si="8"/>
        <v>Abaixo do Básico</v>
      </c>
      <c r="BR59" s="25"/>
    </row>
    <row r="60" ht="15.75" customHeight="1">
      <c r="A60" s="460">
        <v>31.0</v>
      </c>
      <c r="B60" s="378" t="s">
        <v>481</v>
      </c>
      <c r="C60" s="363" t="s">
        <v>170</v>
      </c>
      <c r="D60" s="447" t="s">
        <v>41</v>
      </c>
      <c r="E60" s="456" t="s">
        <v>42</v>
      </c>
      <c r="F60" s="456" t="s">
        <v>43</v>
      </c>
      <c r="G60" s="456" t="s">
        <v>42</v>
      </c>
      <c r="H60" s="456" t="s">
        <v>44</v>
      </c>
      <c r="I60" s="456" t="s">
        <v>43</v>
      </c>
      <c r="J60" s="456" t="s">
        <v>42</v>
      </c>
      <c r="K60" s="456" t="s">
        <v>41</v>
      </c>
      <c r="L60" s="456" t="s">
        <v>44</v>
      </c>
      <c r="M60" s="456" t="s">
        <v>42</v>
      </c>
      <c r="N60" s="456" t="s">
        <v>43</v>
      </c>
      <c r="O60" s="456" t="s">
        <v>44</v>
      </c>
      <c r="P60" s="456" t="s">
        <v>41</v>
      </c>
      <c r="Q60" s="456" t="s">
        <v>44</v>
      </c>
      <c r="R60" s="456" t="s">
        <v>44</v>
      </c>
      <c r="S60" s="456" t="s">
        <v>41</v>
      </c>
      <c r="T60" s="456" t="s">
        <v>42</v>
      </c>
      <c r="U60" s="456" t="s">
        <v>43</v>
      </c>
      <c r="V60" s="456" t="s">
        <v>42</v>
      </c>
      <c r="W60" s="456" t="s">
        <v>41</v>
      </c>
      <c r="X60" s="456" t="s">
        <v>44</v>
      </c>
      <c r="Y60" s="456" t="s">
        <v>43</v>
      </c>
      <c r="Z60" s="456" t="s">
        <v>42</v>
      </c>
      <c r="AA60" s="456" t="s">
        <v>41</v>
      </c>
      <c r="AB60" s="457" t="s">
        <v>42</v>
      </c>
      <c r="AC60" s="456" t="s">
        <v>43</v>
      </c>
      <c r="AD60" s="456" t="s">
        <v>42</v>
      </c>
      <c r="AE60" s="456" t="s">
        <v>43</v>
      </c>
      <c r="AF60" s="456" t="s">
        <v>44</v>
      </c>
      <c r="AG60" s="456" t="s">
        <v>41</v>
      </c>
      <c r="AH60" s="456" t="s">
        <v>43</v>
      </c>
      <c r="AI60" s="456" t="s">
        <v>42</v>
      </c>
      <c r="AJ60" s="456" t="s">
        <v>43</v>
      </c>
      <c r="AK60" s="456" t="s">
        <v>41</v>
      </c>
      <c r="AL60" s="456" t="s">
        <v>41</v>
      </c>
      <c r="AM60" s="456" t="s">
        <v>41</v>
      </c>
      <c r="AN60" s="456" t="s">
        <v>41</v>
      </c>
      <c r="AO60" s="456" t="s">
        <v>41</v>
      </c>
      <c r="AP60" s="456" t="s">
        <v>43</v>
      </c>
      <c r="AQ60" s="456" t="s">
        <v>42</v>
      </c>
      <c r="AR60" s="456" t="s">
        <v>41</v>
      </c>
      <c r="AS60" s="456" t="s">
        <v>42</v>
      </c>
      <c r="AT60" s="456" t="s">
        <v>44</v>
      </c>
      <c r="AU60" s="456" t="s">
        <v>43</v>
      </c>
      <c r="AV60" s="456" t="s">
        <v>41</v>
      </c>
      <c r="AW60" s="456" t="s">
        <v>41</v>
      </c>
      <c r="AX60" s="456" t="s">
        <v>43</v>
      </c>
      <c r="AY60" s="456" t="s">
        <v>44</v>
      </c>
      <c r="AZ60" s="456" t="s">
        <v>43</v>
      </c>
      <c r="BA60" s="456" t="s">
        <v>42</v>
      </c>
      <c r="BB60" s="456" t="s">
        <v>41</v>
      </c>
      <c r="BD60" s="369" t="s">
        <v>44</v>
      </c>
      <c r="BE60" s="458">
        <v>1.0</v>
      </c>
      <c r="BF60" s="458">
        <v>1.0</v>
      </c>
      <c r="BG60" s="458">
        <v>1.0</v>
      </c>
      <c r="BH60" s="458">
        <v>1.0</v>
      </c>
      <c r="BI60" s="371">
        <f t="shared" si="1"/>
        <v>25</v>
      </c>
      <c r="BJ60" s="377" t="str">
        <f t="shared" si="2"/>
        <v>Abaixo do Básico</v>
      </c>
      <c r="BK60" s="373"/>
      <c r="BL60" s="374">
        <f t="shared" si="3"/>
        <v>11</v>
      </c>
      <c r="BM60" s="374">
        <f t="shared" si="4"/>
        <v>225</v>
      </c>
      <c r="BN60" s="459" t="str">
        <f t="shared" si="5"/>
        <v>Básico</v>
      </c>
      <c r="BO60" s="376">
        <f t="shared" si="6"/>
        <v>7</v>
      </c>
      <c r="BP60" s="374">
        <f t="shared" si="7"/>
        <v>154</v>
      </c>
      <c r="BQ60" s="377" t="str">
        <f t="shared" si="8"/>
        <v>Básico</v>
      </c>
      <c r="BR60" s="25"/>
    </row>
    <row r="61" ht="15.75" customHeight="1">
      <c r="A61" s="460">
        <v>32.0</v>
      </c>
      <c r="B61" s="378"/>
      <c r="C61" s="363"/>
      <c r="D61" s="447"/>
      <c r="E61" s="456"/>
      <c r="F61" s="456"/>
      <c r="G61" s="456"/>
      <c r="H61" s="456"/>
      <c r="I61" s="456"/>
      <c r="J61" s="456"/>
      <c r="K61" s="456"/>
      <c r="L61" s="456"/>
      <c r="M61" s="456"/>
      <c r="N61" s="456"/>
      <c r="O61" s="456"/>
      <c r="P61" s="456"/>
      <c r="Q61" s="456"/>
      <c r="R61" s="456"/>
      <c r="S61" s="456"/>
      <c r="T61" s="456"/>
      <c r="U61" s="456"/>
      <c r="V61" s="456"/>
      <c r="W61" s="456"/>
      <c r="X61" s="456"/>
      <c r="Y61" s="456"/>
      <c r="Z61" s="456"/>
      <c r="AA61" s="456"/>
      <c r="AB61" s="457"/>
      <c r="AC61" s="456"/>
      <c r="AD61" s="456"/>
      <c r="AE61" s="456"/>
      <c r="AF61" s="456"/>
      <c r="AG61" s="456"/>
      <c r="AH61" s="456"/>
      <c r="AI61" s="456"/>
      <c r="AJ61" s="456"/>
      <c r="AK61" s="456"/>
      <c r="AL61" s="456"/>
      <c r="AM61" s="456"/>
      <c r="AN61" s="456"/>
      <c r="AO61" s="456"/>
      <c r="AP61" s="456"/>
      <c r="AQ61" s="456"/>
      <c r="AR61" s="456"/>
      <c r="AS61" s="456"/>
      <c r="AT61" s="456"/>
      <c r="AU61" s="456"/>
      <c r="AV61" s="456"/>
      <c r="AW61" s="456"/>
      <c r="AX61" s="456"/>
      <c r="AY61" s="456"/>
      <c r="AZ61" s="456"/>
      <c r="BA61" s="456"/>
      <c r="BB61" s="456"/>
      <c r="BD61" s="369"/>
      <c r="BE61" s="458"/>
      <c r="BF61" s="458"/>
      <c r="BG61" s="458"/>
      <c r="BH61" s="458"/>
      <c r="BI61" s="371"/>
      <c r="BJ61" s="377"/>
      <c r="BK61" s="373"/>
      <c r="BL61" s="374"/>
      <c r="BM61" s="374"/>
      <c r="BN61" s="459"/>
      <c r="BO61" s="376"/>
      <c r="BP61" s="374"/>
      <c r="BQ61" s="377"/>
      <c r="BR61" s="25"/>
    </row>
    <row r="62" ht="15.75" customHeight="1">
      <c r="A62" s="460">
        <v>33.0</v>
      </c>
      <c r="B62" s="378"/>
      <c r="C62" s="363"/>
      <c r="D62" s="447"/>
      <c r="E62" s="456"/>
      <c r="F62" s="456"/>
      <c r="G62" s="456"/>
      <c r="H62" s="456"/>
      <c r="I62" s="456"/>
      <c r="J62" s="456"/>
      <c r="K62" s="456"/>
      <c r="L62" s="456"/>
      <c r="M62" s="456"/>
      <c r="N62" s="456"/>
      <c r="O62" s="456"/>
      <c r="P62" s="456"/>
      <c r="Q62" s="456"/>
      <c r="R62" s="456"/>
      <c r="S62" s="456"/>
      <c r="T62" s="456"/>
      <c r="U62" s="456"/>
      <c r="V62" s="456"/>
      <c r="W62" s="456"/>
      <c r="X62" s="456"/>
      <c r="Y62" s="456"/>
      <c r="Z62" s="456"/>
      <c r="AA62" s="456"/>
      <c r="AB62" s="457"/>
      <c r="AC62" s="456"/>
      <c r="AD62" s="456"/>
      <c r="AE62" s="456"/>
      <c r="AF62" s="456"/>
      <c r="AG62" s="456"/>
      <c r="AH62" s="456"/>
      <c r="AI62" s="456"/>
      <c r="AJ62" s="456"/>
      <c r="AK62" s="456"/>
      <c r="AL62" s="456"/>
      <c r="AM62" s="456"/>
      <c r="AN62" s="456"/>
      <c r="AO62" s="456"/>
      <c r="AP62" s="456"/>
      <c r="AQ62" s="456"/>
      <c r="AR62" s="456"/>
      <c r="AS62" s="456"/>
      <c r="AT62" s="456"/>
      <c r="AU62" s="456"/>
      <c r="AV62" s="456"/>
      <c r="AW62" s="456"/>
      <c r="AX62" s="456"/>
      <c r="AY62" s="456"/>
      <c r="AZ62" s="456"/>
      <c r="BA62" s="456"/>
      <c r="BB62" s="456"/>
      <c r="BD62" s="369"/>
      <c r="BE62" s="458"/>
      <c r="BF62" s="458"/>
      <c r="BG62" s="458"/>
      <c r="BH62" s="458"/>
      <c r="BI62" s="371"/>
      <c r="BJ62" s="377"/>
      <c r="BK62" s="373"/>
      <c r="BL62" s="374"/>
      <c r="BM62" s="374"/>
      <c r="BN62" s="459"/>
      <c r="BO62" s="376"/>
      <c r="BP62" s="374"/>
      <c r="BQ62" s="377"/>
      <c r="BR62" s="25"/>
    </row>
    <row r="63" ht="15.75" customHeight="1">
      <c r="A63" s="460">
        <v>34.0</v>
      </c>
      <c r="B63" s="378"/>
      <c r="C63" s="363"/>
      <c r="D63" s="461"/>
      <c r="E63" s="456"/>
      <c r="F63" s="456"/>
      <c r="G63" s="456"/>
      <c r="H63" s="456"/>
      <c r="I63" s="456"/>
      <c r="J63" s="456"/>
      <c r="K63" s="456"/>
      <c r="L63" s="456"/>
      <c r="M63" s="456"/>
      <c r="N63" s="456"/>
      <c r="O63" s="456"/>
      <c r="P63" s="456"/>
      <c r="Q63" s="456"/>
      <c r="R63" s="456"/>
      <c r="S63" s="456"/>
      <c r="T63" s="456"/>
      <c r="U63" s="456"/>
      <c r="V63" s="456"/>
      <c r="W63" s="456"/>
      <c r="X63" s="456"/>
      <c r="Y63" s="456"/>
      <c r="Z63" s="456"/>
      <c r="AA63" s="456"/>
      <c r="AB63" s="457"/>
      <c r="AC63" s="456"/>
      <c r="AD63" s="456"/>
      <c r="AE63" s="456"/>
      <c r="AF63" s="456"/>
      <c r="AG63" s="456"/>
      <c r="AH63" s="456"/>
      <c r="AI63" s="456"/>
      <c r="AJ63" s="456"/>
      <c r="AK63" s="456"/>
      <c r="AL63" s="456"/>
      <c r="AM63" s="456"/>
      <c r="AN63" s="456"/>
      <c r="AO63" s="456"/>
      <c r="AP63" s="456"/>
      <c r="AQ63" s="456"/>
      <c r="AR63" s="456"/>
      <c r="AS63" s="456"/>
      <c r="AT63" s="456"/>
      <c r="AU63" s="456"/>
      <c r="AV63" s="456"/>
      <c r="AW63" s="456"/>
      <c r="AX63" s="456"/>
      <c r="AY63" s="456"/>
      <c r="AZ63" s="456"/>
      <c r="BA63" s="456"/>
      <c r="BB63" s="456"/>
      <c r="BD63" s="369"/>
      <c r="BE63" s="114"/>
      <c r="BF63" s="114"/>
      <c r="BG63" s="114"/>
      <c r="BH63" s="114"/>
      <c r="BI63" s="371"/>
      <c r="BJ63" s="377"/>
      <c r="BK63" s="373"/>
      <c r="BL63" s="374"/>
      <c r="BM63" s="374"/>
      <c r="BN63" s="459"/>
      <c r="BO63" s="376"/>
      <c r="BP63" s="374"/>
      <c r="BQ63" s="377"/>
      <c r="BR63" s="25"/>
    </row>
    <row r="64" ht="15.75" customHeight="1">
      <c r="A64" s="460">
        <v>35.0</v>
      </c>
      <c r="B64" s="378"/>
      <c r="C64" s="363"/>
      <c r="D64" s="461"/>
      <c r="E64" s="456"/>
      <c r="F64" s="456"/>
      <c r="G64" s="456"/>
      <c r="H64" s="456"/>
      <c r="I64" s="456"/>
      <c r="J64" s="456"/>
      <c r="K64" s="456"/>
      <c r="L64" s="456"/>
      <c r="M64" s="456"/>
      <c r="N64" s="456"/>
      <c r="O64" s="456"/>
      <c r="P64" s="456"/>
      <c r="Q64" s="456"/>
      <c r="R64" s="456"/>
      <c r="S64" s="456"/>
      <c r="T64" s="456"/>
      <c r="U64" s="456"/>
      <c r="V64" s="456"/>
      <c r="W64" s="456"/>
      <c r="X64" s="456"/>
      <c r="Y64" s="456"/>
      <c r="Z64" s="456"/>
      <c r="AA64" s="456"/>
      <c r="AB64" s="457"/>
      <c r="AC64" s="456"/>
      <c r="AD64" s="456"/>
      <c r="AE64" s="456"/>
      <c r="AF64" s="456"/>
      <c r="AG64" s="456"/>
      <c r="AH64" s="456"/>
      <c r="AI64" s="456"/>
      <c r="AJ64" s="456"/>
      <c r="AK64" s="456"/>
      <c r="AL64" s="456"/>
      <c r="AM64" s="456"/>
      <c r="AN64" s="456"/>
      <c r="AO64" s="456"/>
      <c r="AP64" s="456"/>
      <c r="AQ64" s="456"/>
      <c r="AR64" s="456"/>
      <c r="AS64" s="456"/>
      <c r="AT64" s="456"/>
      <c r="AU64" s="456"/>
      <c r="AV64" s="456"/>
      <c r="AW64" s="456"/>
      <c r="AX64" s="456"/>
      <c r="AY64" s="456"/>
      <c r="AZ64" s="456"/>
      <c r="BA64" s="456"/>
      <c r="BB64" s="456"/>
      <c r="BD64" s="369"/>
      <c r="BE64" s="114"/>
      <c r="BF64" s="114"/>
      <c r="BG64" s="114"/>
      <c r="BH64" s="114"/>
      <c r="BI64" s="371"/>
      <c r="BJ64" s="377"/>
      <c r="BK64" s="373"/>
      <c r="BL64" s="374"/>
      <c r="BM64" s="374"/>
      <c r="BN64" s="459"/>
      <c r="BO64" s="376"/>
      <c r="BP64" s="374"/>
      <c r="BQ64" s="377"/>
      <c r="BR64" s="25"/>
    </row>
    <row r="65" ht="15.75" customHeight="1">
      <c r="A65" s="460">
        <v>36.0</v>
      </c>
      <c r="B65" s="378"/>
      <c r="C65" s="363"/>
      <c r="D65" s="461"/>
      <c r="E65" s="456"/>
      <c r="F65" s="456"/>
      <c r="G65" s="456"/>
      <c r="H65" s="456"/>
      <c r="I65" s="456"/>
      <c r="J65" s="456"/>
      <c r="K65" s="456"/>
      <c r="L65" s="456"/>
      <c r="M65" s="456"/>
      <c r="N65" s="456"/>
      <c r="O65" s="456"/>
      <c r="P65" s="456"/>
      <c r="Q65" s="456"/>
      <c r="R65" s="456"/>
      <c r="S65" s="456"/>
      <c r="T65" s="456"/>
      <c r="U65" s="456"/>
      <c r="V65" s="456"/>
      <c r="W65" s="456"/>
      <c r="X65" s="456"/>
      <c r="Y65" s="456"/>
      <c r="Z65" s="456"/>
      <c r="AA65" s="456"/>
      <c r="AB65" s="457"/>
      <c r="AC65" s="456"/>
      <c r="AD65" s="456"/>
      <c r="AE65" s="456"/>
      <c r="AF65" s="456"/>
      <c r="AG65" s="456"/>
      <c r="AH65" s="456"/>
      <c r="AI65" s="456"/>
      <c r="AJ65" s="456"/>
      <c r="AK65" s="456"/>
      <c r="AL65" s="456"/>
      <c r="AM65" s="456"/>
      <c r="AN65" s="456"/>
      <c r="AO65" s="456"/>
      <c r="AP65" s="456"/>
      <c r="AQ65" s="456"/>
      <c r="AR65" s="456"/>
      <c r="AS65" s="456"/>
      <c r="AT65" s="456"/>
      <c r="AU65" s="456"/>
      <c r="AV65" s="456"/>
      <c r="AW65" s="456"/>
      <c r="AX65" s="456"/>
      <c r="AY65" s="456"/>
      <c r="AZ65" s="456"/>
      <c r="BA65" s="456"/>
      <c r="BB65" s="456"/>
      <c r="BD65" s="369"/>
      <c r="BE65" s="114"/>
      <c r="BF65" s="114"/>
      <c r="BG65" s="114"/>
      <c r="BH65" s="114"/>
      <c r="BI65" s="371"/>
      <c r="BJ65" s="377"/>
      <c r="BK65" s="373"/>
      <c r="BL65" s="374"/>
      <c r="BM65" s="374"/>
      <c r="BN65" s="459"/>
      <c r="BO65" s="376"/>
      <c r="BP65" s="374"/>
      <c r="BQ65" s="377"/>
      <c r="BR65" s="25"/>
    </row>
    <row r="66" ht="15.75" customHeight="1">
      <c r="A66" s="460">
        <v>37.0</v>
      </c>
      <c r="B66" s="378"/>
      <c r="C66" s="363"/>
      <c r="D66" s="461"/>
      <c r="E66" s="456"/>
      <c r="F66" s="456"/>
      <c r="G66" s="456"/>
      <c r="H66" s="456"/>
      <c r="I66" s="456"/>
      <c r="J66" s="456"/>
      <c r="K66" s="456"/>
      <c r="L66" s="456"/>
      <c r="M66" s="456"/>
      <c r="N66" s="456"/>
      <c r="O66" s="456"/>
      <c r="P66" s="456"/>
      <c r="Q66" s="456"/>
      <c r="R66" s="456"/>
      <c r="S66" s="456"/>
      <c r="T66" s="456"/>
      <c r="U66" s="456"/>
      <c r="V66" s="456"/>
      <c r="W66" s="456"/>
      <c r="X66" s="456"/>
      <c r="Y66" s="456"/>
      <c r="Z66" s="456"/>
      <c r="AA66" s="456"/>
      <c r="AB66" s="457"/>
      <c r="AC66" s="456"/>
      <c r="AD66" s="456"/>
      <c r="AE66" s="456"/>
      <c r="AF66" s="456"/>
      <c r="AG66" s="456"/>
      <c r="AH66" s="456"/>
      <c r="AI66" s="456"/>
      <c r="AJ66" s="456"/>
      <c r="AK66" s="456"/>
      <c r="AL66" s="456"/>
      <c r="AM66" s="456"/>
      <c r="AN66" s="456"/>
      <c r="AO66" s="456"/>
      <c r="AP66" s="456"/>
      <c r="AQ66" s="456"/>
      <c r="AR66" s="456"/>
      <c r="AS66" s="456"/>
      <c r="AT66" s="456"/>
      <c r="AU66" s="456"/>
      <c r="AV66" s="456"/>
      <c r="AW66" s="456"/>
      <c r="AX66" s="456"/>
      <c r="AY66" s="456"/>
      <c r="AZ66" s="456"/>
      <c r="BA66" s="456"/>
      <c r="BB66" s="456"/>
      <c r="BD66" s="369"/>
      <c r="BE66" s="114"/>
      <c r="BF66" s="114"/>
      <c r="BG66" s="114"/>
      <c r="BH66" s="114"/>
      <c r="BI66" s="371"/>
      <c r="BJ66" s="377"/>
      <c r="BK66" s="373"/>
      <c r="BL66" s="374"/>
      <c r="BM66" s="374"/>
      <c r="BN66" s="459"/>
      <c r="BO66" s="376"/>
      <c r="BP66" s="374"/>
      <c r="BQ66" s="377"/>
      <c r="BR66" s="25"/>
    </row>
    <row r="67" ht="15.75" customHeight="1">
      <c r="A67" s="460">
        <v>38.0</v>
      </c>
      <c r="B67" s="378"/>
      <c r="C67" s="363"/>
      <c r="D67" s="461"/>
      <c r="E67" s="456"/>
      <c r="F67" s="456"/>
      <c r="G67" s="456"/>
      <c r="H67" s="456"/>
      <c r="I67" s="456"/>
      <c r="J67" s="456"/>
      <c r="K67" s="456"/>
      <c r="L67" s="456"/>
      <c r="M67" s="456"/>
      <c r="N67" s="456"/>
      <c r="O67" s="456"/>
      <c r="P67" s="456"/>
      <c r="Q67" s="456"/>
      <c r="R67" s="456"/>
      <c r="S67" s="456"/>
      <c r="T67" s="456"/>
      <c r="U67" s="456"/>
      <c r="V67" s="456"/>
      <c r="W67" s="456"/>
      <c r="X67" s="456"/>
      <c r="Y67" s="456"/>
      <c r="Z67" s="456"/>
      <c r="AA67" s="456"/>
      <c r="AB67" s="457"/>
      <c r="AC67" s="456"/>
      <c r="AD67" s="456"/>
      <c r="AE67" s="456"/>
      <c r="AF67" s="456"/>
      <c r="AG67" s="456"/>
      <c r="AH67" s="456"/>
      <c r="AI67" s="456"/>
      <c r="AJ67" s="456"/>
      <c r="AK67" s="456"/>
      <c r="AL67" s="456"/>
      <c r="AM67" s="456"/>
      <c r="AN67" s="456"/>
      <c r="AO67" s="456"/>
      <c r="AP67" s="456"/>
      <c r="AQ67" s="456"/>
      <c r="AR67" s="456"/>
      <c r="AS67" s="456"/>
      <c r="AT67" s="456"/>
      <c r="AU67" s="456"/>
      <c r="AV67" s="456"/>
      <c r="AW67" s="456"/>
      <c r="AX67" s="456"/>
      <c r="AY67" s="456"/>
      <c r="AZ67" s="456"/>
      <c r="BA67" s="456"/>
      <c r="BB67" s="456"/>
      <c r="BD67" s="369"/>
      <c r="BE67" s="114"/>
      <c r="BF67" s="114"/>
      <c r="BG67" s="114"/>
      <c r="BH67" s="114"/>
      <c r="BI67" s="371"/>
      <c r="BJ67" s="377"/>
      <c r="BK67" s="373"/>
      <c r="BL67" s="374"/>
      <c r="BM67" s="374"/>
      <c r="BN67" s="459"/>
      <c r="BO67" s="376"/>
      <c r="BP67" s="374"/>
      <c r="BQ67" s="377"/>
      <c r="BR67" s="25"/>
    </row>
    <row r="68" ht="15.75" customHeight="1">
      <c r="A68" s="460">
        <v>39.0</v>
      </c>
      <c r="B68" s="378"/>
      <c r="C68" s="363"/>
      <c r="D68" s="461"/>
      <c r="E68" s="456"/>
      <c r="F68" s="456"/>
      <c r="G68" s="456"/>
      <c r="H68" s="456"/>
      <c r="I68" s="456"/>
      <c r="J68" s="456"/>
      <c r="K68" s="456"/>
      <c r="L68" s="456"/>
      <c r="M68" s="456"/>
      <c r="N68" s="456"/>
      <c r="O68" s="456"/>
      <c r="P68" s="456"/>
      <c r="Q68" s="456"/>
      <c r="R68" s="456"/>
      <c r="S68" s="456"/>
      <c r="T68" s="456"/>
      <c r="U68" s="456"/>
      <c r="V68" s="456"/>
      <c r="W68" s="456"/>
      <c r="X68" s="456"/>
      <c r="Y68" s="456"/>
      <c r="Z68" s="456"/>
      <c r="AA68" s="456"/>
      <c r="AB68" s="457"/>
      <c r="AC68" s="456"/>
      <c r="AD68" s="456"/>
      <c r="AE68" s="456"/>
      <c r="AF68" s="456"/>
      <c r="AG68" s="456"/>
      <c r="AH68" s="456"/>
      <c r="AI68" s="456"/>
      <c r="AJ68" s="456"/>
      <c r="AK68" s="456"/>
      <c r="AL68" s="456"/>
      <c r="AM68" s="456"/>
      <c r="AN68" s="456"/>
      <c r="AO68" s="456"/>
      <c r="AP68" s="456"/>
      <c r="AQ68" s="456"/>
      <c r="AR68" s="456"/>
      <c r="AS68" s="456"/>
      <c r="AT68" s="456"/>
      <c r="AU68" s="456"/>
      <c r="AV68" s="456"/>
      <c r="AW68" s="456"/>
      <c r="AX68" s="456"/>
      <c r="AY68" s="456"/>
      <c r="AZ68" s="456"/>
      <c r="BA68" s="456"/>
      <c r="BB68" s="456"/>
      <c r="BD68" s="369"/>
      <c r="BE68" s="114"/>
      <c r="BF68" s="114"/>
      <c r="BG68" s="114"/>
      <c r="BH68" s="114"/>
      <c r="BI68" s="371"/>
      <c r="BJ68" s="377"/>
      <c r="BK68" s="373"/>
      <c r="BL68" s="374"/>
      <c r="BM68" s="374"/>
      <c r="BN68" s="459"/>
      <c r="BO68" s="376"/>
      <c r="BP68" s="374"/>
      <c r="BQ68" s="377"/>
      <c r="BR68" s="25"/>
    </row>
    <row r="69" ht="15.75" customHeight="1">
      <c r="A69" s="460">
        <v>40.0</v>
      </c>
      <c r="B69" s="378"/>
      <c r="C69" s="363"/>
      <c r="D69" s="461"/>
      <c r="E69" s="456"/>
      <c r="F69" s="456"/>
      <c r="G69" s="456"/>
      <c r="H69" s="456"/>
      <c r="I69" s="456"/>
      <c r="J69" s="456"/>
      <c r="K69" s="456"/>
      <c r="L69" s="456"/>
      <c r="M69" s="456"/>
      <c r="N69" s="456"/>
      <c r="O69" s="456"/>
      <c r="P69" s="456"/>
      <c r="Q69" s="456"/>
      <c r="R69" s="456"/>
      <c r="S69" s="456"/>
      <c r="T69" s="456"/>
      <c r="U69" s="456"/>
      <c r="V69" s="456"/>
      <c r="W69" s="456"/>
      <c r="X69" s="456"/>
      <c r="Y69" s="456"/>
      <c r="Z69" s="456"/>
      <c r="AA69" s="456"/>
      <c r="AB69" s="457"/>
      <c r="AC69" s="456"/>
      <c r="AD69" s="456"/>
      <c r="AE69" s="456"/>
      <c r="AF69" s="456"/>
      <c r="AG69" s="456"/>
      <c r="AH69" s="456"/>
      <c r="AI69" s="456"/>
      <c r="AJ69" s="456"/>
      <c r="AK69" s="456"/>
      <c r="AL69" s="456"/>
      <c r="AM69" s="456"/>
      <c r="AN69" s="456"/>
      <c r="AO69" s="456"/>
      <c r="AP69" s="456"/>
      <c r="AQ69" s="456"/>
      <c r="AR69" s="456"/>
      <c r="AS69" s="456"/>
      <c r="AT69" s="456"/>
      <c r="AU69" s="456"/>
      <c r="AV69" s="456"/>
      <c r="AW69" s="456"/>
      <c r="AX69" s="456"/>
      <c r="AY69" s="456"/>
      <c r="AZ69" s="456"/>
      <c r="BA69" s="456"/>
      <c r="BB69" s="456"/>
      <c r="BD69" s="369"/>
      <c r="BE69" s="114"/>
      <c r="BF69" s="114"/>
      <c r="BG69" s="114"/>
      <c r="BH69" s="114"/>
      <c r="BI69" s="371"/>
      <c r="BJ69" s="377"/>
      <c r="BK69" s="373"/>
      <c r="BL69" s="374"/>
      <c r="BM69" s="374"/>
      <c r="BN69" s="459"/>
      <c r="BO69" s="376"/>
      <c r="BP69" s="374"/>
      <c r="BQ69" s="377"/>
      <c r="BR69" s="25"/>
    </row>
    <row r="70" ht="15.75" customHeight="1">
      <c r="A70" s="462" t="s">
        <v>202</v>
      </c>
      <c r="B70" s="29"/>
      <c r="C70" s="41"/>
      <c r="D70" s="387">
        <f>COUNTIF(D30:D69,"B")</f>
        <v>5</v>
      </c>
      <c r="E70" s="387">
        <f>COUNTIF(E30:E69,"C")</f>
        <v>4</v>
      </c>
      <c r="F70" s="387">
        <f>COUNTIF(F30:F69,"D")</f>
        <v>2</v>
      </c>
      <c r="G70" s="387">
        <f>COUNTIF(G30:G69,"A")</f>
        <v>5</v>
      </c>
      <c r="H70" s="387">
        <f>COUNTIF(H30:H69,"B")</f>
        <v>5</v>
      </c>
      <c r="I70" s="387">
        <f>COUNTIF(I30:I69,"D")</f>
        <v>2</v>
      </c>
      <c r="J70" s="387">
        <f t="shared" ref="J70:K70" si="9">COUNTIF(J30:J69,"B")</f>
        <v>4</v>
      </c>
      <c r="K70" s="387">
        <f t="shared" si="9"/>
        <v>2</v>
      </c>
      <c r="L70" s="387">
        <f t="shared" ref="L70:M70" si="10">COUNTIF(L30:L69,"C")</f>
        <v>11</v>
      </c>
      <c r="M70" s="387">
        <f t="shared" si="10"/>
        <v>5</v>
      </c>
      <c r="N70" s="387">
        <f>COUNTIF(N30:N69,"B")</f>
        <v>6</v>
      </c>
      <c r="O70" s="387">
        <f>COUNTIF(O30:O69,"A")</f>
        <v>3</v>
      </c>
      <c r="P70" s="387">
        <f>COUNTIF(P30:P69,"D")</f>
        <v>3</v>
      </c>
      <c r="Q70" s="387">
        <f>COUNTIF(Q30:Q69,"C")</f>
        <v>7</v>
      </c>
      <c r="R70" s="387">
        <f>COUNTIF(R30:R69,"B")</f>
        <v>5</v>
      </c>
      <c r="S70" s="387">
        <f>COUNTIF(S30:S69,"A")</f>
        <v>1</v>
      </c>
      <c r="T70" s="387">
        <f t="shared" ref="T70:V70" si="11">COUNTIF(T30:T69,"B")</f>
        <v>13</v>
      </c>
      <c r="U70" s="387">
        <f t="shared" si="11"/>
        <v>5</v>
      </c>
      <c r="V70" s="387">
        <f t="shared" si="11"/>
        <v>5</v>
      </c>
      <c r="W70" s="387">
        <f>COUNTIF(W30:W69,"A")</f>
        <v>2</v>
      </c>
      <c r="X70" s="387">
        <f t="shared" ref="X70:Y70" si="12">COUNTIF(X30:X69,"C")</f>
        <v>2</v>
      </c>
      <c r="Y70" s="387">
        <f t="shared" si="12"/>
        <v>4</v>
      </c>
      <c r="Z70" s="387">
        <f>COUNTIF(Z30:Z69,"A")</f>
        <v>3</v>
      </c>
      <c r="AA70" s="387">
        <f>COUNTIF(AA30:AA69,"D")</f>
        <v>1</v>
      </c>
      <c r="AB70" s="388">
        <f t="shared" ref="AB70:AC70" si="13">COUNTIF(AB30:AB69,"C")</f>
        <v>2</v>
      </c>
      <c r="AC70" s="463">
        <f t="shared" si="13"/>
        <v>9</v>
      </c>
      <c r="AD70" s="387">
        <f>COUNTIF(AD30:AD69,"B")</f>
        <v>3</v>
      </c>
      <c r="AE70" s="387">
        <f t="shared" ref="AE70:AF70" si="14">COUNTIF(AE30:AE69,"A")</f>
        <v>2</v>
      </c>
      <c r="AF70" s="387">
        <f t="shared" si="14"/>
        <v>7</v>
      </c>
      <c r="AG70" s="387">
        <f>COUNTIF(AG30:AG69,"D")</f>
        <v>3</v>
      </c>
      <c r="AH70" s="387">
        <f t="shared" ref="AH70:AK70" si="15">COUNTIF(AH30:AH69,"A")</f>
        <v>8</v>
      </c>
      <c r="AI70" s="387">
        <f t="shared" si="15"/>
        <v>6</v>
      </c>
      <c r="AJ70" s="387">
        <f t="shared" si="15"/>
        <v>4</v>
      </c>
      <c r="AK70" s="387">
        <f t="shared" si="15"/>
        <v>3</v>
      </c>
      <c r="AL70" s="387">
        <f>COUNTIF(AL30:AL69,"D")</f>
        <v>2</v>
      </c>
      <c r="AM70" s="387">
        <f>COUNTIF(AM30:AM69,"B")</f>
        <v>5</v>
      </c>
      <c r="AN70" s="387">
        <f>COUNTIF(AN30:AN69,"A")</f>
        <v>5</v>
      </c>
      <c r="AO70" s="387">
        <f>COUNTIF(AO30:AO69,"D")</f>
        <v>12</v>
      </c>
      <c r="AP70" s="387">
        <f>COUNTIF(AP30:AP69,"B")</f>
        <v>7</v>
      </c>
      <c r="AQ70" s="387">
        <f>COUNTIF(AQ30:AQ69,"D")</f>
        <v>8</v>
      </c>
      <c r="AR70" s="387">
        <f>COUNTIF(AR30:AR69,"C")</f>
        <v>10</v>
      </c>
      <c r="AS70" s="387">
        <f t="shared" ref="AS70:AT70" si="16">COUNTIF(AS30:AS69,"A")</f>
        <v>6</v>
      </c>
      <c r="AT70" s="387">
        <f t="shared" si="16"/>
        <v>9</v>
      </c>
      <c r="AU70" s="387">
        <f t="shared" ref="AU70:AV70" si="17">COUNTIF(AU30:AU69,"D")</f>
        <v>8</v>
      </c>
      <c r="AV70" s="387">
        <f t="shared" si="17"/>
        <v>5</v>
      </c>
      <c r="AW70" s="387">
        <f>COUNTIF(AW30:AW69,"B")</f>
        <v>8</v>
      </c>
      <c r="AX70" s="387">
        <f t="shared" ref="AX70:AZ70" si="18">COUNTIF(AX30:AX69,"D")</f>
        <v>5</v>
      </c>
      <c r="AY70" s="387">
        <f t="shared" si="18"/>
        <v>6</v>
      </c>
      <c r="AZ70" s="387">
        <f t="shared" si="18"/>
        <v>9</v>
      </c>
      <c r="BA70" s="387">
        <f>COUNTIF(BA30:BA69,"A")</f>
        <v>5</v>
      </c>
      <c r="BB70" s="387">
        <f>COUNTIF(BB30:BB69,"D")</f>
        <v>6</v>
      </c>
    </row>
    <row r="71" ht="108.0" customHeight="1">
      <c r="BC71" s="88"/>
    </row>
    <row r="72" ht="12.0" customHeight="1">
      <c r="A72" s="89"/>
      <c r="B72" s="90"/>
      <c r="C72" s="90"/>
      <c r="D72" s="257" t="s">
        <v>51</v>
      </c>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41"/>
      <c r="AK72" s="93"/>
      <c r="AL72" s="464" t="s">
        <v>87</v>
      </c>
      <c r="AM72" s="34"/>
      <c r="AN72" s="34"/>
      <c r="AO72" s="34"/>
      <c r="AP72" s="34"/>
      <c r="AQ72" s="34"/>
      <c r="AR72" s="34"/>
      <c r="AS72" s="34"/>
      <c r="AT72" s="34"/>
      <c r="AU72" s="97"/>
    </row>
    <row r="73" ht="12.0" customHeight="1">
      <c r="A73" s="94"/>
      <c r="B73" s="95"/>
      <c r="C73" s="95"/>
      <c r="D73" s="96" t="s">
        <v>52</v>
      </c>
      <c r="E73" s="97"/>
      <c r="F73" s="98" t="s">
        <v>53</v>
      </c>
      <c r="G73" s="259" t="s">
        <v>54</v>
      </c>
      <c r="H73" s="260" t="s">
        <v>55</v>
      </c>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97"/>
      <c r="AK73" s="101"/>
      <c r="AL73" s="102"/>
      <c r="AM73" s="23"/>
      <c r="AN73" s="23"/>
      <c r="AO73" s="23"/>
      <c r="AP73" s="23"/>
      <c r="AQ73" s="23"/>
      <c r="AR73" s="23"/>
      <c r="AS73" s="23"/>
      <c r="AT73" s="23"/>
      <c r="AU73" s="24"/>
    </row>
    <row r="74">
      <c r="A74" s="94"/>
      <c r="B74" s="95"/>
      <c r="C74" s="95"/>
      <c r="D74" s="102"/>
      <c r="E74" s="24"/>
      <c r="F74" s="65"/>
      <c r="G74" s="102"/>
      <c r="H74" s="102"/>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4"/>
      <c r="AK74" s="101"/>
      <c r="AL74" s="465"/>
      <c r="AM74" s="466"/>
      <c r="AN74" s="406" t="s">
        <v>10</v>
      </c>
      <c r="AO74" s="467" t="s">
        <v>44</v>
      </c>
      <c r="AP74" s="408" t="s">
        <v>10</v>
      </c>
      <c r="AQ74" s="468" t="s">
        <v>42</v>
      </c>
      <c r="AR74" s="408" t="s">
        <v>10</v>
      </c>
      <c r="AS74" s="468" t="s">
        <v>41</v>
      </c>
      <c r="AT74" s="408" t="s">
        <v>10</v>
      </c>
      <c r="AU74" s="468" t="s">
        <v>43</v>
      </c>
      <c r="AV74" s="262"/>
      <c r="AW74" s="263"/>
    </row>
    <row r="75">
      <c r="A75" s="94"/>
      <c r="B75" s="95"/>
      <c r="C75" s="95"/>
      <c r="D75" s="264" t="s">
        <v>16</v>
      </c>
      <c r="E75" s="112">
        <v>1.0</v>
      </c>
      <c r="F75" s="113">
        <f>D70</f>
        <v>5</v>
      </c>
      <c r="G75" s="265">
        <f t="shared" ref="G75:G125" si="19">SUM(F75/C$17*100)</f>
        <v>16.12903226</v>
      </c>
      <c r="H75" s="266" t="s">
        <v>119</v>
      </c>
      <c r="I75" s="267"/>
      <c r="J75" s="267"/>
      <c r="K75" s="267"/>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8"/>
      <c r="AK75" s="111"/>
      <c r="AL75" s="156" t="s">
        <v>16</v>
      </c>
      <c r="AM75" s="469">
        <v>1.0</v>
      </c>
      <c r="AN75" s="208">
        <f>COUNTIF(D30:D69,"A")</f>
        <v>6</v>
      </c>
      <c r="AO75" s="470">
        <f t="shared" ref="AO75:AO125" si="20">SUM(AN75/C$17*100)</f>
        <v>19.35483871</v>
      </c>
      <c r="AP75" s="208">
        <f>COUNTIF(D30:D69,"B")</f>
        <v>5</v>
      </c>
      <c r="AQ75" s="471">
        <f t="shared" ref="AQ75:AQ125" si="21">SUM(AP75/C$17*100)</f>
        <v>16.12903226</v>
      </c>
      <c r="AR75" s="208">
        <f>COUNTIF(D30:D69,"C")</f>
        <v>9</v>
      </c>
      <c r="AS75" s="471">
        <f t="shared" ref="AS75:AS125" si="22">SUM(AR75/C$17*100)</f>
        <v>29.03225806</v>
      </c>
      <c r="AT75" s="208">
        <f>COUNTIF(D30:D69,"D")</f>
        <v>5</v>
      </c>
      <c r="AU75" s="471">
        <f t="shared" ref="AU75:AU125" si="23">SUM(AT75/C$17*100)</f>
        <v>16.12903226</v>
      </c>
      <c r="AV75" s="271"/>
      <c r="AW75" s="272"/>
    </row>
    <row r="76">
      <c r="A76" s="94"/>
      <c r="B76" s="95"/>
      <c r="C76" s="95"/>
      <c r="D76" s="47"/>
      <c r="E76" s="112">
        <v>2.0</v>
      </c>
      <c r="F76" s="113">
        <f>E70</f>
        <v>4</v>
      </c>
      <c r="G76" s="265">
        <f t="shared" si="19"/>
        <v>12.90322581</v>
      </c>
      <c r="H76" s="266" t="s">
        <v>119</v>
      </c>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8"/>
      <c r="AK76" s="111"/>
      <c r="AM76" s="469">
        <v>2.0</v>
      </c>
      <c r="AN76" s="208">
        <f>COUNTIF(E30:E69,"A")</f>
        <v>7</v>
      </c>
      <c r="AO76" s="470">
        <f t="shared" si="20"/>
        <v>22.58064516</v>
      </c>
      <c r="AP76" s="208">
        <f>COUNTIF(E30:E69,"B")</f>
        <v>8</v>
      </c>
      <c r="AQ76" s="471">
        <f t="shared" si="21"/>
        <v>25.80645161</v>
      </c>
      <c r="AR76" s="208">
        <f>COUNTIF(E30:E69,"C")</f>
        <v>4</v>
      </c>
      <c r="AS76" s="471">
        <f t="shared" si="22"/>
        <v>12.90322581</v>
      </c>
      <c r="AT76" s="208">
        <f>COUNTIF(E30:E69,"D")</f>
        <v>6</v>
      </c>
      <c r="AU76" s="471">
        <f t="shared" si="23"/>
        <v>19.35483871</v>
      </c>
      <c r="AV76" s="271"/>
      <c r="AW76" s="272"/>
    </row>
    <row r="77">
      <c r="A77" s="94"/>
      <c r="B77" s="95"/>
      <c r="C77" s="95"/>
      <c r="D77" s="47"/>
      <c r="E77" s="112">
        <v>3.0</v>
      </c>
      <c r="F77" s="114">
        <f>F70</f>
        <v>2</v>
      </c>
      <c r="G77" s="265">
        <f t="shared" si="19"/>
        <v>6.451612903</v>
      </c>
      <c r="H77" s="266" t="s">
        <v>120</v>
      </c>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8"/>
      <c r="AK77" s="111"/>
      <c r="AM77" s="469">
        <v>3.0</v>
      </c>
      <c r="AN77" s="208">
        <f>COUNTIF(F30:F69,"A")</f>
        <v>4</v>
      </c>
      <c r="AO77" s="470">
        <f t="shared" si="20"/>
        <v>12.90322581</v>
      </c>
      <c r="AP77" s="208">
        <f>COUNTIF(F30:F69,"B")</f>
        <v>0</v>
      </c>
      <c r="AQ77" s="471">
        <f t="shared" si="21"/>
        <v>0</v>
      </c>
      <c r="AR77" s="208">
        <f>COUNTIF(F30:F69,"C")</f>
        <v>19</v>
      </c>
      <c r="AS77" s="471">
        <f t="shared" si="22"/>
        <v>61.29032258</v>
      </c>
      <c r="AT77" s="208">
        <f>COUNTIF(F30:F69,"D")</f>
        <v>2</v>
      </c>
      <c r="AU77" s="471">
        <f t="shared" si="23"/>
        <v>6.451612903</v>
      </c>
      <c r="AV77" s="271"/>
      <c r="AW77" s="272"/>
    </row>
    <row r="78">
      <c r="A78" s="94"/>
      <c r="B78" s="95"/>
      <c r="C78" s="95"/>
      <c r="D78" s="47"/>
      <c r="E78" s="112">
        <v>4.0</v>
      </c>
      <c r="F78" s="113">
        <f>G70</f>
        <v>5</v>
      </c>
      <c r="G78" s="265">
        <f t="shared" si="19"/>
        <v>16.12903226</v>
      </c>
      <c r="H78" s="273" t="s">
        <v>121</v>
      </c>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8"/>
      <c r="AK78" s="111"/>
      <c r="AM78" s="469">
        <v>4.0</v>
      </c>
      <c r="AN78" s="208">
        <f>COUNTIF(G30:G69,"A")</f>
        <v>5</v>
      </c>
      <c r="AO78" s="470">
        <f t="shared" si="20"/>
        <v>16.12903226</v>
      </c>
      <c r="AP78" s="208">
        <f>COUNTIF(G30:G69,"B")</f>
        <v>8</v>
      </c>
      <c r="AQ78" s="471">
        <f t="shared" si="21"/>
        <v>25.80645161</v>
      </c>
      <c r="AR78" s="208">
        <f>COUNTIF(G30:G69,"C")</f>
        <v>6</v>
      </c>
      <c r="AS78" s="471">
        <f t="shared" si="22"/>
        <v>19.35483871</v>
      </c>
      <c r="AT78" s="208">
        <f>COUNTIF(G30:G69,"D")</f>
        <v>6</v>
      </c>
      <c r="AU78" s="471">
        <f t="shared" si="23"/>
        <v>19.35483871</v>
      </c>
      <c r="AV78" s="271"/>
      <c r="AW78" s="272"/>
    </row>
    <row r="79">
      <c r="A79" s="94"/>
      <c r="B79" s="95"/>
      <c r="C79" s="95"/>
      <c r="D79" s="47"/>
      <c r="E79" s="112">
        <v>5.0</v>
      </c>
      <c r="F79" s="113">
        <f>H70</f>
        <v>5</v>
      </c>
      <c r="G79" s="265">
        <f t="shared" si="19"/>
        <v>16.12903226</v>
      </c>
      <c r="H79" s="274" t="s">
        <v>122</v>
      </c>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8"/>
      <c r="AK79" s="111"/>
      <c r="AM79" s="469">
        <v>5.0</v>
      </c>
      <c r="AN79" s="208">
        <f>COUNTIF(H30:H69,"A")</f>
        <v>7</v>
      </c>
      <c r="AO79" s="470">
        <f t="shared" si="20"/>
        <v>22.58064516</v>
      </c>
      <c r="AP79" s="208">
        <f>COUNTIF(H30:H69,"B")</f>
        <v>5</v>
      </c>
      <c r="AQ79" s="471">
        <f t="shared" si="21"/>
        <v>16.12903226</v>
      </c>
      <c r="AR79" s="208">
        <f>COUNTIF(H30:H69,"C")</f>
        <v>5</v>
      </c>
      <c r="AS79" s="471">
        <f t="shared" si="22"/>
        <v>16.12903226</v>
      </c>
      <c r="AT79" s="208">
        <f>COUNTIF(H30:H69,"D")</f>
        <v>8</v>
      </c>
      <c r="AU79" s="471">
        <f t="shared" si="23"/>
        <v>25.80645161</v>
      </c>
      <c r="AV79" s="271"/>
      <c r="AW79" s="272"/>
    </row>
    <row r="80">
      <c r="A80" s="94"/>
      <c r="B80" s="95"/>
      <c r="C80" s="95"/>
      <c r="D80" s="47"/>
      <c r="E80" s="112">
        <v>6.0</v>
      </c>
      <c r="F80" s="113">
        <f>I70</f>
        <v>2</v>
      </c>
      <c r="G80" s="265">
        <f t="shared" si="19"/>
        <v>6.451612903</v>
      </c>
      <c r="H80" s="275" t="s">
        <v>123</v>
      </c>
      <c r="I80" s="276"/>
      <c r="J80" s="276"/>
      <c r="K80" s="276"/>
      <c r="L80" s="276"/>
      <c r="M80" s="276"/>
      <c r="N80" s="276"/>
      <c r="O80" s="276"/>
      <c r="P80" s="276"/>
      <c r="Q80" s="276"/>
      <c r="R80" s="276"/>
      <c r="S80" s="276"/>
      <c r="T80" s="276"/>
      <c r="U80" s="276"/>
      <c r="V80" s="276"/>
      <c r="W80" s="276"/>
      <c r="X80" s="276"/>
      <c r="Y80" s="276"/>
      <c r="Z80" s="276"/>
      <c r="AA80" s="276"/>
      <c r="AB80" s="276"/>
      <c r="AC80" s="276"/>
      <c r="AD80" s="276"/>
      <c r="AE80" s="276"/>
      <c r="AF80" s="276"/>
      <c r="AG80" s="276"/>
      <c r="AH80" s="276"/>
      <c r="AI80" s="276"/>
      <c r="AJ80" s="277"/>
      <c r="AK80" s="278"/>
      <c r="AM80" s="469">
        <v>6.0</v>
      </c>
      <c r="AN80" s="208">
        <f>COUNTIF(I30:I69,"A")</f>
        <v>4</v>
      </c>
      <c r="AO80" s="470">
        <f t="shared" si="20"/>
        <v>12.90322581</v>
      </c>
      <c r="AP80" s="208">
        <f>COUNTIF(I30:I69,"B")</f>
        <v>17</v>
      </c>
      <c r="AQ80" s="471">
        <f t="shared" si="21"/>
        <v>54.83870968</v>
      </c>
      <c r="AR80" s="208">
        <f>COUNTIF(I30:I69,"C")</f>
        <v>2</v>
      </c>
      <c r="AS80" s="471">
        <f t="shared" si="22"/>
        <v>6.451612903</v>
      </c>
      <c r="AT80" s="208">
        <f>COUNTIF(I30:I69,"D")</f>
        <v>2</v>
      </c>
      <c r="AU80" s="471">
        <f t="shared" si="23"/>
        <v>6.451612903</v>
      </c>
      <c r="AV80" s="271"/>
      <c r="AW80" s="272"/>
    </row>
    <row r="81">
      <c r="A81" s="94"/>
      <c r="B81" s="95"/>
      <c r="C81" s="95"/>
      <c r="D81" s="47"/>
      <c r="E81" s="112">
        <v>7.0</v>
      </c>
      <c r="F81" s="113">
        <f>J70</f>
        <v>4</v>
      </c>
      <c r="G81" s="265">
        <f t="shared" si="19"/>
        <v>12.90322581</v>
      </c>
      <c r="H81" s="273" t="s">
        <v>124</v>
      </c>
      <c r="I81" s="276"/>
      <c r="J81" s="276"/>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276"/>
      <c r="AH81" s="276"/>
      <c r="AI81" s="276"/>
      <c r="AJ81" s="277"/>
      <c r="AK81" s="111"/>
      <c r="AM81" s="469">
        <v>7.0</v>
      </c>
      <c r="AN81" s="208">
        <f>COUNTIF(J30:J69,"A")</f>
        <v>6</v>
      </c>
      <c r="AO81" s="470">
        <f t="shared" si="20"/>
        <v>19.35483871</v>
      </c>
      <c r="AP81" s="208">
        <f>COUNTIF(J30:J69,"B")</f>
        <v>4</v>
      </c>
      <c r="AQ81" s="471">
        <f t="shared" si="21"/>
        <v>12.90322581</v>
      </c>
      <c r="AR81" s="208">
        <f>COUNTIF(J30:J69,"C")</f>
        <v>7</v>
      </c>
      <c r="AS81" s="471">
        <f t="shared" si="22"/>
        <v>22.58064516</v>
      </c>
      <c r="AT81" s="208">
        <f>COUNTIF(J30:J69,"D")</f>
        <v>7</v>
      </c>
      <c r="AU81" s="471">
        <f t="shared" si="23"/>
        <v>22.58064516</v>
      </c>
      <c r="AV81" s="271"/>
      <c r="AW81" s="272"/>
    </row>
    <row r="82">
      <c r="A82" s="94"/>
      <c r="B82" s="95"/>
      <c r="C82" s="95"/>
      <c r="D82" s="47"/>
      <c r="E82" s="112">
        <v>8.0</v>
      </c>
      <c r="F82" s="113">
        <f>K70</f>
        <v>2</v>
      </c>
      <c r="G82" s="265">
        <f t="shared" si="19"/>
        <v>6.451612903</v>
      </c>
      <c r="H82" s="266" t="s">
        <v>123</v>
      </c>
      <c r="I82" s="279"/>
      <c r="J82" s="279"/>
      <c r="K82" s="279"/>
      <c r="L82" s="279"/>
      <c r="M82" s="279"/>
      <c r="N82" s="279"/>
      <c r="O82" s="279"/>
      <c r="P82" s="279"/>
      <c r="Q82" s="279"/>
      <c r="R82" s="279"/>
      <c r="S82" s="279"/>
      <c r="T82" s="279"/>
      <c r="U82" s="279"/>
      <c r="V82" s="279"/>
      <c r="W82" s="279"/>
      <c r="X82" s="279"/>
      <c r="Y82" s="279"/>
      <c r="Z82" s="279"/>
      <c r="AA82" s="279"/>
      <c r="AB82" s="279"/>
      <c r="AC82" s="279"/>
      <c r="AD82" s="279"/>
      <c r="AE82" s="279"/>
      <c r="AF82" s="279"/>
      <c r="AG82" s="279"/>
      <c r="AH82" s="279"/>
      <c r="AI82" s="279"/>
      <c r="AJ82" s="280"/>
      <c r="AK82" s="115"/>
      <c r="AM82" s="469">
        <v>8.0</v>
      </c>
      <c r="AN82" s="208">
        <f>COUNTIF(K30:K69,"A")</f>
        <v>12</v>
      </c>
      <c r="AO82" s="470">
        <f t="shared" si="20"/>
        <v>38.70967742</v>
      </c>
      <c r="AP82" s="208">
        <f>COUNTIF(K30:K69,"B")</f>
        <v>2</v>
      </c>
      <c r="AQ82" s="471">
        <f t="shared" si="21"/>
        <v>6.451612903</v>
      </c>
      <c r="AR82" s="208">
        <f>COUNTIF(K30:K69,"C")</f>
        <v>4</v>
      </c>
      <c r="AS82" s="471">
        <f t="shared" si="22"/>
        <v>12.90322581</v>
      </c>
      <c r="AT82" s="208">
        <f>COUNTIF(K30:K69,"D")</f>
        <v>7</v>
      </c>
      <c r="AU82" s="471">
        <f t="shared" si="23"/>
        <v>22.58064516</v>
      </c>
      <c r="AV82" s="271"/>
      <c r="AW82" s="272"/>
    </row>
    <row r="83">
      <c r="A83" s="94"/>
      <c r="B83" s="95"/>
      <c r="C83" s="95"/>
      <c r="D83" s="47"/>
      <c r="E83" s="112">
        <v>9.0</v>
      </c>
      <c r="F83" s="113">
        <f>L70</f>
        <v>11</v>
      </c>
      <c r="G83" s="265">
        <f t="shared" si="19"/>
        <v>35.48387097</v>
      </c>
      <c r="H83" s="281" t="s">
        <v>125</v>
      </c>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8"/>
      <c r="AK83" s="111"/>
      <c r="AM83" s="469">
        <v>9.0</v>
      </c>
      <c r="AN83" s="113">
        <f>COUNTIF(L30:L69,"A")</f>
        <v>8</v>
      </c>
      <c r="AO83" s="470">
        <f t="shared" si="20"/>
        <v>25.80645161</v>
      </c>
      <c r="AP83" s="208">
        <f>COUNTIF(L30:L69,"B")</f>
        <v>3</v>
      </c>
      <c r="AQ83" s="471">
        <f t="shared" si="21"/>
        <v>9.677419355</v>
      </c>
      <c r="AR83" s="208">
        <f>COUNTIF(L30:L69,"C")</f>
        <v>11</v>
      </c>
      <c r="AS83" s="471">
        <f t="shared" si="22"/>
        <v>35.48387097</v>
      </c>
      <c r="AT83" s="208">
        <f>COUNTIF(L30:L69,"D")</f>
        <v>3</v>
      </c>
      <c r="AU83" s="471">
        <f t="shared" si="23"/>
        <v>9.677419355</v>
      </c>
      <c r="AV83" s="271"/>
      <c r="AW83" s="272"/>
    </row>
    <row r="84">
      <c r="A84" s="94"/>
      <c r="B84" s="95"/>
      <c r="C84" s="95"/>
      <c r="D84" s="47"/>
      <c r="E84" s="112">
        <v>10.0</v>
      </c>
      <c r="F84" s="113">
        <f>M70</f>
        <v>5</v>
      </c>
      <c r="G84" s="265">
        <f t="shared" si="19"/>
        <v>16.12903226</v>
      </c>
      <c r="H84" s="266" t="s">
        <v>123</v>
      </c>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8"/>
      <c r="AK84" s="111"/>
      <c r="AM84" s="469">
        <v>10.0</v>
      </c>
      <c r="AN84" s="113">
        <f>COUNTIF(M30:M69,"A")</f>
        <v>6</v>
      </c>
      <c r="AO84" s="470">
        <f t="shared" si="20"/>
        <v>19.35483871</v>
      </c>
      <c r="AP84" s="208">
        <f>COUNTIF(M30:M69,"B")</f>
        <v>14</v>
      </c>
      <c r="AQ84" s="471">
        <f t="shared" si="21"/>
        <v>45.16129032</v>
      </c>
      <c r="AR84" s="208">
        <f>COUNTIF(M30:M69,"C")</f>
        <v>5</v>
      </c>
      <c r="AS84" s="471">
        <f t="shared" si="22"/>
        <v>16.12903226</v>
      </c>
      <c r="AT84" s="208">
        <f>COUNTIF(M30:M69,"D")</f>
        <v>0</v>
      </c>
      <c r="AU84" s="471">
        <f t="shared" si="23"/>
        <v>0</v>
      </c>
      <c r="AV84" s="271"/>
      <c r="AW84" s="272"/>
    </row>
    <row r="85">
      <c r="A85" s="94"/>
      <c r="B85" s="95"/>
      <c r="C85" s="95"/>
      <c r="D85" s="47"/>
      <c r="E85" s="112">
        <v>11.0</v>
      </c>
      <c r="F85" s="113">
        <f>N70</f>
        <v>6</v>
      </c>
      <c r="G85" s="265">
        <f t="shared" si="19"/>
        <v>19.35483871</v>
      </c>
      <c r="H85" s="266" t="s">
        <v>126</v>
      </c>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3"/>
      <c r="AK85" s="111"/>
      <c r="AM85" s="469">
        <v>11.0</v>
      </c>
      <c r="AN85" s="113">
        <f>COUNTIF(N30:N69,"A")</f>
        <v>9</v>
      </c>
      <c r="AO85" s="470">
        <f t="shared" si="20"/>
        <v>29.03225806</v>
      </c>
      <c r="AP85" s="208">
        <f>COUNTIF(N30:N69,"B")</f>
        <v>6</v>
      </c>
      <c r="AQ85" s="471">
        <f t="shared" si="21"/>
        <v>19.35483871</v>
      </c>
      <c r="AR85" s="208">
        <f>COUNTIF(N30:N69,"C")</f>
        <v>4</v>
      </c>
      <c r="AS85" s="471">
        <f t="shared" si="22"/>
        <v>12.90322581</v>
      </c>
      <c r="AT85" s="208">
        <f>COUNTIF(N30:N69,"D")</f>
        <v>6</v>
      </c>
      <c r="AU85" s="471">
        <f t="shared" si="23"/>
        <v>19.35483871</v>
      </c>
      <c r="AV85" s="271"/>
      <c r="AW85" s="272"/>
    </row>
    <row r="86">
      <c r="A86" s="94"/>
      <c r="B86" s="95"/>
      <c r="C86" s="95"/>
      <c r="D86" s="47"/>
      <c r="E86" s="112">
        <v>12.0</v>
      </c>
      <c r="F86" s="113">
        <f>O70</f>
        <v>3</v>
      </c>
      <c r="G86" s="265">
        <f t="shared" si="19"/>
        <v>9.677419355</v>
      </c>
      <c r="H86" s="266" t="s">
        <v>127</v>
      </c>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5"/>
      <c r="AK86" s="116"/>
      <c r="AM86" s="469">
        <v>12.0</v>
      </c>
      <c r="AN86" s="113">
        <f>COUNTIF(O30:O69,"A")</f>
        <v>3</v>
      </c>
      <c r="AO86" s="470">
        <f t="shared" si="20"/>
        <v>9.677419355</v>
      </c>
      <c r="AP86" s="208">
        <f>COUNTIF(O30:O69,"B")</f>
        <v>13</v>
      </c>
      <c r="AQ86" s="471">
        <f t="shared" si="21"/>
        <v>41.93548387</v>
      </c>
      <c r="AR86" s="208">
        <f>COUNTIF(O30:O69,"C")</f>
        <v>6</v>
      </c>
      <c r="AS86" s="471">
        <f t="shared" si="22"/>
        <v>19.35483871</v>
      </c>
      <c r="AT86" s="208">
        <f>COUNTIF(O30:O69,"D")</f>
        <v>3</v>
      </c>
      <c r="AU86" s="471">
        <f t="shared" si="23"/>
        <v>9.677419355</v>
      </c>
      <c r="AV86" s="271"/>
      <c r="AW86" s="272"/>
    </row>
    <row r="87">
      <c r="A87" s="94"/>
      <c r="B87" s="95"/>
      <c r="C87" s="95"/>
      <c r="D87" s="47"/>
      <c r="E87" s="112">
        <v>13.0</v>
      </c>
      <c r="F87" s="113">
        <f>P70</f>
        <v>3</v>
      </c>
      <c r="G87" s="265">
        <f t="shared" si="19"/>
        <v>9.677419355</v>
      </c>
      <c r="H87" s="266" t="s">
        <v>128</v>
      </c>
      <c r="I87" s="267"/>
      <c r="J87" s="267"/>
      <c r="K87" s="267"/>
      <c r="L87" s="267"/>
      <c r="M87" s="267"/>
      <c r="N87" s="267"/>
      <c r="O87" s="267"/>
      <c r="P87" s="267"/>
      <c r="Q87" s="267"/>
      <c r="R87" s="267"/>
      <c r="S87" s="267"/>
      <c r="T87" s="267"/>
      <c r="U87" s="267"/>
      <c r="V87" s="267"/>
      <c r="W87" s="267"/>
      <c r="X87" s="267"/>
      <c r="Y87" s="267"/>
      <c r="Z87" s="267"/>
      <c r="AA87" s="267"/>
      <c r="AB87" s="267"/>
      <c r="AC87" s="267"/>
      <c r="AD87" s="267"/>
      <c r="AE87" s="267"/>
      <c r="AF87" s="267"/>
      <c r="AG87" s="267"/>
      <c r="AH87" s="267"/>
      <c r="AI87" s="267"/>
      <c r="AJ87" s="268"/>
      <c r="AK87" s="111"/>
      <c r="AM87" s="469">
        <v>13.0</v>
      </c>
      <c r="AN87" s="113">
        <f>COUNTIF(P30:P69,"A")</f>
        <v>5</v>
      </c>
      <c r="AO87" s="470">
        <f t="shared" si="20"/>
        <v>16.12903226</v>
      </c>
      <c r="AP87" s="208">
        <f>COUNTIF(P30:P69,"B")</f>
        <v>8</v>
      </c>
      <c r="AQ87" s="471">
        <f t="shared" si="21"/>
        <v>25.80645161</v>
      </c>
      <c r="AR87" s="208">
        <f>COUNTIF(P30:P69,"C")</f>
        <v>9</v>
      </c>
      <c r="AS87" s="471">
        <f t="shared" si="22"/>
        <v>29.03225806</v>
      </c>
      <c r="AT87" s="208">
        <f>COUNTIF(P30:P69,"D")</f>
        <v>3</v>
      </c>
      <c r="AU87" s="471">
        <f t="shared" si="23"/>
        <v>9.677419355</v>
      </c>
      <c r="AV87" s="271"/>
      <c r="AW87" s="272"/>
    </row>
    <row r="88">
      <c r="A88" s="94"/>
      <c r="B88" s="95"/>
      <c r="C88" s="95"/>
      <c r="D88" s="47"/>
      <c r="E88" s="112">
        <v>14.0</v>
      </c>
      <c r="F88" s="113">
        <f>Q70</f>
        <v>7</v>
      </c>
      <c r="G88" s="265">
        <f t="shared" si="19"/>
        <v>22.58064516</v>
      </c>
      <c r="H88" s="266" t="s">
        <v>123</v>
      </c>
      <c r="I88" s="267"/>
      <c r="J88" s="267"/>
      <c r="K88" s="267"/>
      <c r="L88" s="267"/>
      <c r="M88" s="267"/>
      <c r="N88" s="267"/>
      <c r="O88" s="267"/>
      <c r="P88" s="267"/>
      <c r="Q88" s="267"/>
      <c r="R88" s="267"/>
      <c r="S88" s="267"/>
      <c r="T88" s="267"/>
      <c r="U88" s="267"/>
      <c r="V88" s="267"/>
      <c r="W88" s="267"/>
      <c r="X88" s="267"/>
      <c r="Y88" s="267"/>
      <c r="Z88" s="267"/>
      <c r="AA88" s="267"/>
      <c r="AB88" s="267"/>
      <c r="AC88" s="267"/>
      <c r="AD88" s="267"/>
      <c r="AE88" s="267"/>
      <c r="AF88" s="267"/>
      <c r="AG88" s="267"/>
      <c r="AH88" s="267"/>
      <c r="AI88" s="267"/>
      <c r="AJ88" s="268"/>
      <c r="AK88" s="111"/>
      <c r="AM88" s="469">
        <v>14.0</v>
      </c>
      <c r="AN88" s="113">
        <f>COUNTIF(Q30:Q69,"A")</f>
        <v>11</v>
      </c>
      <c r="AO88" s="470">
        <f t="shared" si="20"/>
        <v>35.48387097</v>
      </c>
      <c r="AP88" s="208">
        <f>COUNTIF(Q30:Q69,"B")</f>
        <v>6</v>
      </c>
      <c r="AQ88" s="471">
        <f t="shared" si="21"/>
        <v>19.35483871</v>
      </c>
      <c r="AR88" s="208">
        <f>COUNTIF(Q30:Q69,"C")</f>
        <v>7</v>
      </c>
      <c r="AS88" s="471">
        <f t="shared" si="22"/>
        <v>22.58064516</v>
      </c>
      <c r="AT88" s="208">
        <f>COUNTIF(Q30:Q69,"D")</f>
        <v>1</v>
      </c>
      <c r="AU88" s="471">
        <f t="shared" si="23"/>
        <v>3.225806452</v>
      </c>
      <c r="AV88" s="271"/>
      <c r="AW88" s="272"/>
    </row>
    <row r="89">
      <c r="A89" s="94"/>
      <c r="B89" s="95"/>
      <c r="C89" s="95"/>
      <c r="D89" s="47"/>
      <c r="E89" s="112">
        <v>15.0</v>
      </c>
      <c r="F89" s="113">
        <f>R70</f>
        <v>5</v>
      </c>
      <c r="G89" s="265">
        <f t="shared" si="19"/>
        <v>16.12903226</v>
      </c>
      <c r="H89" s="266" t="s">
        <v>129</v>
      </c>
      <c r="I89" s="267"/>
      <c r="J89" s="267"/>
      <c r="K89" s="267"/>
      <c r="L89" s="267"/>
      <c r="M89" s="267"/>
      <c r="N89" s="267"/>
      <c r="O89" s="267"/>
      <c r="P89" s="267"/>
      <c r="Q89" s="267"/>
      <c r="R89" s="267"/>
      <c r="S89" s="267"/>
      <c r="T89" s="267"/>
      <c r="U89" s="267"/>
      <c r="V89" s="267"/>
      <c r="W89" s="267"/>
      <c r="X89" s="267"/>
      <c r="Y89" s="267"/>
      <c r="Z89" s="267"/>
      <c r="AA89" s="267"/>
      <c r="AB89" s="267"/>
      <c r="AC89" s="267"/>
      <c r="AD89" s="267"/>
      <c r="AE89" s="267"/>
      <c r="AF89" s="267"/>
      <c r="AG89" s="267"/>
      <c r="AH89" s="267"/>
      <c r="AI89" s="267"/>
      <c r="AJ89" s="268"/>
      <c r="AK89" s="111"/>
      <c r="AM89" s="469">
        <v>15.0</v>
      </c>
      <c r="AN89" s="113">
        <f>COUNTIF(R30:R69,"A")</f>
        <v>5</v>
      </c>
      <c r="AO89" s="470">
        <f t="shared" si="20"/>
        <v>16.12903226</v>
      </c>
      <c r="AP89" s="208">
        <f>COUNTIF(R30:R69,"B")</f>
        <v>5</v>
      </c>
      <c r="AQ89" s="471">
        <f t="shared" si="21"/>
        <v>16.12903226</v>
      </c>
      <c r="AR89" s="208">
        <f>COUNTIF(R30:R69,"C")</f>
        <v>14</v>
      </c>
      <c r="AS89" s="471">
        <f t="shared" si="22"/>
        <v>45.16129032</v>
      </c>
      <c r="AT89" s="208">
        <f>COUNTIF(R30:R69,"D")</f>
        <v>1</v>
      </c>
      <c r="AU89" s="471">
        <f t="shared" si="23"/>
        <v>3.225806452</v>
      </c>
      <c r="AV89" s="271"/>
      <c r="AW89" s="272"/>
    </row>
    <row r="90">
      <c r="A90" s="94"/>
      <c r="B90" s="95"/>
      <c r="C90" s="95"/>
      <c r="D90" s="47"/>
      <c r="E90" s="112">
        <v>16.0</v>
      </c>
      <c r="F90" s="113">
        <f>S70</f>
        <v>1</v>
      </c>
      <c r="G90" s="265">
        <f t="shared" si="19"/>
        <v>3.225806452</v>
      </c>
      <c r="H90" s="266" t="s">
        <v>123</v>
      </c>
      <c r="I90" s="267"/>
      <c r="J90" s="267"/>
      <c r="K90" s="267"/>
      <c r="L90" s="267"/>
      <c r="M90" s="267"/>
      <c r="N90" s="267"/>
      <c r="O90" s="267"/>
      <c r="P90" s="267"/>
      <c r="Q90" s="267"/>
      <c r="R90" s="267"/>
      <c r="S90" s="267"/>
      <c r="T90" s="267"/>
      <c r="U90" s="267"/>
      <c r="V90" s="267"/>
      <c r="W90" s="267"/>
      <c r="X90" s="267"/>
      <c r="Y90" s="267"/>
      <c r="Z90" s="267"/>
      <c r="AA90" s="267"/>
      <c r="AB90" s="267"/>
      <c r="AC90" s="267"/>
      <c r="AD90" s="267"/>
      <c r="AE90" s="267"/>
      <c r="AF90" s="267"/>
      <c r="AG90" s="267"/>
      <c r="AH90" s="267"/>
      <c r="AI90" s="267"/>
      <c r="AJ90" s="268"/>
      <c r="AK90" s="111"/>
      <c r="AM90" s="469">
        <v>16.0</v>
      </c>
      <c r="AN90" s="113">
        <f>COUNTIF(S30:S69,"A")</f>
        <v>1</v>
      </c>
      <c r="AO90" s="470">
        <f t="shared" si="20"/>
        <v>3.225806452</v>
      </c>
      <c r="AP90" s="208">
        <f>COUNTIF(S30:S69,"B")</f>
        <v>4</v>
      </c>
      <c r="AQ90" s="471">
        <f t="shared" si="21"/>
        <v>12.90322581</v>
      </c>
      <c r="AR90" s="208">
        <f>COUNTIF(S30:S69,"C")</f>
        <v>16</v>
      </c>
      <c r="AS90" s="471">
        <f t="shared" si="22"/>
        <v>51.61290323</v>
      </c>
      <c r="AT90" s="208">
        <f>COUNTIF(S30:S69,"D")</f>
        <v>4</v>
      </c>
      <c r="AU90" s="471">
        <f t="shared" si="23"/>
        <v>12.90322581</v>
      </c>
      <c r="AV90" s="271"/>
      <c r="AW90" s="272"/>
    </row>
    <row r="91">
      <c r="A91" s="94"/>
      <c r="B91" s="95"/>
      <c r="C91" s="95"/>
      <c r="D91" s="47"/>
      <c r="E91" s="112">
        <v>17.0</v>
      </c>
      <c r="F91" s="113">
        <f>T70</f>
        <v>13</v>
      </c>
      <c r="G91" s="265">
        <f t="shared" si="19"/>
        <v>41.93548387</v>
      </c>
      <c r="H91" s="266" t="s">
        <v>123</v>
      </c>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8"/>
      <c r="AK91" s="111"/>
      <c r="AM91" s="469">
        <v>17.0</v>
      </c>
      <c r="AN91" s="413">
        <f>COUNTIF(T30:T69,"A")</f>
        <v>4</v>
      </c>
      <c r="AO91" s="470">
        <f t="shared" si="20"/>
        <v>12.90322581</v>
      </c>
      <c r="AP91" s="414">
        <f>COUNTIF(T30:T69,"B")</f>
        <v>13</v>
      </c>
      <c r="AQ91" s="471">
        <f t="shared" si="21"/>
        <v>41.93548387</v>
      </c>
      <c r="AR91" s="414">
        <f>COUNTIF(T30:T69,"C")</f>
        <v>2</v>
      </c>
      <c r="AS91" s="471">
        <f t="shared" si="22"/>
        <v>6.451612903</v>
      </c>
      <c r="AT91" s="414">
        <f>COUNTIF(T30:T69,"D")</f>
        <v>6</v>
      </c>
      <c r="AU91" s="471">
        <f t="shared" si="23"/>
        <v>19.35483871</v>
      </c>
      <c r="AV91" s="286"/>
      <c r="AW91" s="272"/>
    </row>
    <row r="92">
      <c r="A92" s="94"/>
      <c r="B92" s="95"/>
      <c r="C92" s="95"/>
      <c r="D92" s="47"/>
      <c r="E92" s="112">
        <v>18.0</v>
      </c>
      <c r="F92" s="113">
        <f>U70</f>
        <v>5</v>
      </c>
      <c r="G92" s="265">
        <f t="shared" si="19"/>
        <v>16.12903226</v>
      </c>
      <c r="H92" s="266" t="s">
        <v>130</v>
      </c>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3"/>
      <c r="AK92" s="111"/>
      <c r="AM92" s="469">
        <v>18.0</v>
      </c>
      <c r="AN92" s="113">
        <f>COUNTIF(U30:U69,"A")</f>
        <v>12</v>
      </c>
      <c r="AO92" s="470">
        <f t="shared" si="20"/>
        <v>38.70967742</v>
      </c>
      <c r="AP92" s="208">
        <f>COUNTIF(U30:U69,"B")</f>
        <v>5</v>
      </c>
      <c r="AQ92" s="471">
        <f t="shared" si="21"/>
        <v>16.12903226</v>
      </c>
      <c r="AR92" s="208">
        <f>COUNTIF(U30:U69,"C")</f>
        <v>3</v>
      </c>
      <c r="AS92" s="471">
        <f t="shared" si="22"/>
        <v>9.677419355</v>
      </c>
      <c r="AT92" s="208">
        <f>COUNTIF(U30:U69,"D")</f>
        <v>4</v>
      </c>
      <c r="AU92" s="471">
        <f t="shared" si="23"/>
        <v>12.90322581</v>
      </c>
      <c r="AV92" s="271"/>
      <c r="AW92" s="272"/>
    </row>
    <row r="93">
      <c r="A93" s="94"/>
      <c r="B93" s="95"/>
      <c r="C93" s="95"/>
      <c r="D93" s="47"/>
      <c r="E93" s="112">
        <v>19.0</v>
      </c>
      <c r="F93" s="113">
        <f>V70</f>
        <v>5</v>
      </c>
      <c r="G93" s="265">
        <f t="shared" si="19"/>
        <v>16.12903226</v>
      </c>
      <c r="H93" s="274" t="s">
        <v>131</v>
      </c>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3"/>
      <c r="AK93" s="111"/>
      <c r="AM93" s="469">
        <v>19.0</v>
      </c>
      <c r="AN93" s="113">
        <f>COUNTIF(V30:V69,"A")</f>
        <v>6</v>
      </c>
      <c r="AO93" s="470">
        <f t="shared" si="20"/>
        <v>19.35483871</v>
      </c>
      <c r="AP93" s="208">
        <f>COUNTIF(V30:V69,"B")</f>
        <v>5</v>
      </c>
      <c r="AQ93" s="471">
        <f t="shared" si="21"/>
        <v>16.12903226</v>
      </c>
      <c r="AR93" s="208">
        <f>COUNTIF(V30:V69,"C")</f>
        <v>8</v>
      </c>
      <c r="AS93" s="471">
        <f t="shared" si="22"/>
        <v>25.80645161</v>
      </c>
      <c r="AT93" s="208">
        <f>COUNTIF(V30:V69,"D")</f>
        <v>6</v>
      </c>
      <c r="AU93" s="471">
        <f t="shared" si="23"/>
        <v>19.35483871</v>
      </c>
      <c r="AV93" s="271"/>
      <c r="AW93" s="272"/>
    </row>
    <row r="94">
      <c r="A94" s="94"/>
      <c r="B94" s="95"/>
      <c r="C94" s="95"/>
      <c r="D94" s="47"/>
      <c r="E94" s="112">
        <v>20.0</v>
      </c>
      <c r="F94" s="113">
        <f>W70</f>
        <v>2</v>
      </c>
      <c r="G94" s="265">
        <f t="shared" si="19"/>
        <v>6.451612903</v>
      </c>
      <c r="H94" s="281" t="s">
        <v>132</v>
      </c>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8"/>
      <c r="AK94" s="111"/>
      <c r="AM94" s="469">
        <v>20.0</v>
      </c>
      <c r="AN94" s="113">
        <f>COUNTIF(W30:W69,"A")</f>
        <v>2</v>
      </c>
      <c r="AO94" s="470">
        <f t="shared" si="20"/>
        <v>6.451612903</v>
      </c>
      <c r="AP94" s="208">
        <f>COUNTIF(W30:W69,"B")</f>
        <v>10</v>
      </c>
      <c r="AQ94" s="471">
        <f t="shared" si="21"/>
        <v>32.25806452</v>
      </c>
      <c r="AR94" s="208">
        <f>COUNTIF(W30:W69,"C")</f>
        <v>9</v>
      </c>
      <c r="AS94" s="471">
        <f t="shared" si="22"/>
        <v>29.03225806</v>
      </c>
      <c r="AT94" s="208">
        <f>COUNTIF(W30:W69,"D")</f>
        <v>4</v>
      </c>
      <c r="AU94" s="471">
        <f t="shared" si="23"/>
        <v>12.90322581</v>
      </c>
      <c r="AV94" s="271"/>
      <c r="AW94" s="272"/>
    </row>
    <row r="95">
      <c r="A95" s="94"/>
      <c r="B95" s="95"/>
      <c r="C95" s="95"/>
      <c r="D95" s="47"/>
      <c r="E95" s="112">
        <v>21.0</v>
      </c>
      <c r="F95" s="113">
        <f>X70</f>
        <v>2</v>
      </c>
      <c r="G95" s="265">
        <f t="shared" si="19"/>
        <v>6.451612903</v>
      </c>
      <c r="H95" s="266" t="s">
        <v>128</v>
      </c>
      <c r="I95" s="267"/>
      <c r="J95" s="267"/>
      <c r="K95" s="267"/>
      <c r="L95" s="267"/>
      <c r="M95" s="267"/>
      <c r="N95" s="267"/>
      <c r="O95" s="267"/>
      <c r="P95" s="267"/>
      <c r="Q95" s="267"/>
      <c r="R95" s="267"/>
      <c r="S95" s="267"/>
      <c r="T95" s="267"/>
      <c r="U95" s="267"/>
      <c r="V95" s="267"/>
      <c r="W95" s="267"/>
      <c r="X95" s="267"/>
      <c r="Y95" s="267"/>
      <c r="Z95" s="267"/>
      <c r="AA95" s="267"/>
      <c r="AB95" s="267"/>
      <c r="AC95" s="267"/>
      <c r="AD95" s="267"/>
      <c r="AE95" s="267"/>
      <c r="AF95" s="267"/>
      <c r="AG95" s="267"/>
      <c r="AH95" s="267"/>
      <c r="AI95" s="267"/>
      <c r="AJ95" s="268"/>
      <c r="AK95" s="111"/>
      <c r="AM95" s="469">
        <v>21.0</v>
      </c>
      <c r="AN95" s="113">
        <f>COUNTIF(X30:X69,"A")</f>
        <v>10</v>
      </c>
      <c r="AO95" s="470">
        <f t="shared" si="20"/>
        <v>32.25806452</v>
      </c>
      <c r="AP95" s="208">
        <f>COUNTIF(X30:X69,"B")</f>
        <v>4</v>
      </c>
      <c r="AQ95" s="471">
        <f t="shared" si="21"/>
        <v>12.90322581</v>
      </c>
      <c r="AR95" s="208">
        <f>COUNTIF(X30:X69,"C")</f>
        <v>2</v>
      </c>
      <c r="AS95" s="471">
        <f t="shared" si="22"/>
        <v>6.451612903</v>
      </c>
      <c r="AT95" s="208">
        <f>COUNTIF(X30:X69,"D")</f>
        <v>9</v>
      </c>
      <c r="AU95" s="471">
        <f t="shared" si="23"/>
        <v>29.03225806</v>
      </c>
      <c r="AV95" s="271"/>
      <c r="AW95" s="272"/>
    </row>
    <row r="96">
      <c r="A96" s="94"/>
      <c r="B96" s="95"/>
      <c r="C96" s="95"/>
      <c r="D96" s="47"/>
      <c r="E96" s="112">
        <v>22.0</v>
      </c>
      <c r="F96" s="113">
        <f>Y70</f>
        <v>4</v>
      </c>
      <c r="G96" s="265">
        <f t="shared" si="19"/>
        <v>12.90322581</v>
      </c>
      <c r="H96" s="266" t="s">
        <v>123</v>
      </c>
      <c r="I96" s="267"/>
      <c r="J96" s="267"/>
      <c r="K96" s="267"/>
      <c r="L96" s="267"/>
      <c r="M96" s="267"/>
      <c r="N96" s="267"/>
      <c r="O96" s="267"/>
      <c r="P96" s="267"/>
      <c r="Q96" s="267"/>
      <c r="R96" s="267"/>
      <c r="S96" s="267"/>
      <c r="T96" s="267"/>
      <c r="U96" s="267"/>
      <c r="V96" s="267"/>
      <c r="W96" s="267"/>
      <c r="X96" s="267"/>
      <c r="Y96" s="267"/>
      <c r="Z96" s="267"/>
      <c r="AA96" s="267"/>
      <c r="AB96" s="267"/>
      <c r="AC96" s="267"/>
      <c r="AD96" s="267"/>
      <c r="AE96" s="267"/>
      <c r="AF96" s="267"/>
      <c r="AG96" s="267"/>
      <c r="AH96" s="267"/>
      <c r="AI96" s="267"/>
      <c r="AJ96" s="268"/>
      <c r="AK96" s="111"/>
      <c r="AM96" s="469">
        <v>22.0</v>
      </c>
      <c r="AN96" s="113">
        <f>COUNTIF(Y30:Y69,"A")</f>
        <v>7</v>
      </c>
      <c r="AO96" s="470">
        <f t="shared" si="20"/>
        <v>22.58064516</v>
      </c>
      <c r="AP96" s="208">
        <f>COUNTIF(Y30:Y69,"B")</f>
        <v>9</v>
      </c>
      <c r="AQ96" s="471">
        <f t="shared" si="21"/>
        <v>29.03225806</v>
      </c>
      <c r="AR96" s="208">
        <f>COUNTIF(Y30:Y69,"C")</f>
        <v>4</v>
      </c>
      <c r="AS96" s="471">
        <f t="shared" si="22"/>
        <v>12.90322581</v>
      </c>
      <c r="AT96" s="208">
        <f>COUNTIF(Y30:Y69,"D")</f>
        <v>5</v>
      </c>
      <c r="AU96" s="471">
        <f t="shared" si="23"/>
        <v>16.12903226</v>
      </c>
      <c r="AV96" s="271"/>
      <c r="AW96" s="272"/>
      <c r="BI96" s="287"/>
    </row>
    <row r="97">
      <c r="A97" s="94"/>
      <c r="B97" s="95"/>
      <c r="C97" s="95"/>
      <c r="D97" s="47"/>
      <c r="E97" s="112">
        <v>23.0</v>
      </c>
      <c r="F97" s="113">
        <f>Z70</f>
        <v>3</v>
      </c>
      <c r="G97" s="265">
        <f t="shared" si="19"/>
        <v>9.677419355</v>
      </c>
      <c r="H97" s="266" t="s">
        <v>133</v>
      </c>
      <c r="I97" s="267"/>
      <c r="J97" s="267"/>
      <c r="K97" s="267"/>
      <c r="L97" s="267"/>
      <c r="M97" s="267"/>
      <c r="N97" s="267"/>
      <c r="O97" s="267"/>
      <c r="P97" s="267"/>
      <c r="Q97" s="267"/>
      <c r="R97" s="267"/>
      <c r="S97" s="267"/>
      <c r="T97" s="267"/>
      <c r="U97" s="267"/>
      <c r="V97" s="267"/>
      <c r="W97" s="267"/>
      <c r="X97" s="267"/>
      <c r="Y97" s="267"/>
      <c r="Z97" s="267"/>
      <c r="AA97" s="267"/>
      <c r="AB97" s="267"/>
      <c r="AC97" s="267"/>
      <c r="AD97" s="267"/>
      <c r="AE97" s="267"/>
      <c r="AF97" s="267"/>
      <c r="AG97" s="267"/>
      <c r="AH97" s="267"/>
      <c r="AI97" s="267"/>
      <c r="AJ97" s="268"/>
      <c r="AK97" s="111"/>
      <c r="AM97" s="469">
        <v>23.0</v>
      </c>
      <c r="AN97" s="113">
        <f>COUNTIF(Z30:Z69,"A")</f>
        <v>3</v>
      </c>
      <c r="AO97" s="470">
        <f t="shared" si="20"/>
        <v>9.677419355</v>
      </c>
      <c r="AP97" s="208">
        <f>COUNTIF(Z30:Z69,"B")</f>
        <v>16</v>
      </c>
      <c r="AQ97" s="471">
        <f t="shared" si="21"/>
        <v>51.61290323</v>
      </c>
      <c r="AR97" s="208">
        <f>COUNTIF(Z30:Z69,"C")</f>
        <v>5</v>
      </c>
      <c r="AS97" s="471">
        <f t="shared" si="22"/>
        <v>16.12903226</v>
      </c>
      <c r="AT97" s="208">
        <f>COUNTIF(Z30:Z69,"D")</f>
        <v>1</v>
      </c>
      <c r="AU97" s="471">
        <f t="shared" si="23"/>
        <v>3.225806452</v>
      </c>
      <c r="AV97" s="271"/>
      <c r="AW97" s="272"/>
    </row>
    <row r="98">
      <c r="A98" s="94"/>
      <c r="B98" s="95"/>
      <c r="C98" s="95"/>
      <c r="D98" s="47"/>
      <c r="E98" s="112">
        <v>24.0</v>
      </c>
      <c r="F98" s="113">
        <f>AA70</f>
        <v>1</v>
      </c>
      <c r="G98" s="265">
        <f t="shared" si="19"/>
        <v>3.225806452</v>
      </c>
      <c r="H98" s="266" t="s">
        <v>123</v>
      </c>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267"/>
      <c r="AH98" s="267"/>
      <c r="AI98" s="267"/>
      <c r="AJ98" s="268"/>
      <c r="AK98" s="111"/>
      <c r="AM98" s="469">
        <v>24.0</v>
      </c>
      <c r="AN98" s="113">
        <f>COUNTIF(AA30:AA69,"A")</f>
        <v>6</v>
      </c>
      <c r="AO98" s="470">
        <f t="shared" si="20"/>
        <v>19.35483871</v>
      </c>
      <c r="AP98" s="208">
        <f>COUNTIF(AA30:AA69,"B")</f>
        <v>16</v>
      </c>
      <c r="AQ98" s="471">
        <f t="shared" si="21"/>
        <v>51.61290323</v>
      </c>
      <c r="AR98" s="208">
        <f>COUNTIF(AA30:AA69,"C")</f>
        <v>2</v>
      </c>
      <c r="AS98" s="471">
        <f t="shared" si="22"/>
        <v>6.451612903</v>
      </c>
      <c r="AT98" s="208">
        <f>COUNTIF(AA30:AA69,"D")</f>
        <v>1</v>
      </c>
      <c r="AU98" s="471">
        <f t="shared" si="23"/>
        <v>3.225806452</v>
      </c>
      <c r="AV98" s="271"/>
      <c r="AW98" s="272"/>
    </row>
    <row r="99">
      <c r="A99" s="94"/>
      <c r="B99" s="95"/>
      <c r="C99" s="95"/>
      <c r="D99" s="117"/>
      <c r="E99" s="118">
        <v>25.0</v>
      </c>
      <c r="F99" s="119">
        <f>AB70</f>
        <v>2</v>
      </c>
      <c r="G99" s="288">
        <f t="shared" si="19"/>
        <v>6.451612903</v>
      </c>
      <c r="H99" s="289" t="s">
        <v>134</v>
      </c>
      <c r="I99" s="290"/>
      <c r="J99" s="290"/>
      <c r="K99" s="290"/>
      <c r="L99" s="290"/>
      <c r="M99" s="290"/>
      <c r="N99" s="290"/>
      <c r="O99" s="290"/>
      <c r="P99" s="290"/>
      <c r="Q99" s="290"/>
      <c r="R99" s="290"/>
      <c r="S99" s="290"/>
      <c r="T99" s="290"/>
      <c r="U99" s="290"/>
      <c r="V99" s="290"/>
      <c r="W99" s="290"/>
      <c r="X99" s="290"/>
      <c r="Y99" s="290"/>
      <c r="Z99" s="290"/>
      <c r="AA99" s="290"/>
      <c r="AB99" s="290"/>
      <c r="AC99" s="290"/>
      <c r="AD99" s="290"/>
      <c r="AE99" s="290"/>
      <c r="AF99" s="290"/>
      <c r="AG99" s="290"/>
      <c r="AH99" s="290"/>
      <c r="AI99" s="290"/>
      <c r="AJ99" s="291"/>
      <c r="AK99" s="111"/>
      <c r="AM99" s="469">
        <v>25.0</v>
      </c>
      <c r="AN99" s="113">
        <f>COUNTIF(AB30:AB69,"A")</f>
        <v>9</v>
      </c>
      <c r="AO99" s="470">
        <f t="shared" si="20"/>
        <v>29.03225806</v>
      </c>
      <c r="AP99" s="208">
        <f>COUNTIF(AB30:AB69,"B")</f>
        <v>9</v>
      </c>
      <c r="AQ99" s="471">
        <f t="shared" si="21"/>
        <v>29.03225806</v>
      </c>
      <c r="AR99" s="208">
        <f>COUNTIF(AB30:AB69,"C")</f>
        <v>2</v>
      </c>
      <c r="AS99" s="471">
        <f t="shared" si="22"/>
        <v>6.451612903</v>
      </c>
      <c r="AT99" s="208">
        <f>COUNTIF(AB30:AB69,"D")</f>
        <v>5</v>
      </c>
      <c r="AU99" s="471">
        <f t="shared" si="23"/>
        <v>16.12903226</v>
      </c>
      <c r="AV99" s="271"/>
      <c r="AW99" s="272"/>
    </row>
    <row r="100">
      <c r="A100" s="94"/>
      <c r="B100" s="95"/>
      <c r="C100" s="95"/>
      <c r="D100" s="124" t="s">
        <v>17</v>
      </c>
      <c r="E100" s="125">
        <v>1.0</v>
      </c>
      <c r="F100" s="106">
        <f>AC70</f>
        <v>9</v>
      </c>
      <c r="G100" s="107">
        <f t="shared" si="19"/>
        <v>29.03225806</v>
      </c>
      <c r="H100" s="292" t="s">
        <v>135</v>
      </c>
      <c r="I100" s="293"/>
      <c r="J100" s="293"/>
      <c r="K100" s="293"/>
      <c r="L100" s="293"/>
      <c r="M100" s="293"/>
      <c r="N100" s="293"/>
      <c r="O100" s="293"/>
      <c r="P100" s="293"/>
      <c r="Q100" s="293"/>
      <c r="R100" s="293"/>
      <c r="S100" s="293"/>
      <c r="T100" s="293"/>
      <c r="U100" s="293"/>
      <c r="V100" s="293"/>
      <c r="W100" s="293"/>
      <c r="X100" s="293"/>
      <c r="Y100" s="293"/>
      <c r="Z100" s="293"/>
      <c r="AA100" s="293"/>
      <c r="AB100" s="293"/>
      <c r="AC100" s="293"/>
      <c r="AD100" s="293"/>
      <c r="AE100" s="293"/>
      <c r="AF100" s="293"/>
      <c r="AG100" s="293"/>
      <c r="AH100" s="293"/>
      <c r="AI100" s="293"/>
      <c r="AJ100" s="294"/>
      <c r="AK100" s="134"/>
      <c r="AL100" s="164" t="s">
        <v>17</v>
      </c>
      <c r="AM100" s="309">
        <v>1.0</v>
      </c>
      <c r="AN100" s="113">
        <f>COUNTIF(AC30:AC69,"A")</f>
        <v>9</v>
      </c>
      <c r="AO100" s="470">
        <f t="shared" si="20"/>
        <v>29.03225806</v>
      </c>
      <c r="AP100" s="208">
        <f>COUNTIF(AC30:AC69,"B")</f>
        <v>2</v>
      </c>
      <c r="AQ100" s="471">
        <f t="shared" si="21"/>
        <v>6.451612903</v>
      </c>
      <c r="AR100" s="208">
        <f>COUNTIF(AC30:AC69,"C")</f>
        <v>9</v>
      </c>
      <c r="AS100" s="471">
        <f t="shared" si="22"/>
        <v>29.03225806</v>
      </c>
      <c r="AT100" s="208">
        <f>COUNTIF(AC30:AC69,"D")</f>
        <v>5</v>
      </c>
      <c r="AU100" s="471">
        <f t="shared" si="23"/>
        <v>16.12903226</v>
      </c>
      <c r="AV100" s="271"/>
      <c r="AW100" s="272"/>
    </row>
    <row r="101">
      <c r="A101" s="94"/>
      <c r="B101" s="95"/>
      <c r="C101" s="95"/>
      <c r="D101" s="47"/>
      <c r="E101" s="130">
        <v>2.0</v>
      </c>
      <c r="F101" s="113">
        <f>AD70</f>
        <v>3</v>
      </c>
      <c r="G101" s="265">
        <f t="shared" si="19"/>
        <v>9.677419355</v>
      </c>
      <c r="H101" s="296" t="s">
        <v>136</v>
      </c>
      <c r="I101" s="298"/>
      <c r="J101" s="298"/>
      <c r="K101" s="298"/>
      <c r="L101" s="298"/>
      <c r="M101" s="298"/>
      <c r="N101" s="298"/>
      <c r="O101" s="298"/>
      <c r="P101" s="298"/>
      <c r="Q101" s="298"/>
      <c r="R101" s="298"/>
      <c r="S101" s="298"/>
      <c r="T101" s="298"/>
      <c r="U101" s="298"/>
      <c r="V101" s="298"/>
      <c r="W101" s="298"/>
      <c r="X101" s="298"/>
      <c r="Y101" s="298"/>
      <c r="Z101" s="298"/>
      <c r="AA101" s="298"/>
      <c r="AB101" s="298"/>
      <c r="AC101" s="298"/>
      <c r="AD101" s="298"/>
      <c r="AE101" s="298"/>
      <c r="AF101" s="298"/>
      <c r="AG101" s="298"/>
      <c r="AH101" s="298"/>
      <c r="AI101" s="298"/>
      <c r="AJ101" s="299"/>
      <c r="AK101" s="300"/>
      <c r="AM101" s="309">
        <v>2.0</v>
      </c>
      <c r="AN101" s="113">
        <f>COUNTIF(AD30:AD69,"A")</f>
        <v>5</v>
      </c>
      <c r="AO101" s="470">
        <f t="shared" si="20"/>
        <v>16.12903226</v>
      </c>
      <c r="AP101" s="208">
        <f>COUNTIF(AD30:AD69,"B")</f>
        <v>3</v>
      </c>
      <c r="AQ101" s="471">
        <f t="shared" si="21"/>
        <v>9.677419355</v>
      </c>
      <c r="AR101" s="208">
        <f>COUNTIF(AD30:AD69,"C")</f>
        <v>8</v>
      </c>
      <c r="AS101" s="471">
        <f t="shared" si="22"/>
        <v>25.80645161</v>
      </c>
      <c r="AT101" s="208">
        <f>COUNTIF(AD30:AD69,"D")</f>
        <v>9</v>
      </c>
      <c r="AU101" s="471">
        <f t="shared" si="23"/>
        <v>29.03225806</v>
      </c>
      <c r="AV101" s="271"/>
      <c r="AW101" s="272"/>
    </row>
    <row r="102">
      <c r="A102" s="94"/>
      <c r="B102" s="95"/>
      <c r="C102" s="95"/>
      <c r="D102" s="47"/>
      <c r="E102" s="130">
        <v>3.0</v>
      </c>
      <c r="F102" s="113">
        <f>AE70</f>
        <v>2</v>
      </c>
      <c r="G102" s="265">
        <f t="shared" si="19"/>
        <v>6.451612903</v>
      </c>
      <c r="H102" s="296" t="s">
        <v>136</v>
      </c>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2"/>
      <c r="AK102" s="129"/>
      <c r="AM102" s="309">
        <v>3.0</v>
      </c>
      <c r="AN102" s="113">
        <f>COUNTIF(AE30:AE69,"A")</f>
        <v>2</v>
      </c>
      <c r="AO102" s="470">
        <f t="shared" si="20"/>
        <v>6.451612903</v>
      </c>
      <c r="AP102" s="208">
        <f>COUNTIF(AE30:AE69,"B")</f>
        <v>13</v>
      </c>
      <c r="AQ102" s="471">
        <f t="shared" si="21"/>
        <v>41.93548387</v>
      </c>
      <c r="AR102" s="208">
        <f>COUNTIF(AE30:AE69,"C")</f>
        <v>4</v>
      </c>
      <c r="AS102" s="471">
        <f t="shared" si="22"/>
        <v>12.90322581</v>
      </c>
      <c r="AT102" s="208">
        <f>COUNTIF(AE30:AE69,"D")</f>
        <v>6</v>
      </c>
      <c r="AU102" s="471">
        <f t="shared" si="23"/>
        <v>19.35483871</v>
      </c>
      <c r="AV102" s="271"/>
      <c r="AW102" s="272"/>
    </row>
    <row r="103">
      <c r="A103" s="94"/>
      <c r="B103" s="95"/>
      <c r="C103" s="95"/>
      <c r="D103" s="47"/>
      <c r="E103" s="130">
        <v>4.0</v>
      </c>
      <c r="F103" s="113">
        <f>AF70</f>
        <v>7</v>
      </c>
      <c r="G103" s="265">
        <f t="shared" si="19"/>
        <v>22.58064516</v>
      </c>
      <c r="H103" s="296" t="s">
        <v>137</v>
      </c>
      <c r="I103" s="303"/>
      <c r="J103" s="303"/>
      <c r="K103" s="303"/>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c r="AH103" s="303"/>
      <c r="AI103" s="303"/>
      <c r="AJ103" s="304"/>
      <c r="AK103" s="134"/>
      <c r="AM103" s="309">
        <v>4.0</v>
      </c>
      <c r="AN103" s="113">
        <f>COUNTIF(AF30:AF69,"A")</f>
        <v>7</v>
      </c>
      <c r="AO103" s="470">
        <f t="shared" si="20"/>
        <v>22.58064516</v>
      </c>
      <c r="AP103" s="208">
        <f>COUNTIF(AF30:AF69,"B")</f>
        <v>5</v>
      </c>
      <c r="AQ103" s="471">
        <f t="shared" si="21"/>
        <v>16.12903226</v>
      </c>
      <c r="AR103" s="208">
        <f>COUNTIF(AF30:AF69,"C")</f>
        <v>6</v>
      </c>
      <c r="AS103" s="471">
        <f t="shared" si="22"/>
        <v>19.35483871</v>
      </c>
      <c r="AT103" s="208">
        <f>COUNTIF(AF30:AF69,"D")</f>
        <v>7</v>
      </c>
      <c r="AU103" s="471">
        <f t="shared" si="23"/>
        <v>22.58064516</v>
      </c>
      <c r="AV103" s="271"/>
      <c r="AW103" s="272"/>
    </row>
    <row r="104">
      <c r="A104" s="94"/>
      <c r="B104" s="95"/>
      <c r="C104" s="95"/>
      <c r="D104" s="47"/>
      <c r="E104" s="130">
        <v>5.0</v>
      </c>
      <c r="F104" s="113">
        <f>AG70</f>
        <v>3</v>
      </c>
      <c r="G104" s="265">
        <f t="shared" si="19"/>
        <v>9.677419355</v>
      </c>
      <c r="H104" s="296" t="s">
        <v>137</v>
      </c>
      <c r="I104" s="303"/>
      <c r="J104" s="303"/>
      <c r="K104" s="303"/>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c r="AH104" s="303"/>
      <c r="AI104" s="303"/>
      <c r="AJ104" s="304"/>
      <c r="AK104" s="134"/>
      <c r="AM104" s="309">
        <v>5.0</v>
      </c>
      <c r="AN104" s="113">
        <f>COUNTIF(AG30:AG69,"A")</f>
        <v>6</v>
      </c>
      <c r="AO104" s="470">
        <f t="shared" si="20"/>
        <v>19.35483871</v>
      </c>
      <c r="AP104" s="208">
        <f>COUNTIF(AG30:AG69,"B")</f>
        <v>8</v>
      </c>
      <c r="AQ104" s="471">
        <f t="shared" si="21"/>
        <v>25.80645161</v>
      </c>
      <c r="AR104" s="208">
        <f>COUNTIF(AG30:AG69,"C")</f>
        <v>8</v>
      </c>
      <c r="AS104" s="471">
        <f t="shared" si="22"/>
        <v>25.80645161</v>
      </c>
      <c r="AT104" s="208">
        <f>COUNTIF(AG30:AG69,"D")</f>
        <v>3</v>
      </c>
      <c r="AU104" s="471">
        <f t="shared" si="23"/>
        <v>9.677419355</v>
      </c>
      <c r="AV104" s="271"/>
      <c r="AW104" s="272"/>
    </row>
    <row r="105">
      <c r="A105" s="94"/>
      <c r="B105" s="95"/>
      <c r="C105" s="95"/>
      <c r="D105" s="47"/>
      <c r="E105" s="130">
        <v>6.0</v>
      </c>
      <c r="F105" s="113">
        <f>AH70</f>
        <v>8</v>
      </c>
      <c r="G105" s="265">
        <f t="shared" si="19"/>
        <v>25.80645161</v>
      </c>
      <c r="H105" s="296" t="s">
        <v>136</v>
      </c>
      <c r="I105" s="303"/>
      <c r="J105" s="303"/>
      <c r="K105" s="303"/>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c r="AH105" s="303"/>
      <c r="AI105" s="303"/>
      <c r="AJ105" s="304"/>
      <c r="AK105" s="134"/>
      <c r="AM105" s="309">
        <v>6.0</v>
      </c>
      <c r="AN105" s="113">
        <f>COUNTIF(AH30:AH69,"A")</f>
        <v>8</v>
      </c>
      <c r="AO105" s="470">
        <f t="shared" si="20"/>
        <v>25.80645161</v>
      </c>
      <c r="AP105" s="208">
        <f>COUNTIF(AH30:AH69,"B")</f>
        <v>5</v>
      </c>
      <c r="AQ105" s="471">
        <f t="shared" si="21"/>
        <v>16.12903226</v>
      </c>
      <c r="AR105" s="208">
        <f>COUNTIF(AH30:AH69,"C")</f>
        <v>6</v>
      </c>
      <c r="AS105" s="471">
        <f t="shared" si="22"/>
        <v>19.35483871</v>
      </c>
      <c r="AT105" s="208">
        <f>COUNTIF(AH30:AH69,"D")</f>
        <v>5</v>
      </c>
      <c r="AU105" s="471">
        <f t="shared" si="23"/>
        <v>16.12903226</v>
      </c>
      <c r="AV105" s="271"/>
      <c r="AW105" s="272"/>
    </row>
    <row r="106">
      <c r="A106" s="94"/>
      <c r="B106" s="95"/>
      <c r="C106" s="95"/>
      <c r="D106" s="47"/>
      <c r="E106" s="130">
        <v>7.0</v>
      </c>
      <c r="F106" s="113">
        <f>AI70</f>
        <v>6</v>
      </c>
      <c r="G106" s="265">
        <f t="shared" si="19"/>
        <v>19.35483871</v>
      </c>
      <c r="H106" s="296" t="s">
        <v>138</v>
      </c>
      <c r="I106" s="303"/>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c r="AH106" s="303"/>
      <c r="AI106" s="303"/>
      <c r="AJ106" s="304"/>
      <c r="AK106" s="134"/>
      <c r="AM106" s="309">
        <v>7.0</v>
      </c>
      <c r="AN106" s="113">
        <f>COUNTIF(AI30:AI69,"A")</f>
        <v>6</v>
      </c>
      <c r="AO106" s="470">
        <f t="shared" si="20"/>
        <v>19.35483871</v>
      </c>
      <c r="AP106" s="208">
        <f>COUNTIF(AI30:AI69,"B")</f>
        <v>10</v>
      </c>
      <c r="AQ106" s="471">
        <f t="shared" si="21"/>
        <v>32.25806452</v>
      </c>
      <c r="AR106" s="208">
        <f>COUNTIF(AI30:AI69,"C")</f>
        <v>4</v>
      </c>
      <c r="AS106" s="471">
        <f t="shared" si="22"/>
        <v>12.90322581</v>
      </c>
      <c r="AT106" s="208">
        <f>COUNTIF(AI30:AI69,"D")</f>
        <v>5</v>
      </c>
      <c r="AU106" s="471">
        <f t="shared" si="23"/>
        <v>16.12903226</v>
      </c>
      <c r="AV106" s="271"/>
      <c r="AW106" s="272"/>
    </row>
    <row r="107">
      <c r="A107" s="94"/>
      <c r="B107" s="95"/>
      <c r="C107" s="95"/>
      <c r="D107" s="47"/>
      <c r="E107" s="130">
        <v>8.0</v>
      </c>
      <c r="F107" s="113">
        <f>AJ70</f>
        <v>4</v>
      </c>
      <c r="G107" s="265">
        <f t="shared" si="19"/>
        <v>12.90322581</v>
      </c>
      <c r="H107" s="296" t="s">
        <v>138</v>
      </c>
      <c r="I107" s="298"/>
      <c r="J107" s="298"/>
      <c r="K107" s="298"/>
      <c r="L107" s="298"/>
      <c r="M107" s="298"/>
      <c r="N107" s="298"/>
      <c r="O107" s="298"/>
      <c r="P107" s="298"/>
      <c r="Q107" s="298"/>
      <c r="R107" s="298"/>
      <c r="S107" s="298"/>
      <c r="T107" s="298"/>
      <c r="U107" s="298"/>
      <c r="V107" s="298"/>
      <c r="W107" s="298"/>
      <c r="X107" s="298"/>
      <c r="Y107" s="298"/>
      <c r="Z107" s="298"/>
      <c r="AA107" s="298"/>
      <c r="AB107" s="298"/>
      <c r="AC107" s="298"/>
      <c r="AD107" s="298"/>
      <c r="AE107" s="298"/>
      <c r="AF107" s="298"/>
      <c r="AG107" s="298"/>
      <c r="AH107" s="298"/>
      <c r="AI107" s="298"/>
      <c r="AJ107" s="299"/>
      <c r="AK107" s="300"/>
      <c r="AM107" s="309">
        <v>8.0</v>
      </c>
      <c r="AN107" s="113">
        <f>COUNTIF(AJ30:AJ69,"A")</f>
        <v>4</v>
      </c>
      <c r="AO107" s="470">
        <f t="shared" si="20"/>
        <v>12.90322581</v>
      </c>
      <c r="AP107" s="208">
        <f>COUNTIF(AJ30:AJ69,"B")</f>
        <v>8</v>
      </c>
      <c r="AQ107" s="471">
        <f t="shared" si="21"/>
        <v>25.80645161</v>
      </c>
      <c r="AR107" s="208">
        <f>COUNTIF(AJ30:AJ69,"C")</f>
        <v>8</v>
      </c>
      <c r="AS107" s="471">
        <f t="shared" si="22"/>
        <v>25.80645161</v>
      </c>
      <c r="AT107" s="208">
        <f>COUNTIF(AJ30:AJ69,"D")</f>
        <v>5</v>
      </c>
      <c r="AU107" s="471">
        <f t="shared" si="23"/>
        <v>16.12903226</v>
      </c>
      <c r="AV107" s="271"/>
      <c r="AW107" s="272"/>
    </row>
    <row r="108">
      <c r="A108" s="94"/>
      <c r="B108" s="95"/>
      <c r="C108" s="95"/>
      <c r="D108" s="47"/>
      <c r="E108" s="130">
        <v>9.0</v>
      </c>
      <c r="F108" s="113">
        <f>AK70</f>
        <v>3</v>
      </c>
      <c r="G108" s="265">
        <f t="shared" si="19"/>
        <v>9.677419355</v>
      </c>
      <c r="H108" s="305" t="s">
        <v>138</v>
      </c>
      <c r="I108" s="306"/>
      <c r="J108" s="306"/>
      <c r="K108" s="306"/>
      <c r="L108" s="306"/>
      <c r="M108" s="306"/>
      <c r="N108" s="306"/>
      <c r="O108" s="306"/>
      <c r="P108" s="306"/>
      <c r="Q108" s="306"/>
      <c r="R108" s="306"/>
      <c r="S108" s="306"/>
      <c r="T108" s="306"/>
      <c r="U108" s="306"/>
      <c r="V108" s="306"/>
      <c r="W108" s="306"/>
      <c r="X108" s="306"/>
      <c r="Y108" s="306"/>
      <c r="Z108" s="306"/>
      <c r="AA108" s="306"/>
      <c r="AB108" s="306"/>
      <c r="AC108" s="306"/>
      <c r="AD108" s="306"/>
      <c r="AE108" s="306"/>
      <c r="AF108" s="306"/>
      <c r="AG108" s="306"/>
      <c r="AH108" s="306"/>
      <c r="AI108" s="306"/>
      <c r="AJ108" s="307"/>
      <c r="AK108" s="134"/>
      <c r="AM108" s="309">
        <v>9.0</v>
      </c>
      <c r="AN108" s="113">
        <f>COUNTIF(AK30:AK69,"A")</f>
        <v>3</v>
      </c>
      <c r="AO108" s="470">
        <f t="shared" si="20"/>
        <v>9.677419355</v>
      </c>
      <c r="AP108" s="208">
        <f>COUNTIF(AK30:AK69,"B")</f>
        <v>6</v>
      </c>
      <c r="AQ108" s="471">
        <f t="shared" si="21"/>
        <v>19.35483871</v>
      </c>
      <c r="AR108" s="208">
        <f>COUNTIF(AK30:AK69,"C")</f>
        <v>11</v>
      </c>
      <c r="AS108" s="471">
        <f t="shared" si="22"/>
        <v>35.48387097</v>
      </c>
      <c r="AT108" s="208">
        <f>COUNTIF(AK30:AK69,"D")</f>
        <v>4</v>
      </c>
      <c r="AU108" s="471">
        <f t="shared" si="23"/>
        <v>12.90322581</v>
      </c>
      <c r="AV108" s="271"/>
      <c r="AW108" s="272"/>
    </row>
    <row r="109" ht="15.75" customHeight="1">
      <c r="A109" s="94"/>
      <c r="B109" s="95"/>
      <c r="C109" s="95"/>
      <c r="D109" s="47"/>
      <c r="E109" s="130">
        <v>10.0</v>
      </c>
      <c r="F109" s="113">
        <f>AL70</f>
        <v>2</v>
      </c>
      <c r="G109" s="265">
        <f t="shared" si="19"/>
        <v>6.451612903</v>
      </c>
      <c r="H109" s="305" t="s">
        <v>138</v>
      </c>
      <c r="I109" s="306"/>
      <c r="J109" s="306"/>
      <c r="K109" s="306"/>
      <c r="L109" s="306"/>
      <c r="M109" s="306"/>
      <c r="N109" s="306"/>
      <c r="O109" s="306"/>
      <c r="P109" s="306"/>
      <c r="Q109" s="306"/>
      <c r="R109" s="306"/>
      <c r="S109" s="306"/>
      <c r="T109" s="306"/>
      <c r="U109" s="306"/>
      <c r="V109" s="306"/>
      <c r="W109" s="306"/>
      <c r="X109" s="306"/>
      <c r="Y109" s="306"/>
      <c r="Z109" s="306"/>
      <c r="AA109" s="306"/>
      <c r="AB109" s="306"/>
      <c r="AC109" s="306"/>
      <c r="AD109" s="306"/>
      <c r="AE109" s="306"/>
      <c r="AF109" s="306"/>
      <c r="AG109" s="306"/>
      <c r="AH109" s="306"/>
      <c r="AI109" s="306"/>
      <c r="AJ109" s="307"/>
      <c r="AK109" s="134"/>
      <c r="AM109" s="309">
        <v>10.0</v>
      </c>
      <c r="AN109" s="113">
        <f>COUNTIF(AL30:AL69,"A")</f>
        <v>12</v>
      </c>
      <c r="AO109" s="470">
        <f t="shared" si="20"/>
        <v>38.70967742</v>
      </c>
      <c r="AP109" s="208">
        <f>COUNTIF(AL30:AL69,"B")</f>
        <v>5</v>
      </c>
      <c r="AQ109" s="471">
        <f t="shared" si="21"/>
        <v>16.12903226</v>
      </c>
      <c r="AR109" s="208">
        <f>COUNTIF(AL30:AL69,"C")</f>
        <v>6</v>
      </c>
      <c r="AS109" s="471">
        <f t="shared" si="22"/>
        <v>19.35483871</v>
      </c>
      <c r="AT109" s="208">
        <f>COUNTIF(AL30:AL69,"D")</f>
        <v>2</v>
      </c>
      <c r="AU109" s="471">
        <f t="shared" si="23"/>
        <v>6.451612903</v>
      </c>
      <c r="AV109" s="271"/>
      <c r="AW109" s="272"/>
    </row>
    <row r="110">
      <c r="A110" s="94"/>
      <c r="B110" s="95"/>
      <c r="C110" s="95"/>
      <c r="D110" s="47"/>
      <c r="E110" s="130">
        <v>11.0</v>
      </c>
      <c r="F110" s="113">
        <f>AM70</f>
        <v>5</v>
      </c>
      <c r="G110" s="265">
        <f t="shared" si="19"/>
        <v>16.12903226</v>
      </c>
      <c r="H110" s="305" t="s">
        <v>138</v>
      </c>
      <c r="I110" s="306"/>
      <c r="J110" s="306"/>
      <c r="K110" s="306"/>
      <c r="L110" s="306"/>
      <c r="M110" s="306"/>
      <c r="N110" s="306"/>
      <c r="O110" s="306"/>
      <c r="P110" s="306"/>
      <c r="Q110" s="306"/>
      <c r="R110" s="306"/>
      <c r="S110" s="306"/>
      <c r="T110" s="306"/>
      <c r="U110" s="306"/>
      <c r="V110" s="306"/>
      <c r="W110" s="306"/>
      <c r="X110" s="306"/>
      <c r="Y110" s="306"/>
      <c r="Z110" s="306"/>
      <c r="AA110" s="306"/>
      <c r="AB110" s="306"/>
      <c r="AC110" s="306"/>
      <c r="AD110" s="306"/>
      <c r="AE110" s="306"/>
      <c r="AF110" s="306"/>
      <c r="AG110" s="306"/>
      <c r="AH110" s="306"/>
      <c r="AI110" s="306"/>
      <c r="AJ110" s="307"/>
      <c r="AK110" s="134"/>
      <c r="AM110" s="309">
        <v>11.0</v>
      </c>
      <c r="AN110" s="113">
        <f>COUNTIF(AM30:AM69,"A")</f>
        <v>4</v>
      </c>
      <c r="AO110" s="470">
        <f t="shared" si="20"/>
        <v>12.90322581</v>
      </c>
      <c r="AP110" s="208">
        <f>COUNTIF(AM30:AM69,"B")</f>
        <v>5</v>
      </c>
      <c r="AQ110" s="471">
        <f t="shared" si="21"/>
        <v>16.12903226</v>
      </c>
      <c r="AR110" s="208">
        <f>COUNTIF(AM30:AM69,"C")</f>
        <v>14</v>
      </c>
      <c r="AS110" s="471">
        <f t="shared" si="22"/>
        <v>45.16129032</v>
      </c>
      <c r="AT110" s="208">
        <f>COUNTIF(AM30:AM69,"D")</f>
        <v>2</v>
      </c>
      <c r="AU110" s="471">
        <f t="shared" si="23"/>
        <v>6.451612903</v>
      </c>
      <c r="AV110" s="271"/>
      <c r="AW110" s="272"/>
    </row>
    <row r="111">
      <c r="A111" s="94"/>
      <c r="B111" s="95"/>
      <c r="C111" s="95"/>
      <c r="D111" s="47"/>
      <c r="E111" s="130">
        <v>12.0</v>
      </c>
      <c r="F111" s="114">
        <f>AN70</f>
        <v>5</v>
      </c>
      <c r="G111" s="265">
        <f t="shared" si="19"/>
        <v>16.12903226</v>
      </c>
      <c r="H111" s="308" t="s">
        <v>139</v>
      </c>
      <c r="I111" s="472"/>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2"/>
      <c r="AK111" s="129"/>
      <c r="AM111" s="309">
        <v>12.0</v>
      </c>
      <c r="AN111" s="113">
        <f>COUNTIF(AN30:AN69,"A")</f>
        <v>5</v>
      </c>
      <c r="AO111" s="470">
        <f t="shared" si="20"/>
        <v>16.12903226</v>
      </c>
      <c r="AP111" s="208">
        <f>COUNTIF(AN30:AN69,"B")</f>
        <v>7</v>
      </c>
      <c r="AQ111" s="471">
        <f t="shared" si="21"/>
        <v>22.58064516</v>
      </c>
      <c r="AR111" s="208">
        <f>COUNTIF(AN30:AN69,"C")</f>
        <v>7</v>
      </c>
      <c r="AS111" s="471">
        <f t="shared" si="22"/>
        <v>22.58064516</v>
      </c>
      <c r="AT111" s="208">
        <f>COUNTIF(AN30:AN69,"D")</f>
        <v>6</v>
      </c>
      <c r="AU111" s="471">
        <f t="shared" si="23"/>
        <v>19.35483871</v>
      </c>
      <c r="AV111" s="271"/>
      <c r="AW111" s="272"/>
    </row>
    <row r="112">
      <c r="A112" s="94"/>
      <c r="B112" s="95"/>
      <c r="C112" s="95"/>
      <c r="D112" s="47"/>
      <c r="E112" s="130">
        <v>13.0</v>
      </c>
      <c r="F112" s="113">
        <f>AO70</f>
        <v>12</v>
      </c>
      <c r="G112" s="265">
        <f t="shared" si="19"/>
        <v>38.70967742</v>
      </c>
      <c r="H112" s="308" t="s">
        <v>140</v>
      </c>
      <c r="I112" s="472"/>
      <c r="J112" s="298"/>
      <c r="K112" s="298"/>
      <c r="L112" s="298"/>
      <c r="M112" s="298"/>
      <c r="N112" s="298"/>
      <c r="O112" s="298"/>
      <c r="P112" s="298"/>
      <c r="Q112" s="298"/>
      <c r="R112" s="298"/>
      <c r="S112" s="298"/>
      <c r="T112" s="298"/>
      <c r="U112" s="298"/>
      <c r="V112" s="298"/>
      <c r="W112" s="298"/>
      <c r="X112" s="298"/>
      <c r="Y112" s="298"/>
      <c r="Z112" s="298"/>
      <c r="AA112" s="298"/>
      <c r="AB112" s="298"/>
      <c r="AC112" s="298"/>
      <c r="AD112" s="298"/>
      <c r="AE112" s="298"/>
      <c r="AF112" s="298"/>
      <c r="AG112" s="298"/>
      <c r="AH112" s="298"/>
      <c r="AI112" s="298"/>
      <c r="AJ112" s="299"/>
      <c r="AK112" s="300"/>
      <c r="AM112" s="309">
        <v>13.0</v>
      </c>
      <c r="AN112" s="113">
        <f>COUNTIF(AO30:AO69,"A")</f>
        <v>1</v>
      </c>
      <c r="AO112" s="470">
        <f t="shared" si="20"/>
        <v>3.225806452</v>
      </c>
      <c r="AP112" s="208">
        <f>COUNTIF(AO30:AO69,"B")</f>
        <v>7</v>
      </c>
      <c r="AQ112" s="471">
        <f t="shared" si="21"/>
        <v>22.58064516</v>
      </c>
      <c r="AR112" s="208">
        <f>COUNTIF(AO30:AO69,"C")</f>
        <v>5</v>
      </c>
      <c r="AS112" s="471">
        <f t="shared" si="22"/>
        <v>16.12903226</v>
      </c>
      <c r="AT112" s="208">
        <f>COUNTIF(AO30:AO69,"D")</f>
        <v>12</v>
      </c>
      <c r="AU112" s="471">
        <f t="shared" si="23"/>
        <v>38.70967742</v>
      </c>
      <c r="AV112" s="271"/>
      <c r="AW112" s="272"/>
    </row>
    <row r="113">
      <c r="A113" s="94"/>
      <c r="B113" s="95"/>
      <c r="C113" s="95"/>
      <c r="D113" s="47"/>
      <c r="E113" s="130">
        <v>14.0</v>
      </c>
      <c r="F113" s="113">
        <f>AP70</f>
        <v>7</v>
      </c>
      <c r="G113" s="265">
        <f t="shared" si="19"/>
        <v>22.58064516</v>
      </c>
      <c r="H113" s="308" t="s">
        <v>141</v>
      </c>
      <c r="I113" s="472"/>
      <c r="J113" s="306"/>
      <c r="K113" s="306"/>
      <c r="L113" s="306"/>
      <c r="M113" s="306"/>
      <c r="N113" s="306"/>
      <c r="O113" s="306"/>
      <c r="P113" s="306"/>
      <c r="Q113" s="306"/>
      <c r="R113" s="306"/>
      <c r="S113" s="306"/>
      <c r="T113" s="306"/>
      <c r="U113" s="306"/>
      <c r="V113" s="306"/>
      <c r="W113" s="306"/>
      <c r="X113" s="306"/>
      <c r="Y113" s="306"/>
      <c r="Z113" s="306"/>
      <c r="AA113" s="306"/>
      <c r="AB113" s="306"/>
      <c r="AC113" s="306"/>
      <c r="AD113" s="306"/>
      <c r="AE113" s="306"/>
      <c r="AF113" s="306"/>
      <c r="AG113" s="306"/>
      <c r="AH113" s="306"/>
      <c r="AI113" s="306"/>
      <c r="AJ113" s="307"/>
      <c r="AK113" s="134"/>
      <c r="AM113" s="309">
        <v>14.0</v>
      </c>
      <c r="AN113" s="113">
        <f>COUNTIF(AP30:AP69,"A")</f>
        <v>7</v>
      </c>
      <c r="AO113" s="470">
        <f t="shared" si="20"/>
        <v>22.58064516</v>
      </c>
      <c r="AP113" s="208">
        <f>COUNTIF(AP30:AP69,"B")</f>
        <v>7</v>
      </c>
      <c r="AQ113" s="471">
        <f t="shared" si="21"/>
        <v>22.58064516</v>
      </c>
      <c r="AR113" s="208">
        <f>COUNTIF(AP30:AP69,"C")</f>
        <v>4</v>
      </c>
      <c r="AS113" s="471">
        <f t="shared" si="22"/>
        <v>12.90322581</v>
      </c>
      <c r="AT113" s="208">
        <f>COUNTIF(AP30:AP69,"D")</f>
        <v>7</v>
      </c>
      <c r="AU113" s="471">
        <f t="shared" si="23"/>
        <v>22.58064516</v>
      </c>
      <c r="AV113" s="271"/>
      <c r="AW113" s="272"/>
    </row>
    <row r="114">
      <c r="A114" s="94"/>
      <c r="B114" s="95"/>
      <c r="C114" s="95"/>
      <c r="D114" s="47"/>
      <c r="E114" s="130">
        <v>15.0</v>
      </c>
      <c r="F114" s="113">
        <f>AQ70</f>
        <v>8</v>
      </c>
      <c r="G114" s="265">
        <f t="shared" si="19"/>
        <v>25.80645161</v>
      </c>
      <c r="H114" s="308" t="s">
        <v>141</v>
      </c>
      <c r="I114" s="472"/>
      <c r="J114" s="306"/>
      <c r="K114" s="306"/>
      <c r="L114" s="306"/>
      <c r="M114" s="306"/>
      <c r="N114" s="306"/>
      <c r="O114" s="306"/>
      <c r="P114" s="306"/>
      <c r="Q114" s="306"/>
      <c r="R114" s="306"/>
      <c r="S114" s="306"/>
      <c r="T114" s="306"/>
      <c r="U114" s="306"/>
      <c r="V114" s="306"/>
      <c r="W114" s="306"/>
      <c r="X114" s="306"/>
      <c r="Y114" s="306"/>
      <c r="Z114" s="306"/>
      <c r="AA114" s="306"/>
      <c r="AB114" s="306"/>
      <c r="AC114" s="306"/>
      <c r="AD114" s="306"/>
      <c r="AE114" s="306"/>
      <c r="AF114" s="306"/>
      <c r="AG114" s="306"/>
      <c r="AH114" s="306"/>
      <c r="AI114" s="306"/>
      <c r="AJ114" s="307"/>
      <c r="AK114" s="134"/>
      <c r="AM114" s="309">
        <v>15.0</v>
      </c>
      <c r="AN114" s="113">
        <f>COUNTIF(AQ30:AQ69,"A")</f>
        <v>2</v>
      </c>
      <c r="AO114" s="470">
        <f t="shared" si="20"/>
        <v>6.451612903</v>
      </c>
      <c r="AP114" s="208">
        <f>COUNTIF(AQ30:AQ69,"B")</f>
        <v>8</v>
      </c>
      <c r="AQ114" s="471">
        <f t="shared" si="21"/>
        <v>25.80645161</v>
      </c>
      <c r="AR114" s="208">
        <f>COUNTIF(AQ30:AQ69,"C")</f>
        <v>7</v>
      </c>
      <c r="AS114" s="471">
        <f t="shared" si="22"/>
        <v>22.58064516</v>
      </c>
      <c r="AT114" s="208">
        <f>COUNTIF(AQ30:AQ69,"D")</f>
        <v>8</v>
      </c>
      <c r="AU114" s="471">
        <f t="shared" si="23"/>
        <v>25.80645161</v>
      </c>
      <c r="AV114" s="271"/>
      <c r="AW114" s="272"/>
    </row>
    <row r="115">
      <c r="A115" s="94"/>
      <c r="B115" s="95"/>
      <c r="C115" s="95"/>
      <c r="D115" s="47"/>
      <c r="E115" s="130">
        <v>16.0</v>
      </c>
      <c r="F115" s="113">
        <f>AR70</f>
        <v>10</v>
      </c>
      <c r="G115" s="265">
        <f t="shared" si="19"/>
        <v>32.25806452</v>
      </c>
      <c r="H115" s="308" t="s">
        <v>141</v>
      </c>
      <c r="I115" s="472"/>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2"/>
      <c r="AK115" s="129"/>
      <c r="AM115" s="309">
        <v>16.0</v>
      </c>
      <c r="AN115" s="113">
        <f>COUNTIF(AR30:AR69,"A")</f>
        <v>2</v>
      </c>
      <c r="AO115" s="470">
        <f t="shared" si="20"/>
        <v>6.451612903</v>
      </c>
      <c r="AP115" s="208">
        <f>COUNTIF(AR30:AR69,"B")</f>
        <v>8</v>
      </c>
      <c r="AQ115" s="471">
        <f t="shared" si="21"/>
        <v>25.80645161</v>
      </c>
      <c r="AR115" s="208">
        <f>COUNTIF(AR30:AR69,"C")</f>
        <v>10</v>
      </c>
      <c r="AS115" s="471">
        <f t="shared" si="22"/>
        <v>32.25806452</v>
      </c>
      <c r="AT115" s="208">
        <f>COUNTIF(AR30:AR69,"D")</f>
        <v>5</v>
      </c>
      <c r="AU115" s="471">
        <f t="shared" si="23"/>
        <v>16.12903226</v>
      </c>
      <c r="AV115" s="271"/>
      <c r="AW115" s="272"/>
    </row>
    <row r="116" ht="15.75" customHeight="1">
      <c r="A116" s="94"/>
      <c r="B116" s="95"/>
      <c r="C116" s="95"/>
      <c r="D116" s="47"/>
      <c r="E116" s="130">
        <v>17.0</v>
      </c>
      <c r="F116" s="113">
        <f>AS70</f>
        <v>6</v>
      </c>
      <c r="G116" s="265">
        <f t="shared" si="19"/>
        <v>19.35483871</v>
      </c>
      <c r="H116" s="308" t="s">
        <v>142</v>
      </c>
      <c r="I116" s="472"/>
      <c r="J116" s="306"/>
      <c r="K116" s="306"/>
      <c r="L116" s="306"/>
      <c r="M116" s="306"/>
      <c r="N116" s="306"/>
      <c r="O116" s="306"/>
      <c r="P116" s="306"/>
      <c r="Q116" s="306"/>
      <c r="R116" s="306"/>
      <c r="S116" s="306"/>
      <c r="T116" s="306"/>
      <c r="U116" s="306"/>
      <c r="V116" s="306"/>
      <c r="W116" s="306"/>
      <c r="X116" s="306"/>
      <c r="Y116" s="306"/>
      <c r="Z116" s="306"/>
      <c r="AA116" s="306"/>
      <c r="AB116" s="306"/>
      <c r="AC116" s="306"/>
      <c r="AD116" s="306"/>
      <c r="AE116" s="306"/>
      <c r="AF116" s="306"/>
      <c r="AG116" s="306"/>
      <c r="AH116" s="306"/>
      <c r="AI116" s="306"/>
      <c r="AJ116" s="307"/>
      <c r="AK116" s="134"/>
      <c r="AM116" s="309">
        <v>17.0</v>
      </c>
      <c r="AN116" s="113">
        <f>COUNTIF(AS30:AS69,"A")</f>
        <v>6</v>
      </c>
      <c r="AO116" s="470">
        <f t="shared" si="20"/>
        <v>19.35483871</v>
      </c>
      <c r="AP116" s="208">
        <f>COUNTIF(AS30:AS69,"B")</f>
        <v>8</v>
      </c>
      <c r="AQ116" s="471">
        <f t="shared" si="21"/>
        <v>25.80645161</v>
      </c>
      <c r="AR116" s="208">
        <f>COUNTIF(AS30:AS69,"C")</f>
        <v>3</v>
      </c>
      <c r="AS116" s="471">
        <f t="shared" si="22"/>
        <v>9.677419355</v>
      </c>
      <c r="AT116" s="208">
        <f>COUNTIF(AS30:AS69,"D")</f>
        <v>7</v>
      </c>
      <c r="AU116" s="471">
        <f t="shared" si="23"/>
        <v>22.58064516</v>
      </c>
      <c r="AV116" s="271"/>
      <c r="AW116" s="272"/>
    </row>
    <row r="117" ht="15.75" customHeight="1">
      <c r="A117" s="94"/>
      <c r="B117" s="95"/>
      <c r="C117" s="95"/>
      <c r="D117" s="47"/>
      <c r="E117" s="130">
        <v>18.0</v>
      </c>
      <c r="F117" s="113">
        <f>AT70</f>
        <v>9</v>
      </c>
      <c r="G117" s="265">
        <f t="shared" si="19"/>
        <v>29.03225806</v>
      </c>
      <c r="H117" s="308" t="s">
        <v>142</v>
      </c>
      <c r="I117" s="472"/>
      <c r="J117" s="306"/>
      <c r="K117" s="306"/>
      <c r="L117" s="306"/>
      <c r="M117" s="306"/>
      <c r="N117" s="306"/>
      <c r="O117" s="306"/>
      <c r="P117" s="306"/>
      <c r="Q117" s="306"/>
      <c r="R117" s="306"/>
      <c r="S117" s="306"/>
      <c r="T117" s="306"/>
      <c r="U117" s="306"/>
      <c r="V117" s="306"/>
      <c r="W117" s="306"/>
      <c r="X117" s="306"/>
      <c r="Y117" s="306"/>
      <c r="Z117" s="306"/>
      <c r="AA117" s="306"/>
      <c r="AB117" s="306"/>
      <c r="AC117" s="306"/>
      <c r="AD117" s="306"/>
      <c r="AE117" s="306"/>
      <c r="AF117" s="306"/>
      <c r="AG117" s="306"/>
      <c r="AH117" s="306"/>
      <c r="AI117" s="306"/>
      <c r="AJ117" s="307"/>
      <c r="AK117" s="134"/>
      <c r="AM117" s="309">
        <v>18.0</v>
      </c>
      <c r="AN117" s="113">
        <f>COUNTIF(AT30:AT69,"A")</f>
        <v>9</v>
      </c>
      <c r="AO117" s="470">
        <f t="shared" si="20"/>
        <v>29.03225806</v>
      </c>
      <c r="AP117" s="208">
        <f>COUNTIF(AT30:AT69,"B")</f>
        <v>6</v>
      </c>
      <c r="AQ117" s="471">
        <f t="shared" si="21"/>
        <v>19.35483871</v>
      </c>
      <c r="AR117" s="208">
        <f>COUNTIF(AT30:AT69,"C")</f>
        <v>9</v>
      </c>
      <c r="AS117" s="471">
        <f t="shared" si="22"/>
        <v>29.03225806</v>
      </c>
      <c r="AT117" s="208">
        <f>COUNTIF(AT30:AT69,"D")</f>
        <v>1</v>
      </c>
      <c r="AU117" s="471">
        <f t="shared" si="23"/>
        <v>3.225806452</v>
      </c>
      <c r="AV117" s="271"/>
      <c r="AW117" s="272"/>
    </row>
    <row r="118" ht="15.75" customHeight="1">
      <c r="A118" s="94"/>
      <c r="B118" s="95"/>
      <c r="C118" s="95"/>
      <c r="D118" s="47"/>
      <c r="E118" s="130">
        <v>19.0</v>
      </c>
      <c r="F118" s="113">
        <f>AU70</f>
        <v>8</v>
      </c>
      <c r="G118" s="265">
        <f t="shared" si="19"/>
        <v>25.80645161</v>
      </c>
      <c r="H118" s="308" t="s">
        <v>141</v>
      </c>
      <c r="I118" s="472"/>
      <c r="J118" s="306"/>
      <c r="K118" s="306"/>
      <c r="L118" s="306"/>
      <c r="M118" s="306"/>
      <c r="N118" s="306"/>
      <c r="O118" s="306"/>
      <c r="P118" s="306"/>
      <c r="Q118" s="306"/>
      <c r="R118" s="306"/>
      <c r="S118" s="306"/>
      <c r="T118" s="306"/>
      <c r="U118" s="306"/>
      <c r="V118" s="306"/>
      <c r="W118" s="306"/>
      <c r="X118" s="306"/>
      <c r="Y118" s="306"/>
      <c r="Z118" s="306"/>
      <c r="AA118" s="306"/>
      <c r="AB118" s="306"/>
      <c r="AC118" s="306"/>
      <c r="AD118" s="306"/>
      <c r="AE118" s="306"/>
      <c r="AF118" s="306"/>
      <c r="AG118" s="306"/>
      <c r="AH118" s="306"/>
      <c r="AI118" s="306"/>
      <c r="AJ118" s="307"/>
      <c r="AK118" s="134"/>
      <c r="AM118" s="309">
        <v>19.0</v>
      </c>
      <c r="AN118" s="113">
        <f>COUNTIF(AU30:AU69,"A")</f>
        <v>6</v>
      </c>
      <c r="AO118" s="470">
        <f t="shared" si="20"/>
        <v>19.35483871</v>
      </c>
      <c r="AP118" s="208">
        <f>COUNTIF(AU30:AU69,"B")</f>
        <v>5</v>
      </c>
      <c r="AQ118" s="471">
        <f t="shared" si="21"/>
        <v>16.12903226</v>
      </c>
      <c r="AR118" s="208">
        <f>COUNTIF(AU30:AU69,"C")</f>
        <v>6</v>
      </c>
      <c r="AS118" s="471">
        <f t="shared" si="22"/>
        <v>19.35483871</v>
      </c>
      <c r="AT118" s="208">
        <f>COUNTIF(AU30:AU69,"D")</f>
        <v>8</v>
      </c>
      <c r="AU118" s="471">
        <f t="shared" si="23"/>
        <v>25.80645161</v>
      </c>
      <c r="AV118" s="271"/>
      <c r="AW118" s="272"/>
    </row>
    <row r="119" ht="15.75" customHeight="1">
      <c r="A119" s="94"/>
      <c r="B119" s="95"/>
      <c r="C119" s="95"/>
      <c r="D119" s="47"/>
      <c r="E119" s="130">
        <v>20.0</v>
      </c>
      <c r="F119" s="113">
        <f>AV70</f>
        <v>5</v>
      </c>
      <c r="G119" s="265">
        <f t="shared" si="19"/>
        <v>16.12903226</v>
      </c>
      <c r="H119" s="308" t="s">
        <v>141</v>
      </c>
      <c r="I119" s="472"/>
      <c r="J119" s="306"/>
      <c r="K119" s="306"/>
      <c r="L119" s="306"/>
      <c r="M119" s="306"/>
      <c r="N119" s="306"/>
      <c r="O119" s="306"/>
      <c r="P119" s="306"/>
      <c r="Q119" s="306"/>
      <c r="R119" s="306"/>
      <c r="S119" s="306"/>
      <c r="T119" s="306"/>
      <c r="U119" s="306"/>
      <c r="V119" s="306"/>
      <c r="W119" s="306"/>
      <c r="X119" s="306"/>
      <c r="Y119" s="306"/>
      <c r="Z119" s="306"/>
      <c r="AA119" s="306"/>
      <c r="AB119" s="306"/>
      <c r="AC119" s="306"/>
      <c r="AD119" s="306"/>
      <c r="AE119" s="306"/>
      <c r="AF119" s="306"/>
      <c r="AG119" s="306"/>
      <c r="AH119" s="306"/>
      <c r="AI119" s="306"/>
      <c r="AJ119" s="307"/>
      <c r="AK119" s="134"/>
      <c r="AM119" s="309">
        <v>20.0</v>
      </c>
      <c r="AN119" s="113">
        <f>COUNTIF(AV30:AV69,"A")</f>
        <v>4</v>
      </c>
      <c r="AO119" s="470">
        <f t="shared" si="20"/>
        <v>12.90322581</v>
      </c>
      <c r="AP119" s="208">
        <f>COUNTIF(AV30:AV69,"B")</f>
        <v>6</v>
      </c>
      <c r="AQ119" s="471">
        <f t="shared" si="21"/>
        <v>19.35483871</v>
      </c>
      <c r="AR119" s="208">
        <f>COUNTIF(AV30:AV69,"C")</f>
        <v>9</v>
      </c>
      <c r="AS119" s="471">
        <f t="shared" si="22"/>
        <v>29.03225806</v>
      </c>
      <c r="AT119" s="208">
        <f>COUNTIF(AV30:AV69,"D")</f>
        <v>5</v>
      </c>
      <c r="AU119" s="471">
        <f t="shared" si="23"/>
        <v>16.12903226</v>
      </c>
      <c r="AV119" s="271"/>
      <c r="AW119" s="272"/>
    </row>
    <row r="120" ht="15.75" customHeight="1">
      <c r="A120" s="94"/>
      <c r="B120" s="95"/>
      <c r="C120" s="95"/>
      <c r="D120" s="47"/>
      <c r="E120" s="130">
        <v>21.0</v>
      </c>
      <c r="F120" s="113">
        <f>AW70</f>
        <v>8</v>
      </c>
      <c r="G120" s="265">
        <f t="shared" si="19"/>
        <v>25.80645161</v>
      </c>
      <c r="H120" s="305" t="s">
        <v>143</v>
      </c>
      <c r="I120" s="306"/>
      <c r="J120" s="306"/>
      <c r="K120" s="306"/>
      <c r="L120" s="306"/>
      <c r="M120" s="306"/>
      <c r="N120" s="306"/>
      <c r="O120" s="306"/>
      <c r="P120" s="306"/>
      <c r="Q120" s="306"/>
      <c r="R120" s="306"/>
      <c r="S120" s="306"/>
      <c r="T120" s="306"/>
      <c r="U120" s="306"/>
      <c r="V120" s="306"/>
      <c r="W120" s="306"/>
      <c r="X120" s="306"/>
      <c r="Y120" s="306"/>
      <c r="Z120" s="306"/>
      <c r="AA120" s="306"/>
      <c r="AB120" s="306"/>
      <c r="AC120" s="306"/>
      <c r="AD120" s="306"/>
      <c r="AE120" s="306"/>
      <c r="AF120" s="306"/>
      <c r="AG120" s="306"/>
      <c r="AH120" s="306"/>
      <c r="AI120" s="306"/>
      <c r="AJ120" s="307"/>
      <c r="AK120" s="134"/>
      <c r="AM120" s="309">
        <v>21.0</v>
      </c>
      <c r="AN120" s="113">
        <f>COUNTIF(AW30:AW69,"A")</f>
        <v>5</v>
      </c>
      <c r="AO120" s="470">
        <f t="shared" si="20"/>
        <v>16.12903226</v>
      </c>
      <c r="AP120" s="208">
        <f>COUNTIF(AW30:AW69,"B")</f>
        <v>8</v>
      </c>
      <c r="AQ120" s="471">
        <f t="shared" si="21"/>
        <v>25.80645161</v>
      </c>
      <c r="AR120" s="208">
        <f>COUNTIF(AW30:AW69,"C")</f>
        <v>9</v>
      </c>
      <c r="AS120" s="471">
        <f t="shared" si="22"/>
        <v>29.03225806</v>
      </c>
      <c r="AT120" s="208">
        <f>COUNTIF(AW30:AW69,"D")</f>
        <v>3</v>
      </c>
      <c r="AU120" s="471">
        <f t="shared" si="23"/>
        <v>9.677419355</v>
      </c>
      <c r="AV120" s="271"/>
      <c r="AW120" s="272"/>
    </row>
    <row r="121" ht="15.75" customHeight="1">
      <c r="A121" s="94"/>
      <c r="B121" s="95"/>
      <c r="C121" s="95"/>
      <c r="D121" s="47"/>
      <c r="E121" s="130">
        <v>22.0</v>
      </c>
      <c r="F121" s="113">
        <f>AX70</f>
        <v>5</v>
      </c>
      <c r="G121" s="265">
        <f t="shared" si="19"/>
        <v>16.12903226</v>
      </c>
      <c r="H121" s="305" t="s">
        <v>144</v>
      </c>
      <c r="I121" s="306"/>
      <c r="J121" s="306"/>
      <c r="K121" s="306"/>
      <c r="L121" s="306"/>
      <c r="M121" s="306"/>
      <c r="N121" s="306"/>
      <c r="O121" s="306"/>
      <c r="P121" s="306"/>
      <c r="Q121" s="306"/>
      <c r="R121" s="306"/>
      <c r="S121" s="306"/>
      <c r="T121" s="306"/>
      <c r="U121" s="306"/>
      <c r="V121" s="306"/>
      <c r="W121" s="306"/>
      <c r="X121" s="306"/>
      <c r="Y121" s="306"/>
      <c r="Z121" s="306"/>
      <c r="AA121" s="306"/>
      <c r="AB121" s="306"/>
      <c r="AC121" s="306"/>
      <c r="AD121" s="306"/>
      <c r="AE121" s="306"/>
      <c r="AF121" s="306"/>
      <c r="AG121" s="306"/>
      <c r="AH121" s="306"/>
      <c r="AI121" s="306"/>
      <c r="AJ121" s="307"/>
      <c r="AK121" s="134"/>
      <c r="AM121" s="309">
        <v>22.0</v>
      </c>
      <c r="AN121" s="113">
        <f>COUNTIF(AX30:AX69,"A")</f>
        <v>8</v>
      </c>
      <c r="AO121" s="470">
        <f t="shared" si="20"/>
        <v>25.80645161</v>
      </c>
      <c r="AP121" s="208">
        <f>COUNTIF(AX30:AX69,"B")</f>
        <v>4</v>
      </c>
      <c r="AQ121" s="471">
        <f t="shared" si="21"/>
        <v>12.90322581</v>
      </c>
      <c r="AR121" s="208">
        <f>COUNTIF(AX30:AX69,"C")</f>
        <v>8</v>
      </c>
      <c r="AS121" s="471">
        <f t="shared" si="22"/>
        <v>25.80645161</v>
      </c>
      <c r="AT121" s="208">
        <f>COUNTIF(AX30:AX69,"D")</f>
        <v>5</v>
      </c>
      <c r="AU121" s="471">
        <f t="shared" si="23"/>
        <v>16.12903226</v>
      </c>
      <c r="AV121" s="271"/>
      <c r="AW121" s="272"/>
    </row>
    <row r="122" ht="15.75" customHeight="1">
      <c r="A122" s="94"/>
      <c r="B122" s="95"/>
      <c r="C122" s="95"/>
      <c r="D122" s="47"/>
      <c r="E122" s="130">
        <v>23.0</v>
      </c>
      <c r="F122" s="113">
        <f>AY70</f>
        <v>6</v>
      </c>
      <c r="G122" s="265">
        <f t="shared" si="19"/>
        <v>19.35483871</v>
      </c>
      <c r="H122" s="305" t="s">
        <v>144</v>
      </c>
      <c r="I122" s="306"/>
      <c r="J122" s="306"/>
      <c r="K122" s="306"/>
      <c r="L122" s="306"/>
      <c r="M122" s="306"/>
      <c r="N122" s="306"/>
      <c r="O122" s="306"/>
      <c r="P122" s="306"/>
      <c r="Q122" s="306"/>
      <c r="R122" s="306"/>
      <c r="S122" s="306"/>
      <c r="T122" s="306"/>
      <c r="U122" s="306"/>
      <c r="V122" s="306"/>
      <c r="W122" s="306"/>
      <c r="X122" s="306"/>
      <c r="Y122" s="306"/>
      <c r="Z122" s="306"/>
      <c r="AA122" s="306"/>
      <c r="AB122" s="306"/>
      <c r="AC122" s="306"/>
      <c r="AD122" s="306"/>
      <c r="AE122" s="306"/>
      <c r="AF122" s="306"/>
      <c r="AG122" s="306"/>
      <c r="AH122" s="306"/>
      <c r="AI122" s="306"/>
      <c r="AJ122" s="307"/>
      <c r="AK122" s="134"/>
      <c r="AM122" s="309">
        <v>23.0</v>
      </c>
      <c r="AN122" s="113">
        <f>COUNTIF(AY30:AY69,"A")</f>
        <v>5</v>
      </c>
      <c r="AO122" s="470">
        <f t="shared" si="20"/>
        <v>16.12903226</v>
      </c>
      <c r="AP122" s="208">
        <f>COUNTIF(AY30:AY69,"B")</f>
        <v>6</v>
      </c>
      <c r="AQ122" s="471">
        <f t="shared" si="21"/>
        <v>19.35483871</v>
      </c>
      <c r="AR122" s="208">
        <f>COUNTIF(AY30:AY69,"C")</f>
        <v>8</v>
      </c>
      <c r="AS122" s="471">
        <f t="shared" si="22"/>
        <v>25.80645161</v>
      </c>
      <c r="AT122" s="208">
        <f>COUNTIF(AY30:AY69,"D")</f>
        <v>6</v>
      </c>
      <c r="AU122" s="471">
        <f t="shared" si="23"/>
        <v>19.35483871</v>
      </c>
      <c r="AV122" s="271"/>
      <c r="AW122" s="272"/>
    </row>
    <row r="123" ht="15.75" customHeight="1">
      <c r="A123" s="94"/>
      <c r="B123" s="95"/>
      <c r="C123" s="95"/>
      <c r="D123" s="47"/>
      <c r="E123" s="130">
        <v>24.0</v>
      </c>
      <c r="F123" s="113">
        <f>AZ70</f>
        <v>9</v>
      </c>
      <c r="G123" s="265">
        <f t="shared" si="19"/>
        <v>29.03225806</v>
      </c>
      <c r="H123" s="305" t="s">
        <v>144</v>
      </c>
      <c r="I123" s="306"/>
      <c r="J123" s="306"/>
      <c r="K123" s="306"/>
      <c r="L123" s="306"/>
      <c r="M123" s="306"/>
      <c r="N123" s="306"/>
      <c r="O123" s="306"/>
      <c r="P123" s="306"/>
      <c r="Q123" s="306"/>
      <c r="R123" s="306"/>
      <c r="S123" s="306"/>
      <c r="T123" s="306"/>
      <c r="U123" s="306"/>
      <c r="V123" s="306"/>
      <c r="W123" s="306"/>
      <c r="X123" s="306"/>
      <c r="Y123" s="306"/>
      <c r="Z123" s="306"/>
      <c r="AA123" s="306"/>
      <c r="AB123" s="306"/>
      <c r="AC123" s="306"/>
      <c r="AD123" s="306"/>
      <c r="AE123" s="306"/>
      <c r="AF123" s="306"/>
      <c r="AG123" s="306"/>
      <c r="AH123" s="306"/>
      <c r="AI123" s="306"/>
      <c r="AJ123" s="307"/>
      <c r="AK123" s="134"/>
      <c r="AM123" s="309">
        <v>24.0</v>
      </c>
      <c r="AN123" s="113">
        <f>COUNTIF(AZ30:AZ69,"A")</f>
        <v>9</v>
      </c>
      <c r="AO123" s="470">
        <f t="shared" si="20"/>
        <v>29.03225806</v>
      </c>
      <c r="AP123" s="208">
        <f>COUNTIF(AZ30:AZ69,"B")</f>
        <v>1</v>
      </c>
      <c r="AQ123" s="471">
        <f t="shared" si="21"/>
        <v>3.225806452</v>
      </c>
      <c r="AR123" s="208">
        <f>COUNTIF(AZ30:AZ69,"C")</f>
        <v>6</v>
      </c>
      <c r="AS123" s="471">
        <f t="shared" si="22"/>
        <v>19.35483871</v>
      </c>
      <c r="AT123" s="208">
        <f>COUNTIF(AZ30:AZ69,"D")</f>
        <v>9</v>
      </c>
      <c r="AU123" s="471">
        <f t="shared" si="23"/>
        <v>29.03225806</v>
      </c>
      <c r="AV123" s="271"/>
      <c r="AW123" s="272"/>
    </row>
    <row r="124" ht="15.75" customHeight="1">
      <c r="A124" s="94"/>
      <c r="B124" s="95"/>
      <c r="C124" s="95"/>
      <c r="D124" s="47"/>
      <c r="E124" s="130">
        <v>25.0</v>
      </c>
      <c r="F124" s="113">
        <f>BA70</f>
        <v>5</v>
      </c>
      <c r="G124" s="265">
        <f t="shared" si="19"/>
        <v>16.12903226</v>
      </c>
      <c r="H124" s="305" t="s">
        <v>144</v>
      </c>
      <c r="I124" s="306"/>
      <c r="J124" s="306"/>
      <c r="K124" s="306"/>
      <c r="L124" s="306"/>
      <c r="M124" s="306"/>
      <c r="N124" s="306"/>
      <c r="O124" s="306"/>
      <c r="P124" s="306"/>
      <c r="Q124" s="306"/>
      <c r="R124" s="306"/>
      <c r="S124" s="306"/>
      <c r="T124" s="306"/>
      <c r="U124" s="306"/>
      <c r="V124" s="306"/>
      <c r="W124" s="306"/>
      <c r="X124" s="306"/>
      <c r="Y124" s="306"/>
      <c r="Z124" s="306"/>
      <c r="AA124" s="306"/>
      <c r="AB124" s="306"/>
      <c r="AC124" s="306"/>
      <c r="AD124" s="306"/>
      <c r="AE124" s="306"/>
      <c r="AF124" s="306"/>
      <c r="AG124" s="306"/>
      <c r="AH124" s="306"/>
      <c r="AI124" s="306"/>
      <c r="AJ124" s="307"/>
      <c r="AK124" s="134"/>
      <c r="AM124" s="309">
        <v>25.0</v>
      </c>
      <c r="AN124" s="113">
        <f>COUNTIF(BA30:BA69,"A")</f>
        <v>5</v>
      </c>
      <c r="AO124" s="470">
        <f t="shared" si="20"/>
        <v>16.12903226</v>
      </c>
      <c r="AP124" s="208">
        <f>COUNTIF(BA30:BA69,"B")</f>
        <v>6</v>
      </c>
      <c r="AQ124" s="471">
        <f t="shared" si="21"/>
        <v>19.35483871</v>
      </c>
      <c r="AR124" s="208">
        <f>COUNTIF(BA30:BA69,"C")</f>
        <v>9</v>
      </c>
      <c r="AS124" s="471">
        <f t="shared" si="22"/>
        <v>29.03225806</v>
      </c>
      <c r="AT124" s="208">
        <f>COUNTIF(BA30:BA69,"D")</f>
        <v>5</v>
      </c>
      <c r="AU124" s="471">
        <f t="shared" si="23"/>
        <v>16.12903226</v>
      </c>
      <c r="AV124" s="271"/>
      <c r="AW124" s="272"/>
    </row>
    <row r="125" ht="15.75" customHeight="1">
      <c r="A125" s="84"/>
      <c r="B125" s="85"/>
      <c r="C125" s="85"/>
      <c r="D125" s="65"/>
      <c r="E125" s="309">
        <v>26.0</v>
      </c>
      <c r="F125" s="113">
        <f>BB70</f>
        <v>6</v>
      </c>
      <c r="G125" s="265">
        <f t="shared" si="19"/>
        <v>19.35483871</v>
      </c>
      <c r="H125" s="305" t="s">
        <v>144</v>
      </c>
      <c r="I125" s="306"/>
      <c r="J125" s="306"/>
      <c r="K125" s="306"/>
      <c r="L125" s="306"/>
      <c r="M125" s="306"/>
      <c r="N125" s="306"/>
      <c r="O125" s="306"/>
      <c r="P125" s="306"/>
      <c r="Q125" s="306"/>
      <c r="R125" s="306"/>
      <c r="S125" s="306"/>
      <c r="T125" s="306"/>
      <c r="U125" s="306"/>
      <c r="V125" s="306"/>
      <c r="W125" s="306"/>
      <c r="X125" s="306"/>
      <c r="Y125" s="306"/>
      <c r="Z125" s="306"/>
      <c r="AA125" s="306"/>
      <c r="AB125" s="306"/>
      <c r="AC125" s="306"/>
      <c r="AD125" s="306"/>
      <c r="AE125" s="306"/>
      <c r="AF125" s="306"/>
      <c r="AG125" s="306"/>
      <c r="AH125" s="306"/>
      <c r="AI125" s="306"/>
      <c r="AJ125" s="307"/>
      <c r="AK125" s="134"/>
      <c r="AM125" s="309">
        <v>26.0</v>
      </c>
      <c r="AN125" s="113">
        <f>COUNTIF(BB30:BB69,"A")</f>
        <v>5</v>
      </c>
      <c r="AO125" s="470">
        <f t="shared" si="20"/>
        <v>16.12903226</v>
      </c>
      <c r="AP125" s="208">
        <f>COUNTIF(BB30:BB60,"B")</f>
        <v>10</v>
      </c>
      <c r="AQ125" s="471">
        <f t="shared" si="21"/>
        <v>32.25806452</v>
      </c>
      <c r="AR125" s="208">
        <f>COUNTIF(BB30:BB69,"C")</f>
        <v>4</v>
      </c>
      <c r="AS125" s="471">
        <f t="shared" si="22"/>
        <v>12.90322581</v>
      </c>
      <c r="AT125" s="208">
        <f>COUNTIF(BB30:BB69,"D")</f>
        <v>6</v>
      </c>
      <c r="AU125" s="471">
        <f t="shared" si="23"/>
        <v>19.35483871</v>
      </c>
      <c r="AV125" s="271"/>
      <c r="AW125" s="272"/>
    </row>
    <row r="126" ht="112.5" customHeight="1"/>
    <row r="127" ht="15.75" customHeight="1">
      <c r="A127" s="89"/>
      <c r="B127" s="90"/>
      <c r="C127" s="91"/>
      <c r="D127" s="473" t="s">
        <v>89</v>
      </c>
      <c r="E127" s="474"/>
      <c r="F127" s="474"/>
      <c r="G127" s="474"/>
      <c r="H127" s="474"/>
      <c r="I127" s="475"/>
      <c r="K127" s="170"/>
      <c r="L127" s="171"/>
      <c r="M127" s="171"/>
      <c r="N127" s="171"/>
      <c r="O127" s="171"/>
      <c r="P127" s="171"/>
      <c r="Q127" s="171"/>
      <c r="R127" s="171"/>
      <c r="S127" s="171"/>
      <c r="T127" s="171"/>
      <c r="U127" s="171"/>
      <c r="V127" s="171"/>
      <c r="W127" s="171"/>
      <c r="X127" s="171"/>
      <c r="Y127" s="171"/>
      <c r="Z127" s="171"/>
      <c r="AA127" s="171"/>
      <c r="AB127" s="171"/>
      <c r="AC127" s="171"/>
      <c r="AD127" s="171"/>
      <c r="AE127" s="171"/>
      <c r="AF127" s="171"/>
      <c r="AG127" s="171"/>
      <c r="AH127" s="171"/>
      <c r="AI127" s="171"/>
      <c r="AJ127" s="171"/>
      <c r="AK127" s="171"/>
      <c r="AL127" s="171"/>
      <c r="AM127" s="171"/>
      <c r="AN127" s="171"/>
      <c r="AO127" s="171"/>
      <c r="AP127" s="171"/>
      <c r="AQ127" s="171"/>
      <c r="AR127" s="171"/>
      <c r="AS127" s="171"/>
      <c r="AT127" s="171"/>
      <c r="AU127" s="171"/>
      <c r="AV127" s="171"/>
      <c r="AW127" s="171"/>
      <c r="AX127" s="171"/>
      <c r="AY127" s="171"/>
      <c r="AZ127" s="171"/>
      <c r="BA127" s="171"/>
      <c r="BB127" s="171"/>
      <c r="BC127" s="171"/>
      <c r="BD127" s="171"/>
      <c r="BE127" s="171"/>
      <c r="BF127" s="171"/>
      <c r="BG127" s="171"/>
      <c r="BH127" s="171"/>
      <c r="BI127" s="171"/>
      <c r="BJ127" s="171"/>
      <c r="BK127" s="171"/>
      <c r="BL127" s="171"/>
      <c r="BM127" s="171"/>
      <c r="BN127" s="171"/>
      <c r="BO127" s="171"/>
      <c r="BP127" s="171"/>
      <c r="BQ127" s="337"/>
    </row>
    <row r="128" ht="15.75" customHeight="1">
      <c r="A128" s="94"/>
      <c r="B128" s="95"/>
      <c r="C128" s="103"/>
      <c r="D128" s="476" t="s">
        <v>10</v>
      </c>
      <c r="E128" s="477" t="s">
        <v>54</v>
      </c>
      <c r="F128" s="478" t="s">
        <v>90</v>
      </c>
      <c r="G128" s="29"/>
      <c r="H128" s="29"/>
      <c r="I128" s="41"/>
      <c r="K128" s="178"/>
      <c r="BQ128" s="338"/>
    </row>
    <row r="129" ht="15.75" customHeight="1">
      <c r="A129" s="94"/>
      <c r="B129" s="95"/>
      <c r="C129" s="103"/>
      <c r="D129" s="189">
        <f>COUNTIF(BJ30:BJ69,"ABAIXO DO BÁSICO")</f>
        <v>13</v>
      </c>
      <c r="E129" s="479">
        <f>SUM(D129/C17*100)</f>
        <v>41.93548387</v>
      </c>
      <c r="F129" s="426" t="s">
        <v>91</v>
      </c>
      <c r="G129" s="480"/>
      <c r="H129" s="480"/>
      <c r="I129" s="481"/>
      <c r="K129" s="178"/>
      <c r="BQ129" s="338"/>
    </row>
    <row r="130" ht="15.75" customHeight="1">
      <c r="A130" s="94"/>
      <c r="B130" s="95"/>
      <c r="C130" s="103"/>
      <c r="D130" s="189">
        <f>COUNTIF(BJ30:BJ69,"BÁSICO")</f>
        <v>5</v>
      </c>
      <c r="E130" s="479">
        <f>SUM(D130/C17*100)</f>
        <v>16.12903226</v>
      </c>
      <c r="F130" s="429" t="s">
        <v>92</v>
      </c>
      <c r="G130" s="480"/>
      <c r="H130" s="480"/>
      <c r="I130" s="481"/>
      <c r="K130" s="178"/>
      <c r="L130" s="192" t="s">
        <v>93</v>
      </c>
      <c r="U130" s="179"/>
      <c r="V130" s="179"/>
      <c r="W130" s="179"/>
      <c r="X130" s="179"/>
      <c r="Y130" s="179"/>
      <c r="Z130" s="179"/>
      <c r="AA130" s="179"/>
      <c r="AB130" s="179"/>
      <c r="AC130" s="179"/>
      <c r="AD130" s="179"/>
      <c r="AE130" s="179"/>
      <c r="AF130" s="179"/>
      <c r="AG130" s="179"/>
      <c r="AH130" s="179"/>
      <c r="AI130" s="179"/>
      <c r="AJ130" s="179"/>
      <c r="AK130" s="179"/>
      <c r="AL130" s="179"/>
      <c r="AM130" s="179"/>
      <c r="AN130" s="179"/>
      <c r="AO130" s="179"/>
      <c r="AP130" s="179"/>
      <c r="AQ130" s="179"/>
      <c r="AR130" s="179"/>
      <c r="AS130" s="179"/>
      <c r="AT130" s="179"/>
      <c r="AU130" s="179"/>
      <c r="AV130" s="179"/>
      <c r="AW130" s="179"/>
      <c r="AX130" s="179"/>
      <c r="AY130" s="179"/>
      <c r="AZ130" s="179"/>
      <c r="BA130" s="179"/>
      <c r="BB130" s="179"/>
      <c r="BC130" s="179"/>
      <c r="BD130" s="179"/>
      <c r="BE130" s="179"/>
      <c r="BF130" s="179"/>
      <c r="BG130" s="179"/>
      <c r="BH130" s="179"/>
      <c r="BI130" s="179"/>
      <c r="BQ130" s="338"/>
    </row>
    <row r="131" ht="15.75" customHeight="1">
      <c r="A131" s="94"/>
      <c r="B131" s="95"/>
      <c r="C131" s="103"/>
      <c r="D131" s="189">
        <f>COUNTIF(BJ30:BJ69,"ADEQUADO")</f>
        <v>12</v>
      </c>
      <c r="E131" s="479">
        <f>SUM(D131/C17*100)</f>
        <v>38.70967742</v>
      </c>
      <c r="F131" s="430" t="s">
        <v>94</v>
      </c>
      <c r="G131" s="480"/>
      <c r="H131" s="480"/>
      <c r="I131" s="481"/>
      <c r="K131" s="178"/>
      <c r="L131" s="179"/>
      <c r="M131" s="179"/>
      <c r="N131" s="179"/>
      <c r="O131" s="179"/>
      <c r="P131" s="179"/>
      <c r="Q131" s="179"/>
      <c r="R131" s="179"/>
      <c r="S131" s="179"/>
      <c r="T131" s="179"/>
      <c r="U131" s="179"/>
      <c r="V131" s="179"/>
      <c r="W131" s="179"/>
      <c r="X131" s="179"/>
      <c r="Y131" s="179"/>
      <c r="Z131" s="179"/>
      <c r="AA131" s="179"/>
      <c r="AB131" s="179"/>
      <c r="AC131" s="179"/>
      <c r="AD131" s="179"/>
      <c r="AE131" s="179"/>
      <c r="AF131" s="179"/>
      <c r="AG131" s="179"/>
      <c r="AH131" s="179"/>
      <c r="AI131" s="179"/>
      <c r="AJ131" s="179"/>
      <c r="AK131" s="179"/>
      <c r="AL131" s="179"/>
      <c r="AM131" s="179"/>
      <c r="AN131" s="179"/>
      <c r="AO131" s="179"/>
      <c r="AP131" s="179"/>
      <c r="AQ131" s="179"/>
      <c r="AR131" s="179"/>
      <c r="AS131" s="179"/>
      <c r="AT131" s="179"/>
      <c r="AU131" s="179"/>
      <c r="AV131" s="179"/>
      <c r="AW131" s="179"/>
      <c r="AX131" s="179"/>
      <c r="AY131" s="179"/>
      <c r="AZ131" s="179"/>
      <c r="BA131" s="179"/>
      <c r="BB131" s="179"/>
      <c r="BC131" s="179"/>
      <c r="BD131" s="179"/>
      <c r="BE131" s="179"/>
      <c r="BF131" s="179"/>
      <c r="BG131" s="179"/>
      <c r="BH131" s="179"/>
      <c r="BI131" s="179"/>
      <c r="BQ131" s="338"/>
    </row>
    <row r="132" ht="15.75" customHeight="1">
      <c r="A132" s="94"/>
      <c r="B132" s="95"/>
      <c r="C132" s="103"/>
      <c r="D132" s="189">
        <f>COUNTIF(BJ30:BJ69,"AVANÇADO")</f>
        <v>1</v>
      </c>
      <c r="E132" s="479">
        <f>SUM(D132/C17*100)</f>
        <v>3.225806452</v>
      </c>
      <c r="F132" s="431" t="s">
        <v>95</v>
      </c>
      <c r="G132" s="480"/>
      <c r="H132" s="480"/>
      <c r="I132" s="481"/>
      <c r="K132" s="178"/>
      <c r="L132" s="179" t="s">
        <v>482</v>
      </c>
      <c r="BQ132" s="338"/>
    </row>
    <row r="133" ht="15.75" customHeight="1">
      <c r="A133" s="94"/>
      <c r="B133" s="95"/>
      <c r="C133" s="103"/>
      <c r="D133" s="482"/>
      <c r="E133" s="483"/>
      <c r="F133" s="482"/>
      <c r="G133" s="482"/>
      <c r="H133" s="484"/>
      <c r="I133" s="482"/>
      <c r="K133" s="178"/>
      <c r="L133" s="179" t="s">
        <v>483</v>
      </c>
      <c r="BQ133" s="338"/>
    </row>
    <row r="134" ht="15.75" customHeight="1">
      <c r="A134" s="94"/>
      <c r="B134" s="95"/>
      <c r="C134" s="103"/>
      <c r="D134" s="485" t="s">
        <v>16</v>
      </c>
      <c r="E134" s="486"/>
      <c r="F134" s="200"/>
      <c r="G134" s="200"/>
      <c r="H134" s="200"/>
      <c r="I134" s="487"/>
      <c r="K134" s="178"/>
      <c r="L134" s="179" t="s">
        <v>484</v>
      </c>
      <c r="BQ134" s="338"/>
    </row>
    <row r="135" ht="15.75" customHeight="1">
      <c r="A135" s="94"/>
      <c r="B135" s="95"/>
      <c r="C135" s="103"/>
      <c r="D135" s="476" t="s">
        <v>10</v>
      </c>
      <c r="E135" s="488" t="s">
        <v>54</v>
      </c>
      <c r="F135" s="478" t="s">
        <v>90</v>
      </c>
      <c r="G135" s="29"/>
      <c r="H135" s="29"/>
      <c r="I135" s="41"/>
      <c r="K135" s="178"/>
      <c r="L135" s="179" t="s">
        <v>485</v>
      </c>
      <c r="BQ135" s="338"/>
    </row>
    <row r="136" ht="15.75" customHeight="1">
      <c r="A136" s="94"/>
      <c r="B136" s="95"/>
      <c r="C136" s="103"/>
      <c r="D136" s="189">
        <f>COUNTIF(BN30:BN69,"ABAIXO DO BÁSICO")</f>
        <v>12</v>
      </c>
      <c r="E136" s="479">
        <f>SUM(D136/C17*100)</f>
        <v>38.70967742</v>
      </c>
      <c r="F136" s="426" t="s">
        <v>91</v>
      </c>
      <c r="G136" s="480"/>
      <c r="H136" s="480"/>
      <c r="I136" s="481"/>
      <c r="K136" s="178"/>
      <c r="L136" s="179"/>
      <c r="BQ136" s="338"/>
    </row>
    <row r="137" ht="15.75" customHeight="1">
      <c r="A137" s="94"/>
      <c r="B137" s="95"/>
      <c r="C137" s="103"/>
      <c r="D137" s="189">
        <f>COUNTIF(BN30:BN69,"BÁSICO")</f>
        <v>11</v>
      </c>
      <c r="E137" s="479">
        <f>SUM(D137/C17*100)</f>
        <v>35.48387097</v>
      </c>
      <c r="F137" s="429" t="s">
        <v>92</v>
      </c>
      <c r="G137" s="480"/>
      <c r="H137" s="480"/>
      <c r="I137" s="481"/>
      <c r="K137" s="178"/>
      <c r="L137" s="179" t="s">
        <v>486</v>
      </c>
      <c r="BQ137" s="338"/>
    </row>
    <row r="138" ht="15.75" customHeight="1">
      <c r="A138" s="94"/>
      <c r="B138" s="95"/>
      <c r="C138" s="103"/>
      <c r="D138" s="189">
        <f>COUNTIF(BN30:BN69,"ADEQUADO")</f>
        <v>5</v>
      </c>
      <c r="E138" s="479">
        <f>SUM(D138/C17*100)</f>
        <v>16.12903226</v>
      </c>
      <c r="F138" s="430" t="s">
        <v>94</v>
      </c>
      <c r="G138" s="480"/>
      <c r="H138" s="480"/>
      <c r="I138" s="481"/>
      <c r="K138" s="178"/>
      <c r="L138" s="179" t="s">
        <v>487</v>
      </c>
      <c r="BQ138" s="338"/>
    </row>
    <row r="139" ht="15.75" customHeight="1">
      <c r="A139" s="94"/>
      <c r="B139" s="95"/>
      <c r="C139" s="103"/>
      <c r="D139" s="189">
        <f>COUNTIF(BN30:BN69,"AVANÇADO")</f>
        <v>3</v>
      </c>
      <c r="E139" s="479">
        <f>SUM(D139/C17*100)</f>
        <v>9.677419355</v>
      </c>
      <c r="F139" s="431" t="s">
        <v>95</v>
      </c>
      <c r="G139" s="480"/>
      <c r="H139" s="480"/>
      <c r="I139" s="481"/>
      <c r="K139" s="178"/>
      <c r="L139" s="179" t="s">
        <v>488</v>
      </c>
      <c r="BQ139" s="338"/>
    </row>
    <row r="140" ht="15.75" customHeight="1">
      <c r="A140" s="94"/>
      <c r="B140" s="95"/>
      <c r="C140" s="103"/>
      <c r="D140" s="482"/>
      <c r="E140" s="483"/>
      <c r="F140" s="482"/>
      <c r="G140" s="482"/>
      <c r="H140" s="482"/>
      <c r="I140" s="482"/>
      <c r="K140" s="178"/>
      <c r="L140" s="179"/>
      <c r="BQ140" s="338"/>
    </row>
    <row r="141" ht="15.75" customHeight="1">
      <c r="A141" s="94"/>
      <c r="B141" s="95"/>
      <c r="C141" s="103"/>
      <c r="D141" s="489" t="s">
        <v>17</v>
      </c>
      <c r="E141" s="490"/>
      <c r="F141" s="491"/>
      <c r="G141" s="491"/>
      <c r="H141" s="491"/>
      <c r="I141" s="492"/>
      <c r="K141" s="178"/>
      <c r="L141" s="179" t="s">
        <v>489</v>
      </c>
      <c r="BQ141" s="338"/>
    </row>
    <row r="142" ht="15.75" customHeight="1">
      <c r="A142" s="94"/>
      <c r="B142" s="95"/>
      <c r="C142" s="103"/>
      <c r="D142" s="476" t="s">
        <v>10</v>
      </c>
      <c r="E142" s="488" t="s">
        <v>54</v>
      </c>
      <c r="F142" s="478" t="s">
        <v>90</v>
      </c>
      <c r="G142" s="29"/>
      <c r="H142" s="29"/>
      <c r="I142" s="41"/>
      <c r="K142" s="178"/>
      <c r="L142" s="179" t="s">
        <v>490</v>
      </c>
      <c r="BQ142" s="338"/>
    </row>
    <row r="143" ht="15.75" customHeight="1">
      <c r="A143" s="94"/>
      <c r="B143" s="95"/>
      <c r="C143" s="103"/>
      <c r="D143" s="189">
        <f>COUNTIF(BQ30:BQ69,"ABAIXO DO BÁSICO")</f>
        <v>15</v>
      </c>
      <c r="E143" s="479">
        <f>SUM(D143/C17*100)</f>
        <v>48.38709677</v>
      </c>
      <c r="F143" s="426" t="s">
        <v>91</v>
      </c>
      <c r="G143" s="480"/>
      <c r="H143" s="480"/>
      <c r="I143" s="481"/>
      <c r="K143" s="178"/>
      <c r="L143" s="179" t="s">
        <v>491</v>
      </c>
      <c r="BQ143" s="338"/>
    </row>
    <row r="144" ht="15.75" customHeight="1">
      <c r="A144" s="94"/>
      <c r="B144" s="95"/>
      <c r="C144" s="103"/>
      <c r="D144" s="189">
        <f>COUNTIF(BQ30:BQ69,"BÁSICO")</f>
        <v>15</v>
      </c>
      <c r="E144" s="479">
        <f>SUM(D144/C17*100)</f>
        <v>48.38709677</v>
      </c>
      <c r="F144" s="429" t="s">
        <v>92</v>
      </c>
      <c r="G144" s="480"/>
      <c r="H144" s="480"/>
      <c r="I144" s="481"/>
      <c r="K144" s="178"/>
      <c r="BQ144" s="338"/>
    </row>
    <row r="145" ht="15.75" customHeight="1">
      <c r="A145" s="94"/>
      <c r="B145" s="95"/>
      <c r="C145" s="103"/>
      <c r="D145" s="189">
        <f>COUNTIF(BQ30:BQ69,"ADEQUADO")</f>
        <v>1</v>
      </c>
      <c r="E145" s="479">
        <f>SUM(D145/C17*100)</f>
        <v>3.225806452</v>
      </c>
      <c r="F145" s="430" t="s">
        <v>94</v>
      </c>
      <c r="G145" s="480"/>
      <c r="H145" s="480"/>
      <c r="I145" s="481"/>
      <c r="K145" s="178"/>
      <c r="BQ145" s="338"/>
    </row>
    <row r="146" ht="15.75" customHeight="1">
      <c r="A146" s="84"/>
      <c r="B146" s="85"/>
      <c r="C146" s="146"/>
      <c r="D146" s="189">
        <f>COUNTIF(BQ30:BQ69,"AVANÇADO")</f>
        <v>0</v>
      </c>
      <c r="E146" s="479">
        <f>SUM(D146/C17*100)</f>
        <v>0</v>
      </c>
      <c r="F146" s="431" t="s">
        <v>95</v>
      </c>
      <c r="G146" s="480"/>
      <c r="H146" s="480"/>
      <c r="I146" s="481"/>
      <c r="K146" s="223"/>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224"/>
      <c r="BL146" s="224"/>
      <c r="BM146" s="224"/>
      <c r="BN146" s="224"/>
      <c r="BO146" s="224"/>
      <c r="BP146" s="224"/>
      <c r="BQ146" s="340"/>
    </row>
    <row r="147" ht="15.75" customHeight="1"/>
    <row r="148" ht="15.75" customHeight="1"/>
    <row r="149" ht="15.75" customHeight="1"/>
    <row r="150" ht="15.75" customHeight="1"/>
    <row r="151" ht="15.75" customHeight="1"/>
    <row r="152" ht="15.75" customHeight="1"/>
    <row r="153" ht="15.75" customHeight="1"/>
    <row r="154" ht="15.75" customHeight="1">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24"/>
      <c r="AO154" s="224"/>
      <c r="AP154" s="224"/>
      <c r="AQ154" s="224"/>
      <c r="AR154" s="224"/>
      <c r="AS154" s="224"/>
      <c r="AT154" s="224"/>
      <c r="AU154" s="224"/>
      <c r="AV154" s="224"/>
      <c r="AW154" s="224"/>
      <c r="AX154" s="224"/>
      <c r="AY154" s="224"/>
      <c r="AZ154" s="224"/>
      <c r="BA154" s="224"/>
      <c r="BB154" s="224"/>
      <c r="BC154" s="224"/>
      <c r="BD154" s="224"/>
      <c r="BE154" s="224"/>
      <c r="BF154" s="224"/>
      <c r="BG154" s="224"/>
      <c r="BH154" s="224"/>
      <c r="BI154" s="224"/>
      <c r="BJ154" s="224"/>
      <c r="BK154" s="224"/>
      <c r="BL154" s="224"/>
      <c r="BM154" s="224"/>
      <c r="BN154" s="224"/>
      <c r="BO154" s="224"/>
      <c r="BP154" s="224"/>
      <c r="BQ154" s="224"/>
    </row>
    <row r="155" ht="15.75" customHeight="1"/>
    <row r="156" ht="15.75" customHeight="1">
      <c r="BH156" s="226" t="s">
        <v>107</v>
      </c>
    </row>
    <row r="157" ht="15.75" customHeight="1">
      <c r="AL157" s="227"/>
      <c r="AM157" s="227"/>
      <c r="AN157" s="227"/>
      <c r="AO157" s="227"/>
      <c r="AP157" s="227"/>
      <c r="AQ157" s="227"/>
      <c r="AR157" s="227"/>
      <c r="AS157" s="227"/>
      <c r="AT157" s="227"/>
      <c r="AU157" s="227"/>
      <c r="AV157" s="227"/>
      <c r="AW157" s="227"/>
      <c r="AX157" s="227"/>
      <c r="BH157" s="227" t="s">
        <v>108</v>
      </c>
    </row>
    <row r="158" ht="15.75" customHeight="1"/>
  </sheetData>
  <mergeCells count="62">
    <mergeCell ref="D25:BJ25"/>
    <mergeCell ref="D26:AB26"/>
    <mergeCell ref="AC26:BB26"/>
    <mergeCell ref="BD26:BJ26"/>
    <mergeCell ref="BO27:BO29"/>
    <mergeCell ref="BP27:BP29"/>
    <mergeCell ref="A19:B19"/>
    <mergeCell ref="A20:B20"/>
    <mergeCell ref="A22:C22"/>
    <mergeCell ref="BL25:BQ25"/>
    <mergeCell ref="A26:A29"/>
    <mergeCell ref="B26:B29"/>
    <mergeCell ref="C26:C29"/>
    <mergeCell ref="BQ27:BQ29"/>
    <mergeCell ref="BD27:BD29"/>
    <mergeCell ref="BE27:BE29"/>
    <mergeCell ref="A70:C70"/>
    <mergeCell ref="D72:AJ72"/>
    <mergeCell ref="AL72:AU73"/>
    <mergeCell ref="D73:E74"/>
    <mergeCell ref="F73:F74"/>
    <mergeCell ref="G73:G74"/>
    <mergeCell ref="H73:AJ74"/>
    <mergeCell ref="D75:D99"/>
    <mergeCell ref="AL75:AL99"/>
    <mergeCell ref="D100:D125"/>
    <mergeCell ref="AL100:AL125"/>
    <mergeCell ref="F128:I128"/>
    <mergeCell ref="L130:T130"/>
    <mergeCell ref="L132:BI132"/>
    <mergeCell ref="L133:BI133"/>
    <mergeCell ref="L134:BI134"/>
    <mergeCell ref="F135:I135"/>
    <mergeCell ref="L135:BI135"/>
    <mergeCell ref="L136:BI136"/>
    <mergeCell ref="L137:BI137"/>
    <mergeCell ref="L138:BI138"/>
    <mergeCell ref="L139:BI139"/>
    <mergeCell ref="L140:BI140"/>
    <mergeCell ref="L141:BI141"/>
    <mergeCell ref="F142:I142"/>
    <mergeCell ref="L142:BI142"/>
    <mergeCell ref="D6:BE8"/>
    <mergeCell ref="D9:BE10"/>
    <mergeCell ref="D12:BE12"/>
    <mergeCell ref="A15:C15"/>
    <mergeCell ref="A16:C16"/>
    <mergeCell ref="A17:B17"/>
    <mergeCell ref="A18:B18"/>
    <mergeCell ref="BL26:BN26"/>
    <mergeCell ref="BO26:BQ26"/>
    <mergeCell ref="BF27:BF29"/>
    <mergeCell ref="BG27:BG29"/>
    <mergeCell ref="BH27:BH29"/>
    <mergeCell ref="BI27:BI29"/>
    <mergeCell ref="BJ27:BJ29"/>
    <mergeCell ref="BL27:BL29"/>
    <mergeCell ref="BM27:BM29"/>
    <mergeCell ref="BN27:BN29"/>
    <mergeCell ref="L143:BI143"/>
    <mergeCell ref="L144:BI144"/>
    <mergeCell ref="L145:BI145"/>
  </mergeCells>
  <conditionalFormatting sqref="C30:C69">
    <cfRule type="containsText" dxfId="6" priority="1" operator="containsText" text="NÃO">
      <formula>NOT(ISERROR(SEARCH(("NÃO"),(C30))))</formula>
    </cfRule>
  </conditionalFormatting>
  <conditionalFormatting sqref="C30:C69">
    <cfRule type="containsText" dxfId="0" priority="2" operator="containsText" text="NÃO">
      <formula>NOT(ISERROR(SEARCH(("NÃO"),(C30))))</formula>
    </cfRule>
  </conditionalFormatting>
  <conditionalFormatting sqref="C30:C69">
    <cfRule type="containsText" dxfId="1" priority="3" operator="containsText" text="SIM">
      <formula>NOT(ISERROR(SEARCH(("SIM"),(C30))))</formula>
    </cfRule>
  </conditionalFormatting>
  <conditionalFormatting sqref="BD30:BD69 BG30:BH69 BE31:BF69">
    <cfRule type="containsText" dxfId="6" priority="4" operator="containsText" text="F">
      <formula>NOT(ISERROR(SEARCH(("F"),(BD30))))</formula>
    </cfRule>
  </conditionalFormatting>
  <conditionalFormatting sqref="D30:BB69">
    <cfRule type="containsText" dxfId="6" priority="5" operator="containsText" text="F">
      <formula>NOT(ISERROR(SEARCH(("F"),(D30))))</formula>
    </cfRule>
  </conditionalFormatting>
  <conditionalFormatting sqref="BD30:BD69">
    <cfRule type="containsText" dxfId="4" priority="6" operator="containsText" text="A">
      <formula>NOT(ISERROR(SEARCH(("A"),(BD30))))</formula>
    </cfRule>
  </conditionalFormatting>
  <conditionalFormatting sqref="BD30:BD69">
    <cfRule type="containsText" dxfId="5" priority="7" operator="containsText" text="B">
      <formula>NOT(ISERROR(SEARCH(("B"),(BD30))))</formula>
    </cfRule>
  </conditionalFormatting>
  <conditionalFormatting sqref="BD30:BD69">
    <cfRule type="containsText" dxfId="5" priority="8" operator="containsText" text="C">
      <formula>NOT(ISERROR(SEARCH(("C"),(BD30))))</formula>
    </cfRule>
  </conditionalFormatting>
  <conditionalFormatting sqref="BD30:BD69">
    <cfRule type="containsText" dxfId="5" priority="9" operator="containsText" text="X">
      <formula>NOT(ISERROR(SEARCH(("X"),(BD30))))</formula>
    </cfRule>
  </conditionalFormatting>
  <conditionalFormatting sqref="BI30:BI69">
    <cfRule type="containsText" dxfId="6" priority="10" operator="containsText" text="F">
      <formula>NOT(ISERROR(SEARCH(("F"),(BI30))))</formula>
    </cfRule>
  </conditionalFormatting>
  <conditionalFormatting sqref="BJ30:BJ69 BN30:BN69 BQ30:BQ69">
    <cfRule type="containsText" dxfId="17" priority="11" operator="containsText" text="Abaixo do Básico">
      <formula>NOT(ISERROR(SEARCH(("Abaixo do Básico"),(BJ30))))</formula>
    </cfRule>
  </conditionalFormatting>
  <conditionalFormatting sqref="BJ30:BJ69 BN30:BN69 BQ30:BQ69">
    <cfRule type="containsText" dxfId="18" priority="12" operator="containsText" text="Básico">
      <formula>NOT(ISERROR(SEARCH(("Básico"),(BJ30))))</formula>
    </cfRule>
  </conditionalFormatting>
  <conditionalFormatting sqref="BJ30:BJ69 BN30:BN69 BQ30:BQ69">
    <cfRule type="containsText" dxfId="19" priority="13" operator="containsText" text="Adequado">
      <formula>NOT(ISERROR(SEARCH(("Adequado"),(BJ30))))</formula>
    </cfRule>
  </conditionalFormatting>
  <conditionalFormatting sqref="BJ30:BJ69 BN30:BN69 BQ30:BQ69">
    <cfRule type="containsText" dxfId="16" priority="14" operator="containsText" text="Avançado">
      <formula>NOT(ISERROR(SEARCH(("Avançado"),(BJ30))))</formula>
    </cfRule>
  </conditionalFormatting>
  <conditionalFormatting sqref="A30:BB70">
    <cfRule type="containsBlanks" dxfId="6" priority="15">
      <formula>LEN(TRIM(A30))=0</formula>
    </cfRule>
  </conditionalFormatting>
  <conditionalFormatting sqref="B30:B69 BL30:BQ69">
    <cfRule type="containsBlanks" dxfId="6" priority="16">
      <formula>LEN(TRIM(B30))=0</formula>
    </cfRule>
  </conditionalFormatting>
  <conditionalFormatting sqref="D30:BB69">
    <cfRule type="containsText" dxfId="5" priority="17" operator="containsText" text="X">
      <formula>NOT(ISERROR(SEARCH(("X"),(D30))))</formula>
    </cfRule>
  </conditionalFormatting>
  <conditionalFormatting sqref="F30:F69">
    <cfRule type="containsText" dxfId="5" priority="18" operator="containsText" text="A">
      <formula>NOT(ISERROR(SEARCH(("A"),(F30))))</formula>
    </cfRule>
  </conditionalFormatting>
  <conditionalFormatting sqref="F30:F69">
    <cfRule type="containsText" dxfId="5" priority="19" operator="containsText" text="B">
      <formula>NOT(ISERROR(SEARCH(("B"),(F30))))</formula>
    </cfRule>
  </conditionalFormatting>
  <conditionalFormatting sqref="F30:F69">
    <cfRule type="containsText" dxfId="12" priority="20" operator="containsText" text="C">
      <formula>NOT(ISERROR(SEARCH(("C"),(F30))))</formula>
    </cfRule>
  </conditionalFormatting>
  <conditionalFormatting sqref="F30:F69">
    <cfRule type="containsText" dxfId="5" priority="21" operator="containsText" text="D">
      <formula>NOT(ISERROR(SEARCH(("D"),(F30))))</formula>
    </cfRule>
  </conditionalFormatting>
  <conditionalFormatting sqref="G30:G69">
    <cfRule type="containsText" dxfId="5" priority="22" operator="containsText" text="A">
      <formula>NOT(ISERROR(SEARCH(("A"),(G30))))</formula>
    </cfRule>
  </conditionalFormatting>
  <conditionalFormatting sqref="G30:G69">
    <cfRule type="containsText" dxfId="4" priority="23" operator="containsText" text="B">
      <formula>NOT(ISERROR(SEARCH(("B"),(G30))))</formula>
    </cfRule>
  </conditionalFormatting>
  <conditionalFormatting sqref="G30:G69">
    <cfRule type="containsText" dxfId="5" priority="24" operator="containsText" text="C">
      <formula>NOT(ISERROR(SEARCH(("C"),(G30))))</formula>
    </cfRule>
  </conditionalFormatting>
  <conditionalFormatting sqref="G30:G69">
    <cfRule type="containsText" dxfId="5" priority="25" operator="containsText" text="D">
      <formula>NOT(ISERROR(SEARCH(("D"),(G30))))</formula>
    </cfRule>
  </conditionalFormatting>
  <conditionalFormatting sqref="H30:H69">
    <cfRule type="containsText" dxfId="5" priority="26" operator="containsText" text="A">
      <formula>NOT(ISERROR(SEARCH(("A"),(H30))))</formula>
    </cfRule>
  </conditionalFormatting>
  <conditionalFormatting sqref="H30:H69">
    <cfRule type="containsText" dxfId="5" priority="27" operator="containsText" text="B">
      <formula>NOT(ISERROR(SEARCH(("B"),(H30))))</formula>
    </cfRule>
  </conditionalFormatting>
  <conditionalFormatting sqref="H30:H69">
    <cfRule type="containsText" dxfId="5" priority="28" operator="containsText" text="C">
      <formula>NOT(ISERROR(SEARCH(("C"),(H30))))</formula>
    </cfRule>
  </conditionalFormatting>
  <conditionalFormatting sqref="H30:H69">
    <cfRule type="containsText" dxfId="4" priority="29" operator="containsText" text="D">
      <formula>NOT(ISERROR(SEARCH(("D"),(H30))))</formula>
    </cfRule>
  </conditionalFormatting>
  <conditionalFormatting sqref="I30:I69">
    <cfRule type="containsText" dxfId="5" priority="30" operator="containsText" text="A">
      <formula>NOT(ISERROR(SEARCH(("A"),(I30))))</formula>
    </cfRule>
  </conditionalFormatting>
  <conditionalFormatting sqref="I30:I69">
    <cfRule type="containsText" dxfId="4" priority="31" operator="containsText" text="B">
      <formula>NOT(ISERROR(SEARCH(("B"),(I30))))</formula>
    </cfRule>
  </conditionalFormatting>
  <conditionalFormatting sqref="I30:I69">
    <cfRule type="containsText" dxfId="5" priority="32" operator="containsText" text="C">
      <formula>NOT(ISERROR(SEARCH(("C"),(I30))))</formula>
    </cfRule>
  </conditionalFormatting>
  <conditionalFormatting sqref="I30:I69">
    <cfRule type="containsText" dxfId="5" priority="33" operator="containsText" text="D">
      <formula>NOT(ISERROR(SEARCH(("D"),(I30))))</formula>
    </cfRule>
  </conditionalFormatting>
  <conditionalFormatting sqref="J30:J69">
    <cfRule type="containsText" dxfId="5" priority="34" operator="containsText" text="A">
      <formula>NOT(ISERROR(SEARCH(("A"),(J30))))</formula>
    </cfRule>
  </conditionalFormatting>
  <conditionalFormatting sqref="J30:J69">
    <cfRule type="containsText" dxfId="5" priority="35" operator="containsText" text="B">
      <formula>NOT(ISERROR(SEARCH(("B"),(J30))))</formula>
    </cfRule>
  </conditionalFormatting>
  <conditionalFormatting sqref="J30:J69">
    <cfRule type="containsText" dxfId="4" priority="36" operator="containsText" text="C">
      <formula>NOT(ISERROR(SEARCH(("C"),(J30))))</formula>
    </cfRule>
  </conditionalFormatting>
  <conditionalFormatting sqref="J30:J69">
    <cfRule type="containsText" dxfId="5" priority="37" operator="containsText" text="D">
      <formula>NOT(ISERROR(SEARCH(("D"),(J30))))</formula>
    </cfRule>
  </conditionalFormatting>
  <conditionalFormatting sqref="L30:L69">
    <cfRule type="containsText" dxfId="5" priority="38" operator="containsText" text="A">
      <formula>NOT(ISERROR(SEARCH(("A"),(L30))))</formula>
    </cfRule>
  </conditionalFormatting>
  <conditionalFormatting sqref="L30:L69">
    <cfRule type="beginsWith" dxfId="5" priority="39" operator="beginsWith" text="B">
      <formula>LEFT((L30),LEN("B"))=("B")</formula>
    </cfRule>
  </conditionalFormatting>
  <conditionalFormatting sqref="L30:L69">
    <cfRule type="containsText" dxfId="5" priority="40" operator="containsText" text="C">
      <formula>NOT(ISERROR(SEARCH(("C"),(L30))))</formula>
    </cfRule>
  </conditionalFormatting>
  <conditionalFormatting sqref="L30:L69">
    <cfRule type="containsText" dxfId="4" priority="41" operator="containsText" text="D">
      <formula>NOT(ISERROR(SEARCH(("D"),(L30))))</formula>
    </cfRule>
  </conditionalFormatting>
  <conditionalFormatting sqref="M30:M69">
    <cfRule type="containsText" dxfId="5" priority="42" operator="containsText" text="A">
      <formula>NOT(ISERROR(SEARCH(("A"),(M30))))</formula>
    </cfRule>
  </conditionalFormatting>
  <conditionalFormatting sqref="M30:M69">
    <cfRule type="containsText" dxfId="4" priority="43" operator="containsText" text="B">
      <formula>NOT(ISERROR(SEARCH(("B"),(M30))))</formula>
    </cfRule>
  </conditionalFormatting>
  <conditionalFormatting sqref="M30:M69">
    <cfRule type="containsText" dxfId="5" priority="44" operator="containsText" text="C">
      <formula>NOT(ISERROR(SEARCH(("C"),(M30))))</formula>
    </cfRule>
  </conditionalFormatting>
  <conditionalFormatting sqref="M30:M69">
    <cfRule type="containsText" dxfId="5" priority="45" operator="containsText" text="D">
      <formula>NOT(ISERROR(SEARCH(("D"),(M30))))</formula>
    </cfRule>
  </conditionalFormatting>
  <conditionalFormatting sqref="N30:N69">
    <cfRule type="containsText" dxfId="4" priority="46" operator="containsText" text="A">
      <formula>NOT(ISERROR(SEARCH(("A"),(N30))))</formula>
    </cfRule>
  </conditionalFormatting>
  <conditionalFormatting sqref="N30:N69">
    <cfRule type="containsText" dxfId="5" priority="47" operator="containsText" text="B">
      <formula>NOT(ISERROR(SEARCH(("B"),(N30))))</formula>
    </cfRule>
  </conditionalFormatting>
  <conditionalFormatting sqref="N30:N69">
    <cfRule type="containsText" dxfId="5" priority="48" operator="containsText" text="C">
      <formula>NOT(ISERROR(SEARCH(("C"),(N30))))</formula>
    </cfRule>
  </conditionalFormatting>
  <conditionalFormatting sqref="N30:N69">
    <cfRule type="containsText" dxfId="5" priority="49" operator="containsText" text="D">
      <formula>NOT(ISERROR(SEARCH(("D"),(N30))))</formula>
    </cfRule>
  </conditionalFormatting>
  <conditionalFormatting sqref="O30:O69">
    <cfRule type="containsText" dxfId="5" priority="50" operator="containsText" text="A">
      <formula>NOT(ISERROR(SEARCH(("A"),(O30))))</formula>
    </cfRule>
  </conditionalFormatting>
  <conditionalFormatting sqref="O30:O69">
    <cfRule type="containsText" dxfId="4" priority="51" operator="containsText" text="B">
      <formula>NOT(ISERROR(SEARCH(("B"),(O30))))</formula>
    </cfRule>
  </conditionalFormatting>
  <conditionalFormatting sqref="O30:O69">
    <cfRule type="containsText" dxfId="5" priority="52" operator="containsText" text="C">
      <formula>NOT(ISERROR(SEARCH(("C"),(O30))))</formula>
    </cfRule>
  </conditionalFormatting>
  <conditionalFormatting sqref="O30:O69">
    <cfRule type="containsText" dxfId="5" priority="53" operator="containsText" text="D">
      <formula>NOT(ISERROR(SEARCH(("D"),(O30))))</formula>
    </cfRule>
  </conditionalFormatting>
  <conditionalFormatting sqref="P30:P69">
    <cfRule type="containsText" dxfId="5" priority="54" operator="containsText" text="A">
      <formula>NOT(ISERROR(SEARCH(("A"),(P30))))</formula>
    </cfRule>
  </conditionalFormatting>
  <conditionalFormatting sqref="P30:P69">
    <cfRule type="containsText" dxfId="4" priority="55" operator="containsText" text="B">
      <formula>NOT(ISERROR(SEARCH(("B"),(P30))))</formula>
    </cfRule>
  </conditionalFormatting>
  <conditionalFormatting sqref="P30:P69">
    <cfRule type="containsText" dxfId="5" priority="56" operator="containsText" text="C">
      <formula>NOT(ISERROR(SEARCH(("C"),(P30))))</formula>
    </cfRule>
  </conditionalFormatting>
  <conditionalFormatting sqref="P30:P69">
    <cfRule type="containsText" dxfId="5" priority="57" operator="containsText" text="D">
      <formula>NOT(ISERROR(SEARCH(("D"),(P30))))</formula>
    </cfRule>
  </conditionalFormatting>
  <conditionalFormatting sqref="Q30:Q69">
    <cfRule type="containsText" dxfId="4" priority="58" operator="containsText" text="A">
      <formula>NOT(ISERROR(SEARCH(("A"),(Q30))))</formula>
    </cfRule>
  </conditionalFormatting>
  <conditionalFormatting sqref="Q30:Q69">
    <cfRule type="containsText" dxfId="5" priority="59" operator="containsText" text="B">
      <formula>NOT(ISERROR(SEARCH(("B"),(Q30))))</formula>
    </cfRule>
  </conditionalFormatting>
  <conditionalFormatting sqref="Q30:Q69">
    <cfRule type="containsText" dxfId="5" priority="60" operator="containsText" text="C">
      <formula>NOT(ISERROR(SEARCH(("C"),(Q30))))</formula>
    </cfRule>
  </conditionalFormatting>
  <conditionalFormatting sqref="Q30:Q69">
    <cfRule type="containsText" dxfId="5" priority="61" operator="containsText" text="D">
      <formula>NOT(ISERROR(SEARCH(("D"),(Q30))))</formula>
    </cfRule>
  </conditionalFormatting>
  <conditionalFormatting sqref="R30:R69">
    <cfRule type="containsText" dxfId="4" priority="62" operator="containsText" text="A">
      <formula>NOT(ISERROR(SEARCH(("A"),(R30))))</formula>
    </cfRule>
  </conditionalFormatting>
  <conditionalFormatting sqref="R30:R69">
    <cfRule type="containsText" dxfId="5" priority="63" operator="containsText" text="B">
      <formula>NOT(ISERROR(SEARCH(("B"),(R30))))</formula>
    </cfRule>
  </conditionalFormatting>
  <conditionalFormatting sqref="R30:R69">
    <cfRule type="containsText" dxfId="5" priority="64" operator="containsText" text="C">
      <formula>NOT(ISERROR(SEARCH(("C"),(R30))))</formula>
    </cfRule>
  </conditionalFormatting>
  <conditionalFormatting sqref="R30:R69">
    <cfRule type="containsText" dxfId="5" priority="65" operator="containsText" text="D">
      <formula>NOT(ISERROR(SEARCH(("D"),(R30))))</formula>
    </cfRule>
  </conditionalFormatting>
  <conditionalFormatting sqref="S30:S69">
    <cfRule type="containsText" dxfId="5" priority="66" operator="containsText" text="A">
      <formula>NOT(ISERROR(SEARCH(("A"),(S30))))</formula>
    </cfRule>
  </conditionalFormatting>
  <conditionalFormatting sqref="S30:S69">
    <cfRule type="containsText" dxfId="5" priority="67" operator="containsText" text="B">
      <formula>NOT(ISERROR(SEARCH(("B"),(S30))))</formula>
    </cfRule>
  </conditionalFormatting>
  <conditionalFormatting sqref="S30:S69">
    <cfRule type="containsText" dxfId="4" priority="68" operator="containsText" text="C">
      <formula>NOT(ISERROR(SEARCH(("C"),(S30))))</formula>
    </cfRule>
  </conditionalFormatting>
  <conditionalFormatting sqref="S30:S69">
    <cfRule type="containsText" dxfId="5" priority="69" operator="containsText" text="D">
      <formula>NOT(ISERROR(SEARCH(("D"),(S30))))</formula>
    </cfRule>
  </conditionalFormatting>
  <conditionalFormatting sqref="T30:T69">
    <cfRule type="containsText" dxfId="5" priority="70" operator="containsText" text="A">
      <formula>NOT(ISERROR(SEARCH(("A"),(T30))))</formula>
    </cfRule>
  </conditionalFormatting>
  <conditionalFormatting sqref="T30:T69">
    <cfRule type="containsText" dxfId="4" priority="71" operator="containsText" text="B">
      <formula>NOT(ISERROR(SEARCH(("B"),(T30))))</formula>
    </cfRule>
  </conditionalFormatting>
  <conditionalFormatting sqref="T30:T69">
    <cfRule type="containsText" dxfId="5" priority="72" operator="containsText" text="C">
      <formula>NOT(ISERROR(SEARCH(("C"),(T30))))</formula>
    </cfRule>
  </conditionalFormatting>
  <conditionalFormatting sqref="T30:T69">
    <cfRule type="containsText" dxfId="5" priority="73" operator="containsText" text="D">
      <formula>NOT(ISERROR(SEARCH(("D"),(T30))))</formula>
    </cfRule>
  </conditionalFormatting>
  <conditionalFormatting sqref="U30:U69">
    <cfRule type="containsText" dxfId="4" priority="74" operator="containsText" text="A">
      <formula>NOT(ISERROR(SEARCH(("A"),(U30))))</formula>
    </cfRule>
  </conditionalFormatting>
  <conditionalFormatting sqref="U30:U69">
    <cfRule type="containsText" dxfId="5" priority="75" operator="containsText" text="B">
      <formula>NOT(ISERROR(SEARCH(("B"),(U30))))</formula>
    </cfRule>
  </conditionalFormatting>
  <conditionalFormatting sqref="U30:U69">
    <cfRule type="containsText" dxfId="5" priority="76" operator="containsText" text="C">
      <formula>NOT(ISERROR(SEARCH(("C"),(U30))))</formula>
    </cfRule>
  </conditionalFormatting>
  <conditionalFormatting sqref="U30:U69">
    <cfRule type="containsText" dxfId="5" priority="77" operator="containsText" text="D">
      <formula>NOT(ISERROR(SEARCH(("D"),(U30))))</formula>
    </cfRule>
  </conditionalFormatting>
  <conditionalFormatting sqref="V30:V69">
    <cfRule type="containsText" dxfId="5" priority="78" operator="containsText" text="A">
      <formula>NOT(ISERROR(SEARCH(("A"),(V30))))</formula>
    </cfRule>
  </conditionalFormatting>
  <conditionalFormatting sqref="V30:V69">
    <cfRule type="containsText" dxfId="4" priority="79" operator="containsText" text="B">
      <formula>NOT(ISERROR(SEARCH(("B"),(V30))))</formula>
    </cfRule>
  </conditionalFormatting>
  <conditionalFormatting sqref="V30:V69">
    <cfRule type="containsText" dxfId="5" priority="80" operator="containsText" text="C">
      <formula>NOT(ISERROR(SEARCH(("C"),(V30))))</formula>
    </cfRule>
  </conditionalFormatting>
  <conditionalFormatting sqref="V30:V69">
    <cfRule type="containsText" dxfId="5" priority="81" operator="containsText" text="D">
      <formula>NOT(ISERROR(SEARCH(("D"),(V30))))</formula>
    </cfRule>
  </conditionalFormatting>
  <conditionalFormatting sqref="W30:W69">
    <cfRule type="containsText" dxfId="5" priority="82" operator="containsText" text="A">
      <formula>NOT(ISERROR(SEARCH(("A"),(W30))))</formula>
    </cfRule>
  </conditionalFormatting>
  <conditionalFormatting sqref="W30:W69">
    <cfRule type="containsText" dxfId="5" priority="83" operator="containsText" text="B">
      <formula>NOT(ISERROR(SEARCH(("B"),(W30))))</formula>
    </cfRule>
  </conditionalFormatting>
  <conditionalFormatting sqref="W30:W69">
    <cfRule type="containsText" dxfId="4" priority="84" operator="containsText" text="C">
      <formula>NOT(ISERROR(SEARCH(("C"),(W30))))</formula>
    </cfRule>
  </conditionalFormatting>
  <conditionalFormatting sqref="W30:W69">
    <cfRule type="containsText" dxfId="5" priority="85" operator="containsText" text="D">
      <formula>NOT(ISERROR(SEARCH(("D"),(W30))))</formula>
    </cfRule>
  </conditionalFormatting>
  <conditionalFormatting sqref="X30:X69">
    <cfRule type="containsText" dxfId="4" priority="86" operator="containsText" text="A">
      <formula>NOT(ISERROR(SEARCH(("A"),(X30))))</formula>
    </cfRule>
  </conditionalFormatting>
  <conditionalFormatting sqref="X30:X69">
    <cfRule type="containsText" dxfId="5" priority="87" operator="containsText" text="B">
      <formula>NOT(ISERROR(SEARCH(("B"),(X30))))</formula>
    </cfRule>
  </conditionalFormatting>
  <conditionalFormatting sqref="X30:X69">
    <cfRule type="containsText" dxfId="5" priority="88" operator="containsText" text="C">
      <formula>NOT(ISERROR(SEARCH(("C"),(X30))))</formula>
    </cfRule>
  </conditionalFormatting>
  <conditionalFormatting sqref="X30:X69">
    <cfRule type="containsText" dxfId="5" priority="89" operator="containsText" text="D">
      <formula>NOT(ISERROR(SEARCH(("D"),(X30))))</formula>
    </cfRule>
  </conditionalFormatting>
  <conditionalFormatting sqref="Y30:Y69">
    <cfRule type="containsText" dxfId="4" priority="90" operator="containsText" text="A">
      <formula>NOT(ISERROR(SEARCH(("A"),(Y30))))</formula>
    </cfRule>
  </conditionalFormatting>
  <conditionalFormatting sqref="Y30:Y69">
    <cfRule type="containsText" dxfId="5" priority="91" operator="containsText" text="B">
      <formula>NOT(ISERROR(SEARCH(("B"),(Y30))))</formula>
    </cfRule>
  </conditionalFormatting>
  <conditionalFormatting sqref="Y30:Y69">
    <cfRule type="containsText" dxfId="5" priority="92" operator="containsText" text="C">
      <formula>NOT(ISERROR(SEARCH(("C"),(Y30))))</formula>
    </cfRule>
  </conditionalFormatting>
  <conditionalFormatting sqref="Y30:Y69">
    <cfRule type="containsText" dxfId="5" priority="93" operator="containsText" text="D">
      <formula>NOT(ISERROR(SEARCH(("D"),(Y30))))</formula>
    </cfRule>
  </conditionalFormatting>
  <conditionalFormatting sqref="Z30:Z69">
    <cfRule type="containsText" dxfId="5" priority="94" operator="containsText" text="A">
      <formula>NOT(ISERROR(SEARCH(("A"),(Z30))))</formula>
    </cfRule>
  </conditionalFormatting>
  <conditionalFormatting sqref="Z30:Z69">
    <cfRule type="containsText" dxfId="4" priority="95" operator="containsText" text="B">
      <formula>NOT(ISERROR(SEARCH(("B"),(Z30))))</formula>
    </cfRule>
  </conditionalFormatting>
  <conditionalFormatting sqref="Z30:Z69">
    <cfRule type="containsText" dxfId="5" priority="96" operator="containsText" text="C">
      <formula>NOT(ISERROR(SEARCH(("C"),(Z30))))</formula>
    </cfRule>
  </conditionalFormatting>
  <conditionalFormatting sqref="Z30:Z69">
    <cfRule type="containsText" dxfId="5" priority="97" operator="containsText" text="D">
      <formula>NOT(ISERROR(SEARCH(("D"),(Z30))))</formula>
    </cfRule>
  </conditionalFormatting>
  <conditionalFormatting sqref="AA30:AA69">
    <cfRule type="containsText" dxfId="5" priority="98" operator="containsText" text="A">
      <formula>NOT(ISERROR(SEARCH(("A"),(AA30))))</formula>
    </cfRule>
  </conditionalFormatting>
  <conditionalFormatting sqref="AA30:AA69">
    <cfRule type="containsText" dxfId="4" priority="99" operator="containsText" text="B">
      <formula>NOT(ISERROR(SEARCH(("B"),(AA30))))</formula>
    </cfRule>
  </conditionalFormatting>
  <conditionalFormatting sqref="AA30:AA69">
    <cfRule type="containsText" dxfId="5" priority="100" operator="containsText" text="C">
      <formula>NOT(ISERROR(SEARCH(("C"),(AA30))))</formula>
    </cfRule>
  </conditionalFormatting>
  <conditionalFormatting sqref="AA30:AA69">
    <cfRule type="containsText" dxfId="5" priority="101" operator="containsText" text="D">
      <formula>NOT(ISERROR(SEARCH(("D"),(AA30))))</formula>
    </cfRule>
  </conditionalFormatting>
  <conditionalFormatting sqref="AB30:AB69">
    <cfRule type="containsText" dxfId="5" priority="102" operator="containsText" text="A">
      <formula>NOT(ISERROR(SEARCH(("A"),(AB30))))</formula>
    </cfRule>
  </conditionalFormatting>
  <conditionalFormatting sqref="AB30:AB69">
    <cfRule type="containsText" dxfId="4" priority="103" operator="containsText" text="B">
      <formula>NOT(ISERROR(SEARCH(("B"),(AB30))))</formula>
    </cfRule>
  </conditionalFormatting>
  <conditionalFormatting sqref="AB30:AB69">
    <cfRule type="containsText" dxfId="5" priority="104" operator="containsText" text="C">
      <formula>NOT(ISERROR(SEARCH(("C"),(AB30))))</formula>
    </cfRule>
  </conditionalFormatting>
  <conditionalFormatting sqref="AB30:AB69">
    <cfRule type="containsText" dxfId="5" priority="105" operator="containsText" text="D">
      <formula>NOT(ISERROR(SEARCH(("D"),(AB30))))</formula>
    </cfRule>
  </conditionalFormatting>
  <conditionalFormatting sqref="AC30:AC69">
    <cfRule type="containsText" dxfId="5" priority="106" operator="containsText" text="A">
      <formula>NOT(ISERROR(SEARCH(("A"),(AC30))))</formula>
    </cfRule>
  </conditionalFormatting>
  <conditionalFormatting sqref="AC30:AC69">
    <cfRule type="containsText" dxfId="5" priority="107" operator="containsText" text="B">
      <formula>NOT(ISERROR(SEARCH(("B"),(AC30))))</formula>
    </cfRule>
  </conditionalFormatting>
  <conditionalFormatting sqref="AC30:AC69">
    <cfRule type="containsText" dxfId="4" priority="108" operator="containsText" text="C">
      <formula>NOT(ISERROR(SEARCH(("C"),(AC30))))</formula>
    </cfRule>
  </conditionalFormatting>
  <conditionalFormatting sqref="AC30:AC69">
    <cfRule type="containsText" dxfId="5" priority="109" operator="containsText" text="D">
      <formula>NOT(ISERROR(SEARCH(("D"),(AC30))))</formula>
    </cfRule>
  </conditionalFormatting>
  <conditionalFormatting sqref="AD30:AD69">
    <cfRule type="containsText" dxfId="5" priority="110" operator="containsText" text="A">
      <formula>NOT(ISERROR(SEARCH(("A"),(AD30))))</formula>
    </cfRule>
  </conditionalFormatting>
  <conditionalFormatting sqref="AD30:AD69">
    <cfRule type="containsText" dxfId="4" priority="111" operator="containsText" text="B">
      <formula>NOT(ISERROR(SEARCH(("B"),(AD30))))</formula>
    </cfRule>
  </conditionalFormatting>
  <conditionalFormatting sqref="AD30:AD69">
    <cfRule type="containsText" dxfId="5" priority="112" operator="containsText" text="C">
      <formula>NOT(ISERROR(SEARCH(("C"),(AD30))))</formula>
    </cfRule>
  </conditionalFormatting>
  <conditionalFormatting sqref="AD30:AD69">
    <cfRule type="containsText" dxfId="5" priority="113" operator="containsText" text="D">
      <formula>NOT(ISERROR(SEARCH(("D"),(AD30))))</formula>
    </cfRule>
  </conditionalFormatting>
  <conditionalFormatting sqref="AE30:AE69">
    <cfRule type="containsText" dxfId="5" priority="114" operator="containsText" text="A">
      <formula>NOT(ISERROR(SEARCH(("A"),(AE30))))</formula>
    </cfRule>
  </conditionalFormatting>
  <conditionalFormatting sqref="AE30:AE69">
    <cfRule type="containsText" dxfId="4" priority="115" operator="containsText" text="B">
      <formula>NOT(ISERROR(SEARCH(("B"),(AE30))))</formula>
    </cfRule>
  </conditionalFormatting>
  <conditionalFormatting sqref="AE30:AE69">
    <cfRule type="containsText" dxfId="5" priority="116" operator="containsText" text="C">
      <formula>NOT(ISERROR(SEARCH(("C"),(AE30))))</formula>
    </cfRule>
  </conditionalFormatting>
  <conditionalFormatting sqref="AE30:AE69">
    <cfRule type="containsText" dxfId="5" priority="117" operator="containsText" text="D">
      <formula>NOT(ISERROR(SEARCH(("D"),(AE30))))</formula>
    </cfRule>
  </conditionalFormatting>
  <conditionalFormatting sqref="AF30:AF69">
    <cfRule type="containsText" dxfId="5" priority="118" operator="containsText" text="A">
      <formula>NOT(ISERROR(SEARCH(("A"),(AF30))))</formula>
    </cfRule>
  </conditionalFormatting>
  <conditionalFormatting sqref="AF30:AF69">
    <cfRule type="containsText" dxfId="5" priority="119" operator="containsText" text="B">
      <formula>NOT(ISERROR(SEARCH(("B"),(AF30))))</formula>
    </cfRule>
  </conditionalFormatting>
  <conditionalFormatting sqref="AF30:AF69">
    <cfRule type="containsText" dxfId="4" priority="120" operator="containsText" text="C">
      <formula>NOT(ISERROR(SEARCH(("C"),(AF30))))</formula>
    </cfRule>
  </conditionalFormatting>
  <conditionalFormatting sqref="AF30:AF69">
    <cfRule type="containsText" dxfId="5" priority="121" operator="containsText" text="D">
      <formula>NOT(ISERROR(SEARCH(("D"),(AF30))))</formula>
    </cfRule>
  </conditionalFormatting>
  <conditionalFormatting sqref="AG30:AG69">
    <cfRule type="containsText" dxfId="5" priority="122" operator="containsText" text="A">
      <formula>NOT(ISERROR(SEARCH(("A"),(AG30))))</formula>
    </cfRule>
  </conditionalFormatting>
  <conditionalFormatting sqref="AG30:AG69">
    <cfRule type="containsText" dxfId="5" priority="123" operator="containsText" text="B">
      <formula>NOT(ISERROR(SEARCH(("B"),(AG30))))</formula>
    </cfRule>
  </conditionalFormatting>
  <conditionalFormatting sqref="AG30:AG69">
    <cfRule type="containsText" dxfId="4" priority="124" operator="containsText" text="C">
      <formula>NOT(ISERROR(SEARCH(("C"),(AG30))))</formula>
    </cfRule>
  </conditionalFormatting>
  <conditionalFormatting sqref="AG30:AG69">
    <cfRule type="containsText" dxfId="5" priority="125" operator="containsText" text="D">
      <formula>NOT(ISERROR(SEARCH(("D"),(AG30))))</formula>
    </cfRule>
  </conditionalFormatting>
  <conditionalFormatting sqref="AH30:AH69">
    <cfRule type="containsText" dxfId="5" priority="126" operator="containsText" text="A">
      <formula>NOT(ISERROR(SEARCH(("A"),(AH30))))</formula>
    </cfRule>
  </conditionalFormatting>
  <conditionalFormatting sqref="AH30:AH69">
    <cfRule type="containsText" dxfId="5" priority="127" operator="containsText" text="B">
      <formula>NOT(ISERROR(SEARCH(("B"),(AH30))))</formula>
    </cfRule>
  </conditionalFormatting>
  <conditionalFormatting sqref="AH30:AH69">
    <cfRule type="containsText" dxfId="4" priority="128" operator="containsText" text="C">
      <formula>NOT(ISERROR(SEARCH(("C"),(AH30))))</formula>
    </cfRule>
  </conditionalFormatting>
  <conditionalFormatting sqref="AH30:AH69">
    <cfRule type="containsText" dxfId="5" priority="129" operator="containsText" text="D">
      <formula>NOT(ISERROR(SEARCH(("D"),(AH30))))</formula>
    </cfRule>
  </conditionalFormatting>
  <conditionalFormatting sqref="AI30:AI69">
    <cfRule type="containsText" dxfId="5" priority="130" operator="containsText" text="A">
      <formula>NOT(ISERROR(SEARCH(("A"),(AI30))))</formula>
    </cfRule>
  </conditionalFormatting>
  <conditionalFormatting sqref="AI30:AI69">
    <cfRule type="containsText" dxfId="5" priority="131" operator="containsText" text="B">
      <formula>NOT(ISERROR(SEARCH(("B"),(AI30))))</formula>
    </cfRule>
  </conditionalFormatting>
  <conditionalFormatting sqref="AI30:AI69">
    <cfRule type="containsText" dxfId="5" priority="132" operator="containsText" text="C">
      <formula>NOT(ISERROR(SEARCH(("C"),(AI30))))</formula>
    </cfRule>
  </conditionalFormatting>
  <conditionalFormatting sqref="AI30:AI69">
    <cfRule type="containsText" dxfId="4" priority="133" operator="containsText" text="D">
      <formula>NOT(ISERROR(SEARCH(("D"),(AI30))))</formula>
    </cfRule>
  </conditionalFormatting>
  <conditionalFormatting sqref="AJ30:AJ69">
    <cfRule type="containsText" dxfId="5" priority="134" operator="containsText" text="A">
      <formula>NOT(ISERROR(SEARCH(("A"),(AJ30))))</formula>
    </cfRule>
  </conditionalFormatting>
  <conditionalFormatting sqref="AJ30:AJ69">
    <cfRule type="containsText" dxfId="4" priority="135" operator="containsText" text="B">
      <formula>NOT(ISERROR(SEARCH(("B"),(AJ30))))</formula>
    </cfRule>
  </conditionalFormatting>
  <conditionalFormatting sqref="AJ30:AJ69">
    <cfRule type="containsText" dxfId="5" priority="136" operator="containsText" text="C">
      <formula>NOT(ISERROR(SEARCH(("C"),(AJ30))))</formula>
    </cfRule>
  </conditionalFormatting>
  <conditionalFormatting sqref="AJ30:AJ69">
    <cfRule type="containsText" dxfId="5" priority="137" operator="containsText" text="D">
      <formula>NOT(ISERROR(SEARCH(("D"),(AJ30))))</formula>
    </cfRule>
  </conditionalFormatting>
  <conditionalFormatting sqref="AK30:AK69">
    <cfRule type="containsText" dxfId="5" priority="138" operator="containsText" text="A">
      <formula>NOT(ISERROR(SEARCH(("A"),(AK30))))</formula>
    </cfRule>
  </conditionalFormatting>
  <conditionalFormatting sqref="AK30:AK69">
    <cfRule type="containsText" dxfId="5" priority="139" operator="containsText" text="B">
      <formula>NOT(ISERROR(SEARCH(("B"),(AK30))))</formula>
    </cfRule>
  </conditionalFormatting>
  <conditionalFormatting sqref="AK30:AK69">
    <cfRule type="containsText" dxfId="5" priority="140" operator="containsText" text="C">
      <formula>NOT(ISERROR(SEARCH(("C"),(AK30))))</formula>
    </cfRule>
  </conditionalFormatting>
  <conditionalFormatting sqref="AK30:AK69">
    <cfRule type="containsText" dxfId="4" priority="141" operator="containsText" text="D">
      <formula>NOT(ISERROR(SEARCH(("D"),(AK30))))</formula>
    </cfRule>
  </conditionalFormatting>
  <conditionalFormatting sqref="AL30:AL69">
    <cfRule type="containsText" dxfId="4" priority="142" operator="containsText" text="A">
      <formula>NOT(ISERROR(SEARCH(("A"),(AL30))))</formula>
    </cfRule>
  </conditionalFormatting>
  <conditionalFormatting sqref="AL30:AL69">
    <cfRule type="containsText" dxfId="5" priority="143" operator="containsText" text="B">
      <formula>NOT(ISERROR(SEARCH(("B"),(AL30))))</formula>
    </cfRule>
  </conditionalFormatting>
  <conditionalFormatting sqref="AL30:AL69">
    <cfRule type="containsText" dxfId="5" priority="144" operator="containsText" text="C">
      <formula>NOT(ISERROR(SEARCH(("C"),(AL30))))</formula>
    </cfRule>
  </conditionalFormatting>
  <conditionalFormatting sqref="AL30:AL69">
    <cfRule type="containsText" dxfId="5" priority="145" operator="containsText" text="D">
      <formula>NOT(ISERROR(SEARCH(("D"),(AL30))))</formula>
    </cfRule>
  </conditionalFormatting>
  <conditionalFormatting sqref="AM30:AM69">
    <cfRule type="containsText" dxfId="5" priority="146" operator="containsText" text="A">
      <formula>NOT(ISERROR(SEARCH(("A"),(AM30))))</formula>
    </cfRule>
  </conditionalFormatting>
  <conditionalFormatting sqref="AM30:AM69">
    <cfRule type="containsText" dxfId="5" priority="147" operator="containsText" text="B">
      <formula>NOT(ISERROR(SEARCH(("B"),(AM30))))</formula>
    </cfRule>
  </conditionalFormatting>
  <conditionalFormatting sqref="AM30:AM69">
    <cfRule type="containsText" dxfId="4" priority="148" operator="containsText" text="C">
      <formula>NOT(ISERROR(SEARCH(("C"),(AM30))))</formula>
    </cfRule>
  </conditionalFormatting>
  <conditionalFormatting sqref="AM30:AM69">
    <cfRule type="containsText" dxfId="5" priority="149" operator="containsText" text="D">
      <formula>NOT(ISERROR(SEARCH(("D"),(AM30))))</formula>
    </cfRule>
  </conditionalFormatting>
  <conditionalFormatting sqref="AN30:AN69">
    <cfRule type="containsText" dxfId="5" priority="150" operator="containsText" text="A">
      <formula>NOT(ISERROR(SEARCH(("A"),(AN30))))</formula>
    </cfRule>
  </conditionalFormatting>
  <conditionalFormatting sqref="AN30:AN69">
    <cfRule type="containsText" dxfId="4" priority="151" operator="containsText" text="B">
      <formula>NOT(ISERROR(SEARCH(("B"),(AN30))))</formula>
    </cfRule>
  </conditionalFormatting>
  <conditionalFormatting sqref="AN30:AN69">
    <cfRule type="containsText" dxfId="5" priority="152" operator="containsText" text="C">
      <formula>NOT(ISERROR(SEARCH(("C"),(AN30))))</formula>
    </cfRule>
  </conditionalFormatting>
  <conditionalFormatting sqref="AN30:AN69">
    <cfRule type="containsText" dxfId="5" priority="153" operator="containsText" text="D">
      <formula>NOT(ISERROR(SEARCH(("D"),(AN30))))</formula>
    </cfRule>
  </conditionalFormatting>
  <conditionalFormatting sqref="AO30:AO69">
    <cfRule type="containsText" dxfId="5" priority="154" operator="containsText" text="A">
      <formula>NOT(ISERROR(SEARCH(("A"),(AO30))))</formula>
    </cfRule>
  </conditionalFormatting>
  <conditionalFormatting sqref="AO30:AO69">
    <cfRule type="containsText" dxfId="5" priority="155" operator="containsText" text="B">
      <formula>NOT(ISERROR(SEARCH(("B"),(AO30))))</formula>
    </cfRule>
  </conditionalFormatting>
  <conditionalFormatting sqref="AO30:AO69">
    <cfRule type="containsText" dxfId="5" priority="156" operator="containsText" text="C">
      <formula>NOT(ISERROR(SEARCH(("C"),(AO30))))</formula>
    </cfRule>
  </conditionalFormatting>
  <conditionalFormatting sqref="AO30:AO69">
    <cfRule type="containsText" dxfId="4" priority="157" operator="containsText" text="D">
      <formula>NOT(ISERROR(SEARCH(("D"),(AO30))))</formula>
    </cfRule>
  </conditionalFormatting>
  <conditionalFormatting sqref="AP30:AP69">
    <cfRule type="containsText" dxfId="5" priority="158" operator="containsText" text="A">
      <formula>NOT(ISERROR(SEARCH(("A"),(AP30))))</formula>
    </cfRule>
  </conditionalFormatting>
  <conditionalFormatting sqref="AP30:AP69">
    <cfRule type="containsText" dxfId="4" priority="159" operator="containsText" text="B">
      <formula>NOT(ISERROR(SEARCH(("B"),(AP30))))</formula>
    </cfRule>
  </conditionalFormatting>
  <conditionalFormatting sqref="AP30:AP69">
    <cfRule type="containsText" dxfId="5" priority="160" operator="containsText" text="C">
      <formula>NOT(ISERROR(SEARCH(("C"),(AP30))))</formula>
    </cfRule>
  </conditionalFormatting>
  <conditionalFormatting sqref="AP30:AP69">
    <cfRule type="containsText" dxfId="5" priority="161" operator="containsText" text="D">
      <formula>NOT(ISERROR(SEARCH(("D"),(AP30))))</formula>
    </cfRule>
  </conditionalFormatting>
  <conditionalFormatting sqref="AQ30:AQ69">
    <cfRule type="containsText" dxfId="5" priority="162" operator="containsText" text="A">
      <formula>NOT(ISERROR(SEARCH(("A"),(AQ30))))</formula>
    </cfRule>
  </conditionalFormatting>
  <conditionalFormatting sqref="AQ30:AQ69">
    <cfRule type="containsText" dxfId="5" priority="163" operator="containsText" text="B">
      <formula>NOT(ISERROR(SEARCH(("B"),(AQ30))))</formula>
    </cfRule>
  </conditionalFormatting>
  <conditionalFormatting sqref="AQ30:AQ69">
    <cfRule type="containsText" dxfId="4" priority="164" operator="containsText" text="C">
      <formula>NOT(ISERROR(SEARCH(("C"),(AQ30))))</formula>
    </cfRule>
  </conditionalFormatting>
  <conditionalFormatting sqref="AQ30:AQ69">
    <cfRule type="containsText" dxfId="5" priority="165" operator="containsText" text="D">
      <formula>NOT(ISERROR(SEARCH(("D"),(AQ30))))</formula>
    </cfRule>
  </conditionalFormatting>
  <conditionalFormatting sqref="AR30:AR69">
    <cfRule type="containsText" dxfId="4" priority="166" operator="containsText" text="A">
      <formula>NOT(ISERROR(SEARCH(("A"),(AR30))))</formula>
    </cfRule>
  </conditionalFormatting>
  <conditionalFormatting sqref="AR30:AR69">
    <cfRule type="containsText" dxfId="5" priority="167" operator="containsText" text="B">
      <formula>NOT(ISERROR(SEARCH(("B"),(AR30))))</formula>
    </cfRule>
  </conditionalFormatting>
  <conditionalFormatting sqref="AR30:AR69">
    <cfRule type="containsText" dxfId="5" priority="168" operator="containsText" text="C">
      <formula>NOT(ISERROR(SEARCH(("C"),(AR30))))</formula>
    </cfRule>
  </conditionalFormatting>
  <conditionalFormatting sqref="AR30:AR69">
    <cfRule type="containsText" dxfId="5" priority="169" operator="containsText" text="D">
      <formula>NOT(ISERROR(SEARCH(("D"),(AR30))))</formula>
    </cfRule>
  </conditionalFormatting>
  <conditionalFormatting sqref="AS30:AS69">
    <cfRule type="containsText" dxfId="5" priority="170" operator="containsText" text="A">
      <formula>NOT(ISERROR(SEARCH(("A"),(AS30))))</formula>
    </cfRule>
  </conditionalFormatting>
  <conditionalFormatting sqref="AS30:AS69">
    <cfRule type="containsText" dxfId="4" priority="171" operator="containsText" text="B">
      <formula>NOT(ISERROR(SEARCH(("B"),(AS30))))</formula>
    </cfRule>
  </conditionalFormatting>
  <conditionalFormatting sqref="AS30:AS69">
    <cfRule type="containsText" dxfId="5" priority="172" operator="containsText" text="C">
      <formula>NOT(ISERROR(SEARCH(("C"),(AS30))))</formula>
    </cfRule>
  </conditionalFormatting>
  <conditionalFormatting sqref="AS30:AS69">
    <cfRule type="containsText" dxfId="5" priority="173" operator="containsText" text="D">
      <formula>NOT(ISERROR(SEARCH(("D"),(AS30))))</formula>
    </cfRule>
  </conditionalFormatting>
  <conditionalFormatting sqref="AT30:AT69">
    <cfRule type="containsText" dxfId="5" priority="174" operator="containsText" text="A">
      <formula>NOT(ISERROR(SEARCH(("A"),(AT30))))</formula>
    </cfRule>
  </conditionalFormatting>
  <conditionalFormatting sqref="AT30:AT69">
    <cfRule type="containsText" dxfId="5" priority="175" operator="containsText" text="B">
      <formula>NOT(ISERROR(SEARCH(("B"),(AT30))))</formula>
    </cfRule>
  </conditionalFormatting>
  <conditionalFormatting sqref="AT30:AT69">
    <cfRule type="containsText" dxfId="4" priority="176" operator="containsText" text="C">
      <formula>NOT(ISERROR(SEARCH(("C"),(AT30))))</formula>
    </cfRule>
  </conditionalFormatting>
  <conditionalFormatting sqref="AT30:AT69">
    <cfRule type="containsText" dxfId="5" priority="177" operator="containsText" text="D">
      <formula>NOT(ISERROR(SEARCH(("D"),(AT30))))</formula>
    </cfRule>
  </conditionalFormatting>
  <conditionalFormatting sqref="AU30:AU69">
    <cfRule type="containsText" dxfId="5" priority="178" operator="containsText" text="A">
      <formula>NOT(ISERROR(SEARCH(("A"),(AU30))))</formula>
    </cfRule>
  </conditionalFormatting>
  <conditionalFormatting sqref="AU30:AU69">
    <cfRule type="containsText" dxfId="5" priority="179" operator="containsText" text="B">
      <formula>NOT(ISERROR(SEARCH(("B"),(AU30))))</formula>
    </cfRule>
  </conditionalFormatting>
  <conditionalFormatting sqref="AU30:AU69">
    <cfRule type="containsText" dxfId="5" priority="180" operator="containsText" text="C">
      <formula>NOT(ISERROR(SEARCH(("C"),(AU30))))</formula>
    </cfRule>
  </conditionalFormatting>
  <conditionalFormatting sqref="AU30:AU69">
    <cfRule type="containsText" dxfId="4" priority="181" operator="containsText" text="D">
      <formula>NOT(ISERROR(SEARCH(("D"),(AU30))))</formula>
    </cfRule>
  </conditionalFormatting>
  <conditionalFormatting sqref="AV30:AV69">
    <cfRule type="containsText" dxfId="5" priority="182" operator="containsText" text="A">
      <formula>NOT(ISERROR(SEARCH(("A"),(AV30))))</formula>
    </cfRule>
  </conditionalFormatting>
  <conditionalFormatting sqref="AV30:AV69">
    <cfRule type="containsText" dxfId="5" priority="183" operator="containsText" text="B">
      <formula>NOT(ISERROR(SEARCH(("B"),(AV30))))</formula>
    </cfRule>
  </conditionalFormatting>
  <conditionalFormatting sqref="AV30:AV69">
    <cfRule type="containsText" dxfId="5" priority="184" operator="containsText" text="C">
      <formula>NOT(ISERROR(SEARCH(("C"),(AV30))))</formula>
    </cfRule>
  </conditionalFormatting>
  <conditionalFormatting sqref="AV30:AV69">
    <cfRule type="containsText" dxfId="4" priority="185" operator="containsText" text="D">
      <formula>NOT(ISERROR(SEARCH(("D"),(AV30))))</formula>
    </cfRule>
  </conditionalFormatting>
  <conditionalFormatting sqref="AW30:AW69">
    <cfRule type="containsText" dxfId="5" priority="186" operator="containsText" text="A">
      <formula>NOT(ISERROR(SEARCH(("A"),(AW30))))</formula>
    </cfRule>
  </conditionalFormatting>
  <conditionalFormatting sqref="AW30:AW69">
    <cfRule type="containsText" dxfId="5" priority="187" operator="containsText" text="B">
      <formula>NOT(ISERROR(SEARCH(("B"),(AW30))))</formula>
    </cfRule>
  </conditionalFormatting>
  <conditionalFormatting sqref="AW30:AW69">
    <cfRule type="containsText" dxfId="4" priority="188" operator="containsText" text="C">
      <formula>NOT(ISERROR(SEARCH(("C"),(AW30))))</formula>
    </cfRule>
  </conditionalFormatting>
  <conditionalFormatting sqref="AW30:AW69">
    <cfRule type="containsText" dxfId="5" priority="189" operator="containsText" text="D">
      <formula>NOT(ISERROR(SEARCH(("D"),(AW30))))</formula>
    </cfRule>
  </conditionalFormatting>
  <conditionalFormatting sqref="AX30:AX69">
    <cfRule type="containsText" dxfId="5" priority="190" operator="containsText" text="A">
      <formula>NOT(ISERROR(SEARCH(("A"),(AX30))))</formula>
    </cfRule>
  </conditionalFormatting>
  <conditionalFormatting sqref="AX30:AX69">
    <cfRule type="containsText" dxfId="4" priority="191" operator="containsText" text="B">
      <formula>NOT(ISERROR(SEARCH(("B"),(AX30))))</formula>
    </cfRule>
  </conditionalFormatting>
  <conditionalFormatting sqref="AX30:AX69">
    <cfRule type="containsText" dxfId="5" priority="192" operator="containsText" text="C">
      <formula>NOT(ISERROR(SEARCH(("C"),(AX30))))</formula>
    </cfRule>
  </conditionalFormatting>
  <conditionalFormatting sqref="AX30:AX69">
    <cfRule type="containsText" dxfId="5" priority="193" operator="containsText" text="D">
      <formula>NOT(ISERROR(SEARCH(("D"),(AX30))))</formula>
    </cfRule>
  </conditionalFormatting>
  <conditionalFormatting sqref="AY30:AY68">
    <cfRule type="containsText" dxfId="5" priority="194" operator="containsText" text="A">
      <formula>NOT(ISERROR(SEARCH(("A"),(AY30))))</formula>
    </cfRule>
  </conditionalFormatting>
  <conditionalFormatting sqref="AY30:AY68">
    <cfRule type="containsText" dxfId="4" priority="195" operator="containsText" text="B">
      <formula>NOT(ISERROR(SEARCH(("B"),(AY30))))</formula>
    </cfRule>
  </conditionalFormatting>
  <conditionalFormatting sqref="AY30:AY68">
    <cfRule type="containsText" dxfId="5" priority="196" operator="containsText" text="C">
      <formula>NOT(ISERROR(SEARCH(("C"),(AY30))))</formula>
    </cfRule>
  </conditionalFormatting>
  <conditionalFormatting sqref="AY30:AY68">
    <cfRule type="containsText" dxfId="5" priority="197" operator="containsText" text="D">
      <formula>NOT(ISERROR(SEARCH(("D"),(AY30))))</formula>
    </cfRule>
  </conditionalFormatting>
  <conditionalFormatting sqref="AZ30:AZ69">
    <cfRule type="containsText" dxfId="5" priority="198" operator="containsText" text="A">
      <formula>NOT(ISERROR(SEARCH(("A"),(AZ30))))</formula>
    </cfRule>
  </conditionalFormatting>
  <conditionalFormatting sqref="AZ30:AZ69">
    <cfRule type="containsText" dxfId="5" priority="199" operator="containsText" text="B">
      <formula>NOT(ISERROR(SEARCH(("B"),(AZ30))))</formula>
    </cfRule>
  </conditionalFormatting>
  <conditionalFormatting sqref="AZ30:AZ69">
    <cfRule type="containsText" dxfId="5" priority="200" operator="containsText" text="C">
      <formula>NOT(ISERROR(SEARCH(("C"),(AZ30))))</formula>
    </cfRule>
  </conditionalFormatting>
  <conditionalFormatting sqref="AZ30:AZ69">
    <cfRule type="containsText" dxfId="4" priority="201" operator="containsText" text="D">
      <formula>NOT(ISERROR(SEARCH(("D"),(AZ30))))</formula>
    </cfRule>
  </conditionalFormatting>
  <conditionalFormatting sqref="BA30:BA69">
    <cfRule type="containsText" dxfId="5" priority="202" operator="containsText" text="A">
      <formula>NOT(ISERROR(SEARCH(("A"),(BA30))))</formula>
    </cfRule>
  </conditionalFormatting>
  <conditionalFormatting sqref="BA30:BA69">
    <cfRule type="containsText" dxfId="5" priority="203" operator="containsText" text="B">
      <formula>NOT(ISERROR(SEARCH(("B"),(BA30))))</formula>
    </cfRule>
  </conditionalFormatting>
  <conditionalFormatting sqref="BA30:BA69">
    <cfRule type="containsText" dxfId="4" priority="204" operator="containsText" text="C">
      <formula>NOT(ISERROR(SEARCH(("C"),(BA30))))</formula>
    </cfRule>
  </conditionalFormatting>
  <conditionalFormatting sqref="BA30:BA69">
    <cfRule type="containsText" dxfId="5" priority="205" operator="containsText" text="D">
      <formula>NOT(ISERROR(SEARCH(("D"),(BA30))))</formula>
    </cfRule>
  </conditionalFormatting>
  <conditionalFormatting sqref="BB30:BB69">
    <cfRule type="containsText" dxfId="5" priority="206" operator="containsText" text="A">
      <formula>NOT(ISERROR(SEARCH(("A"),(BB30))))</formula>
    </cfRule>
  </conditionalFormatting>
  <conditionalFormatting sqref="BB30:BB69">
    <cfRule type="containsText" dxfId="5" priority="207" operator="containsText" text="B">
      <formula>NOT(ISERROR(SEARCH(("B"),(BB30))))</formula>
    </cfRule>
  </conditionalFormatting>
  <conditionalFormatting sqref="BB30:BB69">
    <cfRule type="containsText" dxfId="5" priority="208" operator="containsText" text="C">
      <formula>NOT(ISERROR(SEARCH(("C"),(BB30))))</formula>
    </cfRule>
  </conditionalFormatting>
  <conditionalFormatting sqref="BB30:BB69">
    <cfRule type="containsText" dxfId="4" priority="209" operator="containsText" text="D">
      <formula>NOT(ISERROR(SEARCH(("D"),(BB30))))</formula>
    </cfRule>
  </conditionalFormatting>
  <conditionalFormatting sqref="BD30:BH69">
    <cfRule type="containsBlanks" dxfId="6" priority="210">
      <formula>LEN(TRIM(BD30))=0</formula>
    </cfRule>
  </conditionalFormatting>
  <conditionalFormatting sqref="BJ30:BJ69">
    <cfRule type="containsBlanks" dxfId="6" priority="211">
      <formula>LEN(TRIM(BJ30))=0</formula>
    </cfRule>
  </conditionalFormatting>
  <conditionalFormatting sqref="K30:K69">
    <cfRule type="containsText" dxfId="4" priority="212" operator="containsText" text="A">
      <formula>NOT(ISERROR(SEARCH(("A"),(K30))))</formula>
    </cfRule>
  </conditionalFormatting>
  <conditionalFormatting sqref="K30:K69">
    <cfRule type="containsText" dxfId="5" priority="213" operator="containsText" text="B">
      <formula>NOT(ISERROR(SEARCH(("B"),(K30))))</formula>
    </cfRule>
  </conditionalFormatting>
  <conditionalFormatting sqref="K30:K69">
    <cfRule type="containsText" dxfId="5" priority="214" operator="containsText" text="C">
      <formula>NOT(ISERROR(SEARCH(("C"),(K30))))</formula>
    </cfRule>
  </conditionalFormatting>
  <conditionalFormatting sqref="K30:K69">
    <cfRule type="containsText" dxfId="5" priority="215" operator="containsText" text="D">
      <formula>NOT(ISERROR(SEARCH(("D"),(K30))))</formula>
    </cfRule>
  </conditionalFormatting>
  <conditionalFormatting sqref="D30:D69">
    <cfRule type="containsText" dxfId="4" priority="216" operator="containsText" text="A">
      <formula>NOT(ISERROR(SEARCH(("A"),(D30))))</formula>
    </cfRule>
  </conditionalFormatting>
  <conditionalFormatting sqref="D30:D69">
    <cfRule type="containsText" dxfId="5" priority="217" operator="containsText" text="B">
      <formula>NOT(ISERROR(SEARCH(("B"),(D30))))</formula>
    </cfRule>
  </conditionalFormatting>
  <conditionalFormatting sqref="D30:D69">
    <cfRule type="containsText" dxfId="5" priority="218" operator="containsText" text="C">
      <formula>NOT(ISERROR(SEARCH(("C"),(D30))))</formula>
    </cfRule>
  </conditionalFormatting>
  <conditionalFormatting sqref="D30:D69">
    <cfRule type="containsText" dxfId="5" priority="219" operator="containsText" text="D">
      <formula>NOT(ISERROR(SEARCH(("D"),(D30))))</formula>
    </cfRule>
  </conditionalFormatting>
  <conditionalFormatting sqref="E30:E69">
    <cfRule type="containsText" dxfId="4" priority="220" operator="containsText" text="A">
      <formula>NOT(ISERROR(SEARCH(("A"),(E30))))</formula>
    </cfRule>
  </conditionalFormatting>
  <conditionalFormatting sqref="E30:E69">
    <cfRule type="containsText" dxfId="5" priority="221" operator="containsText" text="B">
      <formula>NOT(ISERROR(SEARCH(("B"),(E30))))</formula>
    </cfRule>
  </conditionalFormatting>
  <conditionalFormatting sqref="E30:E69">
    <cfRule type="containsText" dxfId="5" priority="222" operator="containsText" text="C">
      <formula>NOT(ISERROR(SEARCH(("C"),(E30))))</formula>
    </cfRule>
  </conditionalFormatting>
  <conditionalFormatting sqref="E30:E69">
    <cfRule type="containsText" dxfId="5" priority="223" operator="containsText" text="D">
      <formula>NOT(ISERROR(SEARCH(("D"),(E30))))</formula>
    </cfRule>
  </conditionalFormatting>
  <hyperlinks>
    <hyperlink r:id="rId1" ref="A22"/>
  </hyperlinks>
  <printOptions gridLines="1" horizontalCentered="1"/>
  <pageMargins bottom="0.75" footer="0.0" header="0.0" left="0.7" right="0.7" top="0.75"/>
  <pageSetup fitToHeight="0" paperSize="9" cellComments="atEnd" orientation="portrait" pageOrder="overThenDown"/>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54" width="4.75"/>
    <col customWidth="1" min="55" max="55" width="2.88"/>
    <col customWidth="1" min="56" max="57" width="4.13"/>
    <col customWidth="1" min="58" max="58" width="4.25"/>
    <col customWidth="1" min="59" max="59" width="4.63"/>
    <col customWidth="1" min="60" max="60" width="4.75"/>
    <col customWidth="1" min="61" max="61" width="4.25"/>
    <col customWidth="1" min="62" max="62" width="14.13"/>
    <col customWidth="1" min="63" max="63" width="1.88"/>
    <col customWidth="1" min="64" max="64" width="5.25"/>
    <col customWidth="1" min="65" max="65" width="5.0"/>
    <col customWidth="1" min="66" max="66" width="14.13"/>
    <col customWidth="1" min="67" max="67" width="5.13"/>
    <col customWidth="1" min="68" max="68" width="4.75"/>
    <col customWidth="1" min="69" max="69" width="15.75"/>
    <col customWidth="1" min="70" max="70"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c r="BL1" s="3"/>
      <c r="BM1" s="3"/>
      <c r="BN1" s="3"/>
      <c r="BO1" s="3"/>
      <c r="BP1" s="3"/>
      <c r="BQ1" s="3"/>
      <c r="BR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c r="BL2" s="3"/>
      <c r="BM2" s="3"/>
      <c r="BN2" s="3"/>
      <c r="BO2" s="3"/>
      <c r="BP2" s="3"/>
      <c r="BQ2" s="3"/>
      <c r="BR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c r="BL3" s="3"/>
      <c r="BM3" s="3"/>
      <c r="BN3" s="3"/>
      <c r="BO3" s="3"/>
      <c r="BP3" s="3"/>
      <c r="BQ3" s="3"/>
      <c r="BR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c r="BL4" s="3"/>
      <c r="BM4" s="3"/>
      <c r="BN4" s="3"/>
      <c r="BO4" s="3"/>
      <c r="BP4" s="3"/>
      <c r="BQ4" s="3"/>
      <c r="BR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c r="BL5" s="3"/>
      <c r="BM5" s="3"/>
      <c r="BN5" s="3"/>
      <c r="BO5" s="3"/>
      <c r="BP5" s="3"/>
      <c r="BQ5" s="3"/>
      <c r="BR5" s="3"/>
    </row>
    <row r="6" ht="25.5" customHeight="1">
      <c r="A6" s="1"/>
      <c r="B6" s="1"/>
      <c r="C6" s="1"/>
      <c r="D6" s="5" t="s">
        <v>0</v>
      </c>
      <c r="BF6" s="4"/>
      <c r="BG6" s="4"/>
      <c r="BH6" s="4"/>
      <c r="BI6" s="3"/>
      <c r="BJ6" s="3"/>
      <c r="BK6" s="3"/>
      <c r="BL6" s="3"/>
      <c r="BM6" s="3"/>
      <c r="BN6" s="3"/>
      <c r="BO6" s="3"/>
      <c r="BP6" s="3"/>
      <c r="BQ6" s="3"/>
      <c r="BR6" s="3"/>
    </row>
    <row r="7" ht="25.5" customHeight="1">
      <c r="A7" s="1"/>
      <c r="B7" s="1"/>
      <c r="C7" s="1"/>
      <c r="BF7" s="4"/>
      <c r="BG7" s="4"/>
      <c r="BH7" s="4"/>
      <c r="BI7" s="3"/>
      <c r="BJ7" s="3"/>
      <c r="BK7" s="3"/>
      <c r="BL7" s="3"/>
      <c r="BM7" s="3"/>
      <c r="BN7" s="3"/>
      <c r="BO7" s="3"/>
      <c r="BP7" s="3"/>
      <c r="BQ7" s="3"/>
      <c r="BR7" s="3"/>
    </row>
    <row r="8" ht="25.5" customHeight="1">
      <c r="A8" s="1"/>
      <c r="B8" s="1"/>
      <c r="C8" s="1"/>
      <c r="BF8" s="4"/>
      <c r="BG8" s="4"/>
      <c r="BH8" s="4"/>
      <c r="BI8" s="3"/>
      <c r="BJ8" s="3"/>
      <c r="BK8" s="3"/>
      <c r="BL8" s="3"/>
      <c r="BM8" s="3"/>
      <c r="BN8" s="3"/>
      <c r="BO8" s="3"/>
      <c r="BP8" s="3"/>
      <c r="BQ8" s="3"/>
      <c r="BR8" s="3"/>
    </row>
    <row r="9" ht="25.5" customHeight="1">
      <c r="A9" s="1"/>
      <c r="B9" s="1"/>
      <c r="C9" s="1"/>
      <c r="D9" s="6" t="s">
        <v>1</v>
      </c>
      <c r="BF9" s="4"/>
      <c r="BG9" s="4"/>
      <c r="BH9" s="4"/>
      <c r="BI9" s="3"/>
      <c r="BJ9" s="3"/>
      <c r="BK9" s="3"/>
      <c r="BL9" s="3"/>
      <c r="BM9" s="3"/>
      <c r="BN9" s="3"/>
      <c r="BO9" s="3"/>
      <c r="BP9" s="3"/>
      <c r="BQ9" s="3"/>
      <c r="BR9" s="3"/>
    </row>
    <row r="10" ht="25.5" customHeight="1">
      <c r="A10" s="1"/>
      <c r="B10" s="1"/>
      <c r="C10" s="1"/>
      <c r="BF10" s="4"/>
      <c r="BG10" s="4"/>
      <c r="BH10" s="4"/>
      <c r="BI10" s="3"/>
      <c r="BJ10" s="3"/>
      <c r="BK10" s="3"/>
      <c r="BL10" s="3"/>
      <c r="BM10" s="3"/>
      <c r="BN10" s="3"/>
      <c r="BO10" s="3"/>
      <c r="BP10" s="3"/>
      <c r="BQ10" s="3"/>
      <c r="BR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c r="BL11" s="3"/>
      <c r="BM11" s="3"/>
      <c r="BN11" s="3"/>
      <c r="BO11" s="3"/>
      <c r="BP11" s="3"/>
      <c r="BQ11" s="3"/>
      <c r="BR11" s="3"/>
    </row>
    <row r="12" ht="25.5" customHeight="1">
      <c r="A12" s="1"/>
      <c r="B12" s="1"/>
      <c r="C12" s="1"/>
      <c r="D12" s="8" t="s">
        <v>2</v>
      </c>
      <c r="BF12" s="4"/>
      <c r="BG12" s="4"/>
      <c r="BH12" s="4"/>
      <c r="BI12" s="3"/>
      <c r="BJ12" s="3"/>
      <c r="BK12" s="3"/>
      <c r="BL12" s="3"/>
      <c r="BM12" s="3"/>
      <c r="BN12" s="3"/>
      <c r="BO12" s="3"/>
      <c r="BP12" s="3"/>
      <c r="BQ12" s="3"/>
      <c r="BR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D13" s="3"/>
      <c r="BE13" s="3"/>
      <c r="BF13" s="3"/>
      <c r="BG13" s="3"/>
      <c r="BH13" s="3"/>
      <c r="BI13" s="3"/>
      <c r="BJ13" s="4"/>
      <c r="BK13" s="4"/>
      <c r="BL13" s="4"/>
      <c r="BM13" s="4"/>
      <c r="BN13" s="4"/>
      <c r="BO13" s="4"/>
      <c r="BP13" s="4"/>
      <c r="BQ13" s="3"/>
      <c r="BR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D14" s="3"/>
      <c r="BE14" s="3"/>
      <c r="BF14" s="3"/>
      <c r="BG14" s="3"/>
      <c r="BH14" s="3"/>
      <c r="BI14" s="3"/>
      <c r="BJ14" s="4"/>
      <c r="BK14" s="4"/>
      <c r="BL14" s="4"/>
      <c r="BM14" s="4"/>
      <c r="BN14" s="4"/>
      <c r="BO14" s="4"/>
      <c r="BP14" s="4"/>
      <c r="BQ14" s="3"/>
      <c r="BR14" s="3"/>
    </row>
    <row r="15" ht="25.5" customHeight="1">
      <c r="A15" s="15" t="s">
        <v>117</v>
      </c>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D15" s="3"/>
      <c r="BE15" s="3"/>
      <c r="BF15" s="3"/>
      <c r="BG15" s="3"/>
      <c r="BH15" s="3"/>
      <c r="BI15" s="3"/>
      <c r="BJ15" s="4"/>
      <c r="BK15" s="4"/>
      <c r="BL15" s="4"/>
      <c r="BM15" s="4"/>
      <c r="BN15" s="4"/>
      <c r="BO15" s="4"/>
      <c r="BP15" s="4"/>
      <c r="BQ15" s="3"/>
      <c r="BR15" s="3"/>
    </row>
    <row r="16" ht="25.5" customHeight="1">
      <c r="A16" s="13"/>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D16" s="3"/>
      <c r="BE16" s="3"/>
      <c r="BF16" s="3"/>
      <c r="BG16" s="3"/>
      <c r="BH16" s="3"/>
      <c r="BI16" s="3"/>
      <c r="BJ16" s="4"/>
      <c r="BK16" s="4"/>
      <c r="BL16" s="4"/>
      <c r="BM16" s="4"/>
      <c r="BN16" s="4"/>
      <c r="BO16" s="4"/>
      <c r="BP16" s="4"/>
      <c r="BQ16" s="3"/>
      <c r="BR16" s="3"/>
    </row>
    <row r="17" ht="21.0" customHeight="1">
      <c r="A17" s="16" t="s">
        <v>4</v>
      </c>
      <c r="C17" s="18">
        <f>COUNTA(B30:B69)</f>
        <v>22</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D17" s="3"/>
      <c r="BE17" s="3"/>
      <c r="BF17" s="3"/>
      <c r="BG17" s="3"/>
      <c r="BH17" s="3"/>
      <c r="BI17" s="3"/>
      <c r="BJ17" s="4"/>
      <c r="BK17" s="4"/>
      <c r="BL17" s="4"/>
      <c r="BM17" s="4"/>
      <c r="BN17" s="4"/>
      <c r="BO17" s="4"/>
      <c r="BP17" s="4"/>
      <c r="BQ17" s="3"/>
      <c r="BR17" s="3"/>
    </row>
    <row r="18" ht="21.75" customHeight="1">
      <c r="A18" s="16" t="s">
        <v>5</v>
      </c>
      <c r="C18" s="18">
        <f>SUMPRODUCT(LEN(D30:D69) - LEN(SUBSTITUTE(SUBSTITUTE(SUBSTITUTE(SUBSTITUTE(SUBSTITUTE(D30:D69,"A",""),"B",""),"C",""),"D",""),"X","")))</f>
        <v>17</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D18" s="3"/>
      <c r="BE18" s="3"/>
      <c r="BF18" s="3"/>
      <c r="BG18" s="3"/>
      <c r="BH18" s="3"/>
      <c r="BI18" s="3"/>
      <c r="BJ18" s="4"/>
      <c r="BK18" s="4"/>
      <c r="BL18" s="4"/>
      <c r="BM18" s="4"/>
      <c r="BN18" s="4"/>
      <c r="BO18" s="4"/>
      <c r="BP18" s="4"/>
      <c r="BQ18" s="3"/>
      <c r="BR18" s="3"/>
    </row>
    <row r="19" ht="21.0" customHeight="1">
      <c r="A19" s="16" t="s">
        <v>6</v>
      </c>
      <c r="C19" s="18">
        <f>COUNTIF(D30:D69,"F")</f>
        <v>5</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D19" s="3"/>
      <c r="BE19" s="3"/>
      <c r="BF19" s="3"/>
      <c r="BG19" s="3"/>
      <c r="BH19" s="3"/>
      <c r="BI19" s="3"/>
      <c r="BJ19" s="4"/>
      <c r="BK19" s="4"/>
      <c r="BL19" s="4"/>
      <c r="BM19" s="4"/>
      <c r="BN19" s="4"/>
      <c r="BO19" s="4"/>
      <c r="BP19" s="4"/>
      <c r="BQ19" s="3"/>
      <c r="BR19" s="3"/>
    </row>
    <row r="20" ht="24.0" customHeight="1">
      <c r="A20" s="16" t="s">
        <v>7</v>
      </c>
      <c r="C20" s="18">
        <f>COUNTIF(C30:C69,"SIM")</f>
        <v>0</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D20" s="3"/>
      <c r="BE20" s="3"/>
      <c r="BF20" s="3"/>
      <c r="BG20" s="3"/>
      <c r="BH20" s="3"/>
      <c r="BI20" s="3"/>
      <c r="BJ20" s="4"/>
      <c r="BK20" s="4"/>
      <c r="BL20" s="4"/>
      <c r="BM20" s="4"/>
      <c r="BN20" s="4"/>
      <c r="BO20" s="4"/>
      <c r="BP20" s="4"/>
      <c r="BQ20" s="3"/>
      <c r="BR20" s="3"/>
    </row>
    <row r="21" ht="24.0" customHeight="1">
      <c r="A21" s="16"/>
      <c r="B21" s="19"/>
      <c r="C21" s="21"/>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D21" s="3"/>
      <c r="BE21" s="3"/>
      <c r="BF21" s="3"/>
      <c r="BG21" s="3"/>
      <c r="BH21" s="3"/>
      <c r="BI21" s="3"/>
      <c r="BJ21" s="4"/>
      <c r="BK21" s="4"/>
      <c r="BL21" s="4"/>
      <c r="BM21" s="4"/>
      <c r="BN21" s="4"/>
      <c r="BO21" s="4"/>
      <c r="BP21" s="4"/>
      <c r="BQ21" s="3"/>
      <c r="BR21" s="3"/>
    </row>
    <row r="22" ht="42.0" customHeight="1">
      <c r="A22" s="228" t="s">
        <v>8</v>
      </c>
      <c r="C22" s="14"/>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D22" s="3"/>
      <c r="BE22" s="3"/>
      <c r="BF22" s="3"/>
      <c r="BG22" s="3"/>
      <c r="BH22" s="3"/>
      <c r="BI22" s="3"/>
      <c r="BJ22" s="4"/>
      <c r="BK22" s="4"/>
      <c r="BL22" s="4"/>
      <c r="BM22" s="4"/>
      <c r="BN22" s="4"/>
      <c r="BO22" s="4"/>
      <c r="BP22" s="4"/>
      <c r="BQ22" s="3"/>
      <c r="BR22" s="3"/>
    </row>
    <row r="23" ht="18.75" customHeight="1">
      <c r="A23" s="229"/>
      <c r="B23" s="224"/>
      <c r="C23" s="231"/>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D23" s="3"/>
      <c r="BE23" s="3"/>
      <c r="BF23" s="3"/>
      <c r="BG23" s="3"/>
      <c r="BH23" s="3"/>
      <c r="BI23" s="3"/>
      <c r="BJ23" s="4"/>
      <c r="BK23" s="4"/>
      <c r="BL23" s="4"/>
      <c r="BM23" s="4"/>
      <c r="BN23" s="4"/>
      <c r="BO23" s="4"/>
      <c r="BP23" s="4"/>
      <c r="BQ23" s="3"/>
      <c r="BR23" s="3"/>
    </row>
    <row r="24" ht="139.5"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D24" s="3"/>
      <c r="BE24" s="3"/>
      <c r="BF24" s="3"/>
      <c r="BG24" s="3"/>
      <c r="BH24" s="3"/>
      <c r="BI24" s="3"/>
      <c r="BJ24" s="4"/>
      <c r="BK24" s="4"/>
      <c r="BL24" s="4"/>
      <c r="BM24" s="4"/>
      <c r="BN24" s="4"/>
      <c r="BO24" s="4"/>
      <c r="BP24" s="4"/>
      <c r="BQ24" s="3"/>
      <c r="BR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41"/>
      <c r="BK25" s="236"/>
      <c r="BL25" s="342" t="s">
        <v>155</v>
      </c>
      <c r="BR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29"/>
      <c r="Y26" s="29"/>
      <c r="Z26" s="29"/>
      <c r="AA26" s="29"/>
      <c r="AB26" s="41"/>
      <c r="AC26" s="42" t="s">
        <v>17</v>
      </c>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41"/>
      <c r="BD26" s="346" t="s">
        <v>89</v>
      </c>
      <c r="BK26" s="347"/>
      <c r="BL26" s="348" t="s">
        <v>158</v>
      </c>
      <c r="BN26" s="349"/>
      <c r="BO26" s="350" t="s">
        <v>17</v>
      </c>
      <c r="BR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8" t="s">
        <v>38</v>
      </c>
      <c r="Y27" s="48" t="s">
        <v>40</v>
      </c>
      <c r="Z27" s="48" t="s">
        <v>110</v>
      </c>
      <c r="AA27" s="48" t="s">
        <v>111</v>
      </c>
      <c r="AB27" s="239" t="s">
        <v>112</v>
      </c>
      <c r="AC27" s="50" t="s">
        <v>492</v>
      </c>
      <c r="AD27" s="51" t="s">
        <v>19</v>
      </c>
      <c r="AE27" s="51" t="s">
        <v>20</v>
      </c>
      <c r="AF27" s="51" t="s">
        <v>21</v>
      </c>
      <c r="AG27" s="51" t="s">
        <v>22</v>
      </c>
      <c r="AH27" s="51" t="s">
        <v>23</v>
      </c>
      <c r="AI27" s="51" t="s">
        <v>24</v>
      </c>
      <c r="AJ27" s="51" t="s">
        <v>25</v>
      </c>
      <c r="AK27" s="51" t="s">
        <v>26</v>
      </c>
      <c r="AL27" s="51" t="s">
        <v>27</v>
      </c>
      <c r="AM27" s="51" t="s">
        <v>28</v>
      </c>
      <c r="AN27" s="51" t="s">
        <v>29</v>
      </c>
      <c r="AO27" s="51" t="s">
        <v>30</v>
      </c>
      <c r="AP27" s="51" t="s">
        <v>31</v>
      </c>
      <c r="AQ27" s="51" t="s">
        <v>32</v>
      </c>
      <c r="AR27" s="51" t="s">
        <v>33</v>
      </c>
      <c r="AS27" s="51" t="s">
        <v>34</v>
      </c>
      <c r="AT27" s="51" t="s">
        <v>35</v>
      </c>
      <c r="AU27" s="51" t="s">
        <v>36</v>
      </c>
      <c r="AV27" s="51" t="s">
        <v>37</v>
      </c>
      <c r="AW27" s="51" t="s">
        <v>38</v>
      </c>
      <c r="AX27" s="51" t="s">
        <v>40</v>
      </c>
      <c r="AY27" s="51" t="s">
        <v>110</v>
      </c>
      <c r="AZ27" s="51" t="s">
        <v>111</v>
      </c>
      <c r="BA27" s="51" t="s">
        <v>112</v>
      </c>
      <c r="BB27" s="51" t="s">
        <v>114</v>
      </c>
      <c r="BD27" s="351" t="s">
        <v>160</v>
      </c>
      <c r="BE27" s="351" t="s">
        <v>161</v>
      </c>
      <c r="BF27" s="351" t="s">
        <v>162</v>
      </c>
      <c r="BG27" s="351" t="s">
        <v>163</v>
      </c>
      <c r="BH27" s="351" t="s">
        <v>164</v>
      </c>
      <c r="BI27" s="352" t="s">
        <v>165</v>
      </c>
      <c r="BJ27" s="353" t="s">
        <v>90</v>
      </c>
      <c r="BK27" s="354"/>
      <c r="BL27" s="355" t="s">
        <v>166</v>
      </c>
      <c r="BM27" s="355" t="s">
        <v>167</v>
      </c>
      <c r="BN27" s="356" t="s">
        <v>168</v>
      </c>
      <c r="BO27" s="450" t="s">
        <v>166</v>
      </c>
      <c r="BP27" s="358" t="s">
        <v>167</v>
      </c>
      <c r="BQ27" s="359" t="s">
        <v>168</v>
      </c>
      <c r="BR27" s="360"/>
    </row>
    <row r="28" ht="19.5" hidden="1" customHeight="1">
      <c r="A28" s="47"/>
      <c r="B28" s="14"/>
      <c r="C28" s="14"/>
      <c r="D28" s="451">
        <v>19.0</v>
      </c>
      <c r="E28" s="451">
        <v>9.0</v>
      </c>
      <c r="F28" s="451">
        <v>19.0</v>
      </c>
      <c r="G28" s="451">
        <v>28.0</v>
      </c>
      <c r="H28" s="451">
        <v>19.0</v>
      </c>
      <c r="I28" s="451">
        <v>28.0</v>
      </c>
      <c r="J28" s="451">
        <v>19.0</v>
      </c>
      <c r="K28" s="451">
        <v>0.0</v>
      </c>
      <c r="L28" s="451">
        <v>28.0</v>
      </c>
      <c r="M28" s="451">
        <v>28.0</v>
      </c>
      <c r="N28" s="451">
        <v>19.0</v>
      </c>
      <c r="O28" s="451">
        <v>19.0</v>
      </c>
      <c r="P28" s="451">
        <v>28.0</v>
      </c>
      <c r="Q28" s="451">
        <v>9.0</v>
      </c>
      <c r="R28" s="451">
        <v>0.0</v>
      </c>
      <c r="S28" s="451">
        <v>19.0</v>
      </c>
      <c r="T28" s="451">
        <v>28.0</v>
      </c>
      <c r="U28" s="451">
        <v>19.0</v>
      </c>
      <c r="V28" s="451">
        <v>28.0</v>
      </c>
      <c r="W28" s="451">
        <v>19.0</v>
      </c>
      <c r="X28" s="451">
        <v>19.0</v>
      </c>
      <c r="Y28" s="451">
        <v>28.0</v>
      </c>
      <c r="Z28" s="451">
        <v>19.0</v>
      </c>
      <c r="AA28" s="451">
        <v>19.0</v>
      </c>
      <c r="AB28" s="452">
        <v>28.0</v>
      </c>
      <c r="AC28" s="453">
        <v>16.0</v>
      </c>
      <c r="AD28" s="454">
        <v>23.0</v>
      </c>
      <c r="AE28" s="454">
        <v>16.0</v>
      </c>
      <c r="AF28" s="454">
        <v>8.0</v>
      </c>
      <c r="AG28" s="454">
        <v>23.0</v>
      </c>
      <c r="AH28" s="454">
        <v>16.0</v>
      </c>
      <c r="AI28" s="454">
        <v>16.0</v>
      </c>
      <c r="AJ28" s="454">
        <v>16.0</v>
      </c>
      <c r="AK28" s="454">
        <v>23.0</v>
      </c>
      <c r="AL28" s="454">
        <v>23.0</v>
      </c>
      <c r="AM28" s="454">
        <v>23.0</v>
      </c>
      <c r="AN28" s="454">
        <v>16.0</v>
      </c>
      <c r="AO28" s="454">
        <v>16.0</v>
      </c>
      <c r="AP28" s="454">
        <v>16.0</v>
      </c>
      <c r="AQ28" s="454">
        <v>16.0</v>
      </c>
      <c r="AR28" s="454">
        <v>23.0</v>
      </c>
      <c r="AS28" s="454">
        <v>23.0</v>
      </c>
      <c r="AT28" s="454">
        <v>23.0</v>
      </c>
      <c r="AU28" s="454">
        <v>16.0</v>
      </c>
      <c r="AV28" s="454">
        <v>23.0</v>
      </c>
      <c r="AW28" s="454">
        <v>23.0</v>
      </c>
      <c r="AX28" s="454">
        <v>16.0</v>
      </c>
      <c r="AY28" s="454">
        <v>23.0</v>
      </c>
      <c r="AZ28" s="454">
        <v>23.0</v>
      </c>
      <c r="BA28" s="454">
        <v>23.0</v>
      </c>
      <c r="BB28" s="454">
        <v>16.0</v>
      </c>
      <c r="BD28" s="47"/>
      <c r="BE28" s="47"/>
      <c r="BF28" s="47"/>
      <c r="BG28" s="47"/>
      <c r="BH28" s="47"/>
      <c r="BI28" s="47"/>
      <c r="BJ28" s="47"/>
      <c r="BK28" s="354"/>
      <c r="BL28" s="47"/>
      <c r="BM28" s="47"/>
      <c r="BN28" s="361"/>
      <c r="BO28" s="14"/>
      <c r="BP28" s="47"/>
      <c r="BQ28" s="47"/>
      <c r="BR28" s="360"/>
    </row>
    <row r="29" ht="19.5" customHeight="1">
      <c r="A29" s="65"/>
      <c r="B29" s="24"/>
      <c r="C29" s="24"/>
      <c r="D29" s="66" t="s">
        <v>44</v>
      </c>
      <c r="E29" s="66" t="s">
        <v>44</v>
      </c>
      <c r="F29" s="66" t="s">
        <v>41</v>
      </c>
      <c r="G29" s="66" t="s">
        <v>42</v>
      </c>
      <c r="H29" s="66" t="s">
        <v>43</v>
      </c>
      <c r="I29" s="66" t="s">
        <v>42</v>
      </c>
      <c r="J29" s="66" t="s">
        <v>41</v>
      </c>
      <c r="K29" s="66" t="s">
        <v>44</v>
      </c>
      <c r="L29" s="66" t="s">
        <v>43</v>
      </c>
      <c r="M29" s="66" t="s">
        <v>42</v>
      </c>
      <c r="N29" s="66" t="s">
        <v>44</v>
      </c>
      <c r="O29" s="66" t="s">
        <v>42</v>
      </c>
      <c r="P29" s="66" t="s">
        <v>42</v>
      </c>
      <c r="Q29" s="66" t="s">
        <v>44</v>
      </c>
      <c r="R29" s="66" t="s">
        <v>44</v>
      </c>
      <c r="S29" s="66" t="s">
        <v>41</v>
      </c>
      <c r="T29" s="66" t="s">
        <v>42</v>
      </c>
      <c r="U29" s="66" t="s">
        <v>44</v>
      </c>
      <c r="V29" s="66" t="s">
        <v>42</v>
      </c>
      <c r="W29" s="66" t="s">
        <v>41</v>
      </c>
      <c r="X29" s="245" t="s">
        <v>44</v>
      </c>
      <c r="Y29" s="66" t="s">
        <v>44</v>
      </c>
      <c r="Z29" s="66" t="s">
        <v>42</v>
      </c>
      <c r="AA29" s="66" t="s">
        <v>42</v>
      </c>
      <c r="AB29" s="246" t="s">
        <v>42</v>
      </c>
      <c r="AC29" s="68" t="s">
        <v>41</v>
      </c>
      <c r="AD29" s="69" t="s">
        <v>42</v>
      </c>
      <c r="AE29" s="69" t="s">
        <v>42</v>
      </c>
      <c r="AF29" s="69" t="s">
        <v>41</v>
      </c>
      <c r="AG29" s="69" t="s">
        <v>41</v>
      </c>
      <c r="AH29" s="69" t="s">
        <v>41</v>
      </c>
      <c r="AI29" s="69" t="s">
        <v>43</v>
      </c>
      <c r="AJ29" s="69" t="s">
        <v>42</v>
      </c>
      <c r="AK29" s="69" t="s">
        <v>43</v>
      </c>
      <c r="AL29" s="69" t="s">
        <v>44</v>
      </c>
      <c r="AM29" s="69" t="s">
        <v>41</v>
      </c>
      <c r="AN29" s="69" t="s">
        <v>42</v>
      </c>
      <c r="AO29" s="69" t="s">
        <v>43</v>
      </c>
      <c r="AP29" s="69" t="s">
        <v>42</v>
      </c>
      <c r="AQ29" s="69" t="s">
        <v>41</v>
      </c>
      <c r="AR29" s="69" t="s">
        <v>44</v>
      </c>
      <c r="AS29" s="69" t="s">
        <v>42</v>
      </c>
      <c r="AT29" s="69" t="s">
        <v>41</v>
      </c>
      <c r="AU29" s="69" t="s">
        <v>43</v>
      </c>
      <c r="AV29" s="69" t="s">
        <v>43</v>
      </c>
      <c r="AW29" s="69" t="s">
        <v>41</v>
      </c>
      <c r="AX29" s="69" t="s">
        <v>42</v>
      </c>
      <c r="AY29" s="69" t="s">
        <v>42</v>
      </c>
      <c r="AZ29" s="69" t="s">
        <v>43</v>
      </c>
      <c r="BA29" s="69" t="s">
        <v>41</v>
      </c>
      <c r="BB29" s="69" t="s">
        <v>43</v>
      </c>
      <c r="BD29" s="65"/>
      <c r="BE29" s="65"/>
      <c r="BF29" s="65"/>
      <c r="BG29" s="65"/>
      <c r="BH29" s="65"/>
      <c r="BI29" s="65"/>
      <c r="BJ29" s="65"/>
      <c r="BK29" s="354"/>
      <c r="BL29" s="65"/>
      <c r="BM29" s="65"/>
      <c r="BN29" s="362"/>
      <c r="BO29" s="24"/>
      <c r="BP29" s="65"/>
      <c r="BQ29" s="65"/>
      <c r="BR29" s="360"/>
    </row>
    <row r="30" ht="15.75" customHeight="1">
      <c r="A30" s="455">
        <v>1.0</v>
      </c>
      <c r="B30" s="71" t="s">
        <v>493</v>
      </c>
      <c r="C30" s="363" t="s">
        <v>170</v>
      </c>
      <c r="D30" s="447" t="s">
        <v>41</v>
      </c>
      <c r="E30" s="456" t="s">
        <v>44</v>
      </c>
      <c r="F30" s="456" t="s">
        <v>41</v>
      </c>
      <c r="G30" s="456" t="s">
        <v>42</v>
      </c>
      <c r="H30" s="456" t="s">
        <v>43</v>
      </c>
      <c r="I30" s="456" t="s">
        <v>42</v>
      </c>
      <c r="J30" s="456" t="s">
        <v>43</v>
      </c>
      <c r="K30" s="456" t="s">
        <v>44</v>
      </c>
      <c r="L30" s="456" t="s">
        <v>43</v>
      </c>
      <c r="M30" s="456" t="s">
        <v>42</v>
      </c>
      <c r="N30" s="456" t="s">
        <v>42</v>
      </c>
      <c r="O30" s="456" t="s">
        <v>41</v>
      </c>
      <c r="P30" s="456" t="s">
        <v>44</v>
      </c>
      <c r="Q30" s="456" t="s">
        <v>44</v>
      </c>
      <c r="R30" s="456" t="s">
        <v>41</v>
      </c>
      <c r="S30" s="456" t="s">
        <v>41</v>
      </c>
      <c r="T30" s="456" t="s">
        <v>42</v>
      </c>
      <c r="U30" s="456" t="s">
        <v>43</v>
      </c>
      <c r="V30" s="456" t="s">
        <v>44</v>
      </c>
      <c r="W30" s="456" t="s">
        <v>41</v>
      </c>
      <c r="X30" s="456" t="s">
        <v>44</v>
      </c>
      <c r="Y30" s="456" t="s">
        <v>43</v>
      </c>
      <c r="Z30" s="456" t="s">
        <v>43</v>
      </c>
      <c r="AA30" s="456" t="s">
        <v>42</v>
      </c>
      <c r="AB30" s="457" t="s">
        <v>42</v>
      </c>
      <c r="AC30" s="456" t="s">
        <v>41</v>
      </c>
      <c r="AD30" s="456" t="s">
        <v>41</v>
      </c>
      <c r="AE30" s="456" t="s">
        <v>43</v>
      </c>
      <c r="AF30" s="456" t="s">
        <v>42</v>
      </c>
      <c r="AG30" s="456" t="s">
        <v>44</v>
      </c>
      <c r="AH30" s="456" t="s">
        <v>43</v>
      </c>
      <c r="AI30" s="456" t="s">
        <v>42</v>
      </c>
      <c r="AJ30" s="456" t="s">
        <v>43</v>
      </c>
      <c r="AK30" s="456" t="s">
        <v>41</v>
      </c>
      <c r="AL30" s="456" t="s">
        <v>42</v>
      </c>
      <c r="AM30" s="456" t="s">
        <v>44</v>
      </c>
      <c r="AN30" s="456" t="s">
        <v>41</v>
      </c>
      <c r="AO30" s="456" t="s">
        <v>44</v>
      </c>
      <c r="AP30" s="456" t="s">
        <v>42</v>
      </c>
      <c r="AQ30" s="456" t="s">
        <v>41</v>
      </c>
      <c r="AR30" s="456" t="s">
        <v>44</v>
      </c>
      <c r="AS30" s="456" t="s">
        <v>41</v>
      </c>
      <c r="AT30" s="456" t="s">
        <v>43</v>
      </c>
      <c r="AU30" s="456" t="s">
        <v>44</v>
      </c>
      <c r="AV30" s="456" t="s">
        <v>41</v>
      </c>
      <c r="AW30" s="456" t="s">
        <v>44</v>
      </c>
      <c r="AX30" s="456" t="s">
        <v>43</v>
      </c>
      <c r="AY30" s="456" t="s">
        <v>42</v>
      </c>
      <c r="AZ30" s="456" t="s">
        <v>43</v>
      </c>
      <c r="BA30" s="456" t="s">
        <v>41</v>
      </c>
      <c r="BB30" s="456" t="s">
        <v>42</v>
      </c>
      <c r="BD30" s="369" t="s">
        <v>44</v>
      </c>
      <c r="BE30" s="458">
        <v>3.0</v>
      </c>
      <c r="BF30" s="458">
        <v>3.0</v>
      </c>
      <c r="BG30" s="458">
        <v>2.0</v>
      </c>
      <c r="BH30" s="458">
        <v>2.0</v>
      </c>
      <c r="BI30" s="371">
        <f t="shared" ref="BI30:BI51" si="1">(100/16)*((SUM(BE30:BH30)))</f>
        <v>62.5</v>
      </c>
      <c r="BJ30" s="377" t="str">
        <f t="shared" ref="BJ30:BJ51" si="2">IF((SUM(BI30))&lt;=25, "Abaixo do Básico", IF((SUM(BI30))&lt;=50, "Básico", IF((SUM(BI30))&lt;=75, "Adequado", "Avançado")))</f>
        <v>Adequado</v>
      </c>
      <c r="BK30" s="373"/>
      <c r="BL30" s="374">
        <f t="shared" ref="BL30:BL51" si="3">SUMPRODUCT(--(D30:AB30=D$29:AB$29))</f>
        <v>15</v>
      </c>
      <c r="BM30" s="374">
        <f t="shared" ref="BM30:BM51" si="4">SUMPRODUCT((D30:AB30=D$29:AB$29)*D$28:AB$28)</f>
        <v>300</v>
      </c>
      <c r="BN30" s="459" t="str">
        <f t="shared" ref="BN30:BN51" si="5">IF((SUM(BM30))&lt;=125, "Abaixo do Básico", IF((SUM(BM30))&lt;=250, "Básico", IF((SUM(BM30))&lt;=375, "Adequado", "Avançado")))</f>
        <v>Adequado</v>
      </c>
      <c r="BO30" s="376">
        <f t="shared" ref="BO30:BO51" si="6">SUMPRODUCT(--(AC30:BB30=AC$29:BB$29))</f>
        <v>7</v>
      </c>
      <c r="BP30" s="374">
        <f t="shared" ref="BP30:BP51" si="7">SUMPRODUCT((AC30:BB30=AC$29:BB$29)*AC$28:BB$28)</f>
        <v>140</v>
      </c>
      <c r="BQ30" s="377" t="str">
        <f t="shared" ref="BQ30:BQ51" si="8">IF((SUM(BP30))&lt;=125, "Abaixo do Básico", IF((SUM(BP30))&lt;=250, "Básico", IF((SUM(BP30))&lt;=375, "Adequado", "Avançado")))</f>
        <v>Básico</v>
      </c>
      <c r="BR30" s="25"/>
    </row>
    <row r="31" ht="15.75" customHeight="1">
      <c r="A31" s="455">
        <v>2.0</v>
      </c>
      <c r="B31" s="378" t="s">
        <v>494</v>
      </c>
      <c r="C31" s="363" t="s">
        <v>170</v>
      </c>
      <c r="D31" s="447" t="s">
        <v>41</v>
      </c>
      <c r="E31" s="456" t="s">
        <v>42</v>
      </c>
      <c r="F31" s="456" t="s">
        <v>41</v>
      </c>
      <c r="G31" s="456" t="s">
        <v>43</v>
      </c>
      <c r="H31" s="456" t="s">
        <v>42</v>
      </c>
      <c r="I31" s="456" t="s">
        <v>41</v>
      </c>
      <c r="J31" s="456" t="s">
        <v>42</v>
      </c>
      <c r="K31" s="456" t="s">
        <v>41</v>
      </c>
      <c r="L31" s="456" t="s">
        <v>41</v>
      </c>
      <c r="M31" s="456" t="s">
        <v>44</v>
      </c>
      <c r="N31" s="456" t="s">
        <v>43</v>
      </c>
      <c r="O31" s="456" t="s">
        <v>42</v>
      </c>
      <c r="P31" s="456" t="s">
        <v>41</v>
      </c>
      <c r="Q31" s="456" t="s">
        <v>44</v>
      </c>
      <c r="R31" s="456" t="s">
        <v>44</v>
      </c>
      <c r="S31" s="456" t="s">
        <v>43</v>
      </c>
      <c r="T31" s="456" t="s">
        <v>42</v>
      </c>
      <c r="U31" s="456" t="s">
        <v>41</v>
      </c>
      <c r="V31" s="456" t="s">
        <v>44</v>
      </c>
      <c r="W31" s="456" t="s">
        <v>42</v>
      </c>
      <c r="X31" s="456" t="s">
        <v>44</v>
      </c>
      <c r="Y31" s="456" t="s">
        <v>41</v>
      </c>
      <c r="Z31" s="456" t="s">
        <v>43</v>
      </c>
      <c r="AA31" s="456" t="s">
        <v>44</v>
      </c>
      <c r="AB31" s="457" t="s">
        <v>42</v>
      </c>
      <c r="AC31" s="456" t="s">
        <v>44</v>
      </c>
      <c r="AD31" s="456" t="s">
        <v>42</v>
      </c>
      <c r="AE31" s="456" t="s">
        <v>44</v>
      </c>
      <c r="AF31" s="456" t="s">
        <v>41</v>
      </c>
      <c r="AG31" s="456" t="s">
        <v>43</v>
      </c>
      <c r="AH31" s="456" t="s">
        <v>42</v>
      </c>
      <c r="AI31" s="456" t="s">
        <v>41</v>
      </c>
      <c r="AJ31" s="456" t="s">
        <v>44</v>
      </c>
      <c r="AK31" s="456" t="s">
        <v>44</v>
      </c>
      <c r="AL31" s="456" t="s">
        <v>41</v>
      </c>
      <c r="AM31" s="456" t="s">
        <v>43</v>
      </c>
      <c r="AN31" s="456" t="s">
        <v>42</v>
      </c>
      <c r="AO31" s="456" t="s">
        <v>41</v>
      </c>
      <c r="AP31" s="456" t="s">
        <v>41</v>
      </c>
      <c r="AQ31" s="456" t="s">
        <v>41</v>
      </c>
      <c r="AR31" s="456" t="s">
        <v>43</v>
      </c>
      <c r="AS31" s="456" t="s">
        <v>41</v>
      </c>
      <c r="AT31" s="456" t="s">
        <v>42</v>
      </c>
      <c r="AU31" s="456" t="s">
        <v>44</v>
      </c>
      <c r="AV31" s="456" t="s">
        <v>42</v>
      </c>
      <c r="AW31" s="456" t="s">
        <v>42</v>
      </c>
      <c r="AX31" s="456" t="s">
        <v>43</v>
      </c>
      <c r="AY31" s="456" t="s">
        <v>44</v>
      </c>
      <c r="AZ31" s="456" t="s">
        <v>41</v>
      </c>
      <c r="BA31" s="456" t="s">
        <v>41</v>
      </c>
      <c r="BB31" s="456" t="s">
        <v>42</v>
      </c>
      <c r="BD31" s="369" t="s">
        <v>44</v>
      </c>
      <c r="BE31" s="458">
        <v>3.0</v>
      </c>
      <c r="BF31" s="458">
        <v>3.0</v>
      </c>
      <c r="BG31" s="458">
        <v>3.0</v>
      </c>
      <c r="BH31" s="458">
        <v>3.0</v>
      </c>
      <c r="BI31" s="371">
        <f t="shared" si="1"/>
        <v>75</v>
      </c>
      <c r="BJ31" s="377" t="str">
        <f t="shared" si="2"/>
        <v>Adequado</v>
      </c>
      <c r="BK31" s="373"/>
      <c r="BL31" s="374">
        <f t="shared" si="3"/>
        <v>7</v>
      </c>
      <c r="BM31" s="374">
        <f t="shared" si="4"/>
        <v>122</v>
      </c>
      <c r="BN31" s="459" t="str">
        <f t="shared" si="5"/>
        <v>Abaixo do Básico</v>
      </c>
      <c r="BO31" s="376">
        <f t="shared" si="6"/>
        <v>5</v>
      </c>
      <c r="BP31" s="374">
        <f t="shared" si="7"/>
        <v>86</v>
      </c>
      <c r="BQ31" s="377" t="str">
        <f t="shared" si="8"/>
        <v>Abaixo do Básico</v>
      </c>
      <c r="BR31" s="25"/>
    </row>
    <row r="32" ht="15.75" customHeight="1">
      <c r="A32" s="455">
        <v>3.0</v>
      </c>
      <c r="B32" s="378" t="s">
        <v>495</v>
      </c>
      <c r="C32" s="363" t="s">
        <v>170</v>
      </c>
      <c r="D32" s="447" t="s">
        <v>41</v>
      </c>
      <c r="E32" s="456" t="s">
        <v>44</v>
      </c>
      <c r="F32" s="456" t="s">
        <v>41</v>
      </c>
      <c r="G32" s="456" t="s">
        <v>42</v>
      </c>
      <c r="H32" s="456" t="s">
        <v>42</v>
      </c>
      <c r="I32" s="456" t="s">
        <v>41</v>
      </c>
      <c r="J32" s="456" t="s">
        <v>42</v>
      </c>
      <c r="K32" s="456" t="s">
        <v>43</v>
      </c>
      <c r="L32" s="456" t="s">
        <v>44</v>
      </c>
      <c r="M32" s="456" t="s">
        <v>42</v>
      </c>
      <c r="N32" s="456" t="s">
        <v>43</v>
      </c>
      <c r="O32" s="456" t="s">
        <v>41</v>
      </c>
      <c r="P32" s="456" t="s">
        <v>44</v>
      </c>
      <c r="Q32" s="456" t="s">
        <v>42</v>
      </c>
      <c r="R32" s="456" t="s">
        <v>41</v>
      </c>
      <c r="S32" s="456" t="s">
        <v>41</v>
      </c>
      <c r="T32" s="456" t="s">
        <v>44</v>
      </c>
      <c r="U32" s="456" t="s">
        <v>43</v>
      </c>
      <c r="V32" s="456" t="s">
        <v>44</v>
      </c>
      <c r="W32" s="456" t="s">
        <v>41</v>
      </c>
      <c r="X32" s="456" t="s">
        <v>43</v>
      </c>
      <c r="Y32" s="456" t="s">
        <v>44</v>
      </c>
      <c r="Z32" s="456" t="s">
        <v>43</v>
      </c>
      <c r="AA32" s="456" t="s">
        <v>42</v>
      </c>
      <c r="AB32" s="457" t="s">
        <v>173</v>
      </c>
      <c r="AC32" s="456" t="s">
        <v>44</v>
      </c>
      <c r="AD32" s="456" t="s">
        <v>41</v>
      </c>
      <c r="AE32" s="456" t="s">
        <v>42</v>
      </c>
      <c r="AF32" s="456" t="s">
        <v>44</v>
      </c>
      <c r="AG32" s="456" t="s">
        <v>41</v>
      </c>
      <c r="AH32" s="456" t="s">
        <v>41</v>
      </c>
      <c r="AI32" s="456" t="s">
        <v>41</v>
      </c>
      <c r="AJ32" s="456" t="s">
        <v>42</v>
      </c>
      <c r="AK32" s="456" t="s">
        <v>44</v>
      </c>
      <c r="AL32" s="456" t="s">
        <v>42</v>
      </c>
      <c r="AM32" s="456" t="s">
        <v>41</v>
      </c>
      <c r="AN32" s="456" t="s">
        <v>44</v>
      </c>
      <c r="AO32" s="456" t="s">
        <v>43</v>
      </c>
      <c r="AP32" s="456" t="s">
        <v>42</v>
      </c>
      <c r="AQ32" s="456" t="s">
        <v>43</v>
      </c>
      <c r="AR32" s="456" t="s">
        <v>44</v>
      </c>
      <c r="AS32" s="456" t="s">
        <v>44</v>
      </c>
      <c r="AT32" s="456" t="s">
        <v>42</v>
      </c>
      <c r="AU32" s="456" t="s">
        <v>43</v>
      </c>
      <c r="AV32" s="456" t="s">
        <v>41</v>
      </c>
      <c r="AW32" s="456" t="s">
        <v>43</v>
      </c>
      <c r="AX32" s="456" t="s">
        <v>42</v>
      </c>
      <c r="AY32" s="456" t="s">
        <v>42</v>
      </c>
      <c r="AZ32" s="456" t="s">
        <v>43</v>
      </c>
      <c r="BA32" s="456" t="s">
        <v>42</v>
      </c>
      <c r="BB32" s="456" t="s">
        <v>44</v>
      </c>
      <c r="BD32" s="369" t="s">
        <v>44</v>
      </c>
      <c r="BE32" s="458">
        <v>3.0</v>
      </c>
      <c r="BF32" s="458">
        <v>3.0</v>
      </c>
      <c r="BG32" s="458">
        <v>2.0</v>
      </c>
      <c r="BH32" s="458">
        <v>2.0</v>
      </c>
      <c r="BI32" s="371">
        <f t="shared" si="1"/>
        <v>62.5</v>
      </c>
      <c r="BJ32" s="377" t="str">
        <f t="shared" si="2"/>
        <v>Adequado</v>
      </c>
      <c r="BK32" s="373"/>
      <c r="BL32" s="374">
        <f t="shared" si="3"/>
        <v>8</v>
      </c>
      <c r="BM32" s="374">
        <f t="shared" si="4"/>
        <v>169</v>
      </c>
      <c r="BN32" s="459" t="str">
        <f t="shared" si="5"/>
        <v>Básico</v>
      </c>
      <c r="BO32" s="376">
        <f t="shared" si="6"/>
        <v>12</v>
      </c>
      <c r="BP32" s="374">
        <f t="shared" si="7"/>
        <v>227</v>
      </c>
      <c r="BQ32" s="377" t="str">
        <f t="shared" si="8"/>
        <v>Básico</v>
      </c>
      <c r="BR32" s="25"/>
    </row>
    <row r="33" ht="15.75" customHeight="1">
      <c r="A33" s="455">
        <v>4.0</v>
      </c>
      <c r="B33" s="378" t="s">
        <v>496</v>
      </c>
      <c r="C33" s="363" t="s">
        <v>170</v>
      </c>
      <c r="D33" s="447" t="s">
        <v>172</v>
      </c>
      <c r="E33" s="456" t="s">
        <v>172</v>
      </c>
      <c r="F33" s="456" t="s">
        <v>172</v>
      </c>
      <c r="G33" s="456" t="s">
        <v>172</v>
      </c>
      <c r="H33" s="456" t="s">
        <v>172</v>
      </c>
      <c r="I33" s="456" t="s">
        <v>172</v>
      </c>
      <c r="J33" s="456" t="s">
        <v>172</v>
      </c>
      <c r="K33" s="456" t="s">
        <v>172</v>
      </c>
      <c r="L33" s="456" t="s">
        <v>172</v>
      </c>
      <c r="M33" s="456" t="s">
        <v>172</v>
      </c>
      <c r="N33" s="456" t="s">
        <v>172</v>
      </c>
      <c r="O33" s="456" t="s">
        <v>172</v>
      </c>
      <c r="P33" s="456" t="s">
        <v>172</v>
      </c>
      <c r="Q33" s="456" t="s">
        <v>172</v>
      </c>
      <c r="R33" s="456" t="s">
        <v>172</v>
      </c>
      <c r="S33" s="456" t="s">
        <v>172</v>
      </c>
      <c r="T33" s="456" t="s">
        <v>172</v>
      </c>
      <c r="U33" s="456" t="s">
        <v>172</v>
      </c>
      <c r="V33" s="456" t="s">
        <v>172</v>
      </c>
      <c r="W33" s="456" t="s">
        <v>172</v>
      </c>
      <c r="X33" s="456" t="s">
        <v>172</v>
      </c>
      <c r="Y33" s="456" t="s">
        <v>172</v>
      </c>
      <c r="Z33" s="456" t="s">
        <v>172</v>
      </c>
      <c r="AA33" s="456" t="s">
        <v>172</v>
      </c>
      <c r="AB33" s="457" t="s">
        <v>172</v>
      </c>
      <c r="AC33" s="456" t="s">
        <v>172</v>
      </c>
      <c r="AD33" s="456" t="s">
        <v>172</v>
      </c>
      <c r="AE33" s="456" t="s">
        <v>172</v>
      </c>
      <c r="AF33" s="456" t="s">
        <v>172</v>
      </c>
      <c r="AG33" s="456" t="s">
        <v>172</v>
      </c>
      <c r="AH33" s="456" t="s">
        <v>172</v>
      </c>
      <c r="AI33" s="456" t="s">
        <v>172</v>
      </c>
      <c r="AJ33" s="456" t="s">
        <v>172</v>
      </c>
      <c r="AK33" s="456" t="s">
        <v>172</v>
      </c>
      <c r="AL33" s="456" t="s">
        <v>172</v>
      </c>
      <c r="AM33" s="456" t="s">
        <v>172</v>
      </c>
      <c r="AN33" s="456" t="s">
        <v>172</v>
      </c>
      <c r="AO33" s="456" t="s">
        <v>172</v>
      </c>
      <c r="AP33" s="456" t="s">
        <v>172</v>
      </c>
      <c r="AQ33" s="456" t="s">
        <v>172</v>
      </c>
      <c r="AR33" s="456" t="s">
        <v>172</v>
      </c>
      <c r="AS33" s="456" t="s">
        <v>172</v>
      </c>
      <c r="AT33" s="456" t="s">
        <v>172</v>
      </c>
      <c r="AU33" s="456" t="s">
        <v>172</v>
      </c>
      <c r="AV33" s="456" t="s">
        <v>172</v>
      </c>
      <c r="AW33" s="456" t="s">
        <v>172</v>
      </c>
      <c r="AX33" s="456" t="s">
        <v>172</v>
      </c>
      <c r="AY33" s="456" t="s">
        <v>172</v>
      </c>
      <c r="AZ33" s="456" t="s">
        <v>172</v>
      </c>
      <c r="BA33" s="456" t="s">
        <v>172</v>
      </c>
      <c r="BB33" s="456" t="s">
        <v>172</v>
      </c>
      <c r="BD33" s="369" t="s">
        <v>172</v>
      </c>
      <c r="BE33" s="458" t="s">
        <v>173</v>
      </c>
      <c r="BF33" s="458" t="s">
        <v>173</v>
      </c>
      <c r="BG33" s="458" t="s">
        <v>173</v>
      </c>
      <c r="BH33" s="458" t="s">
        <v>173</v>
      </c>
      <c r="BI33" s="371">
        <f t="shared" si="1"/>
        <v>0</v>
      </c>
      <c r="BJ33" s="377" t="str">
        <f t="shared" si="2"/>
        <v>Abaixo do Básico</v>
      </c>
      <c r="BK33" s="373"/>
      <c r="BL33" s="374">
        <f t="shared" si="3"/>
        <v>0</v>
      </c>
      <c r="BM33" s="374">
        <f t="shared" si="4"/>
        <v>0</v>
      </c>
      <c r="BN33" s="459" t="str">
        <f t="shared" si="5"/>
        <v>Abaixo do Básico</v>
      </c>
      <c r="BO33" s="376">
        <f t="shared" si="6"/>
        <v>0</v>
      </c>
      <c r="BP33" s="374">
        <f t="shared" si="7"/>
        <v>0</v>
      </c>
      <c r="BQ33" s="377" t="str">
        <f t="shared" si="8"/>
        <v>Abaixo do Básico</v>
      </c>
      <c r="BR33" s="25"/>
    </row>
    <row r="34" ht="15.75" customHeight="1">
      <c r="A34" s="455">
        <v>5.0</v>
      </c>
      <c r="B34" s="378" t="s">
        <v>497</v>
      </c>
      <c r="C34" s="363" t="s">
        <v>170</v>
      </c>
      <c r="D34" s="447" t="s">
        <v>44</v>
      </c>
      <c r="E34" s="456" t="s">
        <v>42</v>
      </c>
      <c r="F34" s="456" t="s">
        <v>41</v>
      </c>
      <c r="G34" s="456" t="s">
        <v>42</v>
      </c>
      <c r="H34" s="456" t="s">
        <v>44</v>
      </c>
      <c r="I34" s="456" t="s">
        <v>42</v>
      </c>
      <c r="J34" s="456" t="s">
        <v>44</v>
      </c>
      <c r="K34" s="456" t="s">
        <v>42</v>
      </c>
      <c r="L34" s="456" t="s">
        <v>43</v>
      </c>
      <c r="M34" s="456" t="s">
        <v>41</v>
      </c>
      <c r="N34" s="456" t="s">
        <v>42</v>
      </c>
      <c r="O34" s="456" t="s">
        <v>42</v>
      </c>
      <c r="P34" s="456" t="s">
        <v>42</v>
      </c>
      <c r="Q34" s="456" t="s">
        <v>42</v>
      </c>
      <c r="R34" s="456" t="s">
        <v>44</v>
      </c>
      <c r="S34" s="456" t="s">
        <v>44</v>
      </c>
      <c r="T34" s="456" t="s">
        <v>43</v>
      </c>
      <c r="U34" s="456" t="s">
        <v>41</v>
      </c>
      <c r="V34" s="456" t="s">
        <v>41</v>
      </c>
      <c r="W34" s="456" t="s">
        <v>42</v>
      </c>
      <c r="X34" s="456" t="s">
        <v>41</v>
      </c>
      <c r="Y34" s="456" t="s">
        <v>44</v>
      </c>
      <c r="Z34" s="456" t="s">
        <v>41</v>
      </c>
      <c r="AA34" s="456" t="s">
        <v>44</v>
      </c>
      <c r="AB34" s="457" t="s">
        <v>41</v>
      </c>
      <c r="AC34" s="456" t="s">
        <v>44</v>
      </c>
      <c r="AD34" s="456" t="s">
        <v>43</v>
      </c>
      <c r="AE34" s="456" t="s">
        <v>41</v>
      </c>
      <c r="AF34" s="456" t="s">
        <v>43</v>
      </c>
      <c r="AG34" s="456" t="s">
        <v>44</v>
      </c>
      <c r="AH34" s="456" t="s">
        <v>41</v>
      </c>
      <c r="AI34" s="456" t="s">
        <v>41</v>
      </c>
      <c r="AJ34" s="456" t="s">
        <v>42</v>
      </c>
      <c r="AK34" s="456" t="s">
        <v>41</v>
      </c>
      <c r="AL34" s="456" t="s">
        <v>41</v>
      </c>
      <c r="AM34" s="456" t="s">
        <v>42</v>
      </c>
      <c r="AN34" s="456" t="s">
        <v>42</v>
      </c>
      <c r="AO34" s="456" t="s">
        <v>42</v>
      </c>
      <c r="AP34" s="456" t="s">
        <v>41</v>
      </c>
      <c r="AQ34" s="456" t="s">
        <v>42</v>
      </c>
      <c r="AR34" s="456" t="s">
        <v>43</v>
      </c>
      <c r="AS34" s="456" t="s">
        <v>42</v>
      </c>
      <c r="AT34" s="456" t="s">
        <v>41</v>
      </c>
      <c r="AU34" s="456" t="s">
        <v>41</v>
      </c>
      <c r="AV34" s="456" t="s">
        <v>41</v>
      </c>
      <c r="AW34" s="456" t="s">
        <v>44</v>
      </c>
      <c r="AX34" s="456" t="s">
        <v>43</v>
      </c>
      <c r="AY34" s="456" t="s">
        <v>43</v>
      </c>
      <c r="AZ34" s="456" t="s">
        <v>42</v>
      </c>
      <c r="BA34" s="456" t="s">
        <v>42</v>
      </c>
      <c r="BB34" s="456" t="s">
        <v>44</v>
      </c>
      <c r="BD34" s="369" t="s">
        <v>44</v>
      </c>
      <c r="BE34" s="458">
        <v>4.0</v>
      </c>
      <c r="BF34" s="458">
        <v>3.0</v>
      </c>
      <c r="BG34" s="458">
        <v>3.0</v>
      </c>
      <c r="BH34" s="458">
        <v>3.0</v>
      </c>
      <c r="BI34" s="371">
        <f t="shared" si="1"/>
        <v>81.25</v>
      </c>
      <c r="BJ34" s="377" t="str">
        <f t="shared" si="2"/>
        <v>Avançado</v>
      </c>
      <c r="BK34" s="373"/>
      <c r="BL34" s="374">
        <f t="shared" si="3"/>
        <v>9</v>
      </c>
      <c r="BM34" s="374">
        <f t="shared" si="4"/>
        <v>197</v>
      </c>
      <c r="BN34" s="459" t="str">
        <f t="shared" si="5"/>
        <v>Básico</v>
      </c>
      <c r="BO34" s="376">
        <f t="shared" si="6"/>
        <v>5</v>
      </c>
      <c r="BP34" s="374">
        <f t="shared" si="7"/>
        <v>94</v>
      </c>
      <c r="BQ34" s="377" t="str">
        <f t="shared" si="8"/>
        <v>Abaixo do Básico</v>
      </c>
      <c r="BR34" s="25"/>
    </row>
    <row r="35" ht="15.75" customHeight="1">
      <c r="A35" s="455">
        <v>6.0</v>
      </c>
      <c r="B35" s="378" t="s">
        <v>498</v>
      </c>
      <c r="C35" s="363" t="s">
        <v>170</v>
      </c>
      <c r="D35" s="447" t="s">
        <v>44</v>
      </c>
      <c r="E35" s="456" t="s">
        <v>44</v>
      </c>
      <c r="F35" s="456" t="s">
        <v>43</v>
      </c>
      <c r="G35" s="456" t="s">
        <v>41</v>
      </c>
      <c r="H35" s="456" t="s">
        <v>44</v>
      </c>
      <c r="I35" s="456" t="s">
        <v>41</v>
      </c>
      <c r="J35" s="456" t="s">
        <v>43</v>
      </c>
      <c r="K35" s="456" t="s">
        <v>44</v>
      </c>
      <c r="L35" s="456" t="s">
        <v>44</v>
      </c>
      <c r="M35" s="456" t="s">
        <v>43</v>
      </c>
      <c r="N35" s="456" t="s">
        <v>42</v>
      </c>
      <c r="O35" s="456" t="s">
        <v>41</v>
      </c>
      <c r="P35" s="456" t="s">
        <v>42</v>
      </c>
      <c r="Q35" s="456" t="s">
        <v>42</v>
      </c>
      <c r="R35" s="456" t="s">
        <v>42</v>
      </c>
      <c r="S35" s="456" t="s">
        <v>43</v>
      </c>
      <c r="T35" s="456" t="s">
        <v>44</v>
      </c>
      <c r="U35" s="456" t="s">
        <v>41</v>
      </c>
      <c r="V35" s="456" t="s">
        <v>42</v>
      </c>
      <c r="W35" s="456" t="s">
        <v>173</v>
      </c>
      <c r="X35" s="456" t="s">
        <v>43</v>
      </c>
      <c r="Y35" s="456" t="s">
        <v>41</v>
      </c>
      <c r="Z35" s="456" t="s">
        <v>41</v>
      </c>
      <c r="AA35" s="456" t="s">
        <v>44</v>
      </c>
      <c r="AB35" s="457" t="s">
        <v>43</v>
      </c>
      <c r="AC35" s="456" t="s">
        <v>42</v>
      </c>
      <c r="AD35" s="456" t="s">
        <v>44</v>
      </c>
      <c r="AE35" s="456" t="s">
        <v>41</v>
      </c>
      <c r="AF35" s="456" t="s">
        <v>44</v>
      </c>
      <c r="AG35" s="456" t="s">
        <v>43</v>
      </c>
      <c r="AH35" s="456" t="s">
        <v>41</v>
      </c>
      <c r="AI35" s="456" t="s">
        <v>42</v>
      </c>
      <c r="AJ35" s="456" t="s">
        <v>43</v>
      </c>
      <c r="AK35" s="456" t="s">
        <v>43</v>
      </c>
      <c r="AL35" s="456" t="s">
        <v>41</v>
      </c>
      <c r="AM35" s="456" t="s">
        <v>41</v>
      </c>
      <c r="AN35" s="456" t="s">
        <v>43</v>
      </c>
      <c r="AO35" s="456" t="s">
        <v>42</v>
      </c>
      <c r="AP35" s="456" t="s">
        <v>43</v>
      </c>
      <c r="AQ35" s="456" t="s">
        <v>42</v>
      </c>
      <c r="AR35" s="456" t="s">
        <v>43</v>
      </c>
      <c r="AS35" s="456" t="s">
        <v>44</v>
      </c>
      <c r="AT35" s="456" t="s">
        <v>44</v>
      </c>
      <c r="AU35" s="456" t="s">
        <v>41</v>
      </c>
      <c r="AV35" s="456" t="s">
        <v>43</v>
      </c>
      <c r="AW35" s="456" t="s">
        <v>43</v>
      </c>
      <c r="AX35" s="456" t="s">
        <v>41</v>
      </c>
      <c r="AY35" s="456" t="s">
        <v>44</v>
      </c>
      <c r="AZ35" s="456" t="s">
        <v>44</v>
      </c>
      <c r="BA35" s="456" t="s">
        <v>42</v>
      </c>
      <c r="BB35" s="456" t="s">
        <v>43</v>
      </c>
      <c r="BD35" s="369" t="s">
        <v>44</v>
      </c>
      <c r="BE35" s="458">
        <v>3.0</v>
      </c>
      <c r="BF35" s="458">
        <v>3.0</v>
      </c>
      <c r="BG35" s="458">
        <v>3.0</v>
      </c>
      <c r="BH35" s="458">
        <v>3.0</v>
      </c>
      <c r="BI35" s="371">
        <f t="shared" si="1"/>
        <v>75</v>
      </c>
      <c r="BJ35" s="377" t="str">
        <f t="shared" si="2"/>
        <v>Adequado</v>
      </c>
      <c r="BK35" s="373"/>
      <c r="BL35" s="374">
        <f t="shared" si="3"/>
        <v>5</v>
      </c>
      <c r="BM35" s="374">
        <f t="shared" si="4"/>
        <v>84</v>
      </c>
      <c r="BN35" s="459" t="str">
        <f t="shared" si="5"/>
        <v>Abaixo do Básico</v>
      </c>
      <c r="BO35" s="376">
        <f t="shared" si="6"/>
        <v>5</v>
      </c>
      <c r="BP35" s="374">
        <f t="shared" si="7"/>
        <v>101</v>
      </c>
      <c r="BQ35" s="377" t="str">
        <f t="shared" si="8"/>
        <v>Abaixo do Básico</v>
      </c>
      <c r="BR35" s="25"/>
    </row>
    <row r="36" ht="15.75" customHeight="1">
      <c r="A36" s="455">
        <v>7.0</v>
      </c>
      <c r="B36" s="378" t="s">
        <v>499</v>
      </c>
      <c r="C36" s="363" t="s">
        <v>170</v>
      </c>
      <c r="D36" s="447" t="s">
        <v>41</v>
      </c>
      <c r="E36" s="456" t="s">
        <v>44</v>
      </c>
      <c r="F36" s="456" t="s">
        <v>41</v>
      </c>
      <c r="G36" s="456" t="s">
        <v>42</v>
      </c>
      <c r="H36" s="456" t="s">
        <v>43</v>
      </c>
      <c r="I36" s="456" t="s">
        <v>42</v>
      </c>
      <c r="J36" s="456" t="s">
        <v>44</v>
      </c>
      <c r="K36" s="456" t="s">
        <v>41</v>
      </c>
      <c r="L36" s="456" t="s">
        <v>42</v>
      </c>
      <c r="M36" s="456" t="s">
        <v>43</v>
      </c>
      <c r="N36" s="456" t="s">
        <v>42</v>
      </c>
      <c r="O36" s="456" t="s">
        <v>41</v>
      </c>
      <c r="P36" s="456" t="s">
        <v>42</v>
      </c>
      <c r="Q36" s="456" t="s">
        <v>44</v>
      </c>
      <c r="R36" s="456" t="s">
        <v>44</v>
      </c>
      <c r="S36" s="456" t="s">
        <v>41</v>
      </c>
      <c r="T36" s="456" t="s">
        <v>41</v>
      </c>
      <c r="U36" s="456" t="s">
        <v>42</v>
      </c>
      <c r="V36" s="456" t="s">
        <v>43</v>
      </c>
      <c r="W36" s="456" t="s">
        <v>42</v>
      </c>
      <c r="X36" s="456" t="s">
        <v>44</v>
      </c>
      <c r="Y36" s="456" t="s">
        <v>41</v>
      </c>
      <c r="Z36" s="456" t="s">
        <v>41</v>
      </c>
      <c r="AA36" s="456" t="s">
        <v>44</v>
      </c>
      <c r="AB36" s="457" t="s">
        <v>43</v>
      </c>
      <c r="AC36" s="456" t="s">
        <v>42</v>
      </c>
      <c r="AD36" s="456" t="s">
        <v>44</v>
      </c>
      <c r="AE36" s="456" t="s">
        <v>43</v>
      </c>
      <c r="AF36" s="456" t="s">
        <v>42</v>
      </c>
      <c r="AG36" s="456" t="s">
        <v>41</v>
      </c>
      <c r="AH36" s="456" t="s">
        <v>44</v>
      </c>
      <c r="AI36" s="456" t="s">
        <v>42</v>
      </c>
      <c r="AJ36" s="456" t="s">
        <v>43</v>
      </c>
      <c r="AK36" s="456" t="s">
        <v>44</v>
      </c>
      <c r="AL36" s="456" t="s">
        <v>42</v>
      </c>
      <c r="AM36" s="456" t="s">
        <v>44</v>
      </c>
      <c r="AN36" s="456" t="s">
        <v>43</v>
      </c>
      <c r="AO36" s="456" t="s">
        <v>41</v>
      </c>
      <c r="AP36" s="456" t="s">
        <v>41</v>
      </c>
      <c r="AQ36" s="456" t="s">
        <v>42</v>
      </c>
      <c r="AR36" s="456" t="s">
        <v>44</v>
      </c>
      <c r="AS36" s="456" t="s">
        <v>41</v>
      </c>
      <c r="AT36" s="456" t="s">
        <v>42</v>
      </c>
      <c r="AU36" s="456" t="s">
        <v>44</v>
      </c>
      <c r="AV36" s="456" t="s">
        <v>43</v>
      </c>
      <c r="AW36" s="456" t="s">
        <v>44</v>
      </c>
      <c r="AX36" s="456" t="s">
        <v>42</v>
      </c>
      <c r="AY36" s="456" t="s">
        <v>42</v>
      </c>
      <c r="AZ36" s="456" t="s">
        <v>41</v>
      </c>
      <c r="BA36" s="456" t="s">
        <v>41</v>
      </c>
      <c r="BB36" s="456" t="s">
        <v>44</v>
      </c>
      <c r="BD36" s="369" t="s">
        <v>44</v>
      </c>
      <c r="BE36" s="458">
        <v>3.0</v>
      </c>
      <c r="BF36" s="458">
        <v>3.0</v>
      </c>
      <c r="BG36" s="458">
        <v>2.0</v>
      </c>
      <c r="BH36" s="458">
        <v>2.0</v>
      </c>
      <c r="BI36" s="371">
        <f t="shared" si="1"/>
        <v>62.5</v>
      </c>
      <c r="BJ36" s="377" t="str">
        <f t="shared" si="2"/>
        <v>Adequado</v>
      </c>
      <c r="BK36" s="373"/>
      <c r="BL36" s="374">
        <f t="shared" si="3"/>
        <v>10</v>
      </c>
      <c r="BM36" s="374">
        <f t="shared" si="4"/>
        <v>178</v>
      </c>
      <c r="BN36" s="459" t="str">
        <f t="shared" si="5"/>
        <v>Básico</v>
      </c>
      <c r="BO36" s="376">
        <f t="shared" si="6"/>
        <v>6</v>
      </c>
      <c r="BP36" s="374">
        <f t="shared" si="7"/>
        <v>131</v>
      </c>
      <c r="BQ36" s="377" t="str">
        <f t="shared" si="8"/>
        <v>Básico</v>
      </c>
      <c r="BR36" s="25"/>
    </row>
    <row r="37" ht="15.75" customHeight="1">
      <c r="A37" s="455">
        <v>8.0</v>
      </c>
      <c r="B37" s="378" t="s">
        <v>500</v>
      </c>
      <c r="C37" s="363" t="s">
        <v>170</v>
      </c>
      <c r="D37" s="447" t="s">
        <v>172</v>
      </c>
      <c r="E37" s="456" t="s">
        <v>172</v>
      </c>
      <c r="F37" s="456" t="s">
        <v>172</v>
      </c>
      <c r="G37" s="456" t="s">
        <v>172</v>
      </c>
      <c r="H37" s="456" t="s">
        <v>172</v>
      </c>
      <c r="I37" s="456" t="s">
        <v>172</v>
      </c>
      <c r="J37" s="456" t="s">
        <v>172</v>
      </c>
      <c r="K37" s="456" t="s">
        <v>172</v>
      </c>
      <c r="L37" s="456" t="s">
        <v>172</v>
      </c>
      <c r="M37" s="456" t="s">
        <v>172</v>
      </c>
      <c r="N37" s="456" t="s">
        <v>172</v>
      </c>
      <c r="O37" s="456" t="s">
        <v>172</v>
      </c>
      <c r="P37" s="456" t="s">
        <v>172</v>
      </c>
      <c r="Q37" s="456" t="s">
        <v>172</v>
      </c>
      <c r="R37" s="456" t="s">
        <v>172</v>
      </c>
      <c r="S37" s="456" t="s">
        <v>172</v>
      </c>
      <c r="T37" s="456" t="s">
        <v>172</v>
      </c>
      <c r="U37" s="456" t="s">
        <v>172</v>
      </c>
      <c r="V37" s="456" t="s">
        <v>172</v>
      </c>
      <c r="W37" s="456" t="s">
        <v>172</v>
      </c>
      <c r="X37" s="456" t="s">
        <v>172</v>
      </c>
      <c r="Y37" s="456" t="s">
        <v>172</v>
      </c>
      <c r="Z37" s="456" t="s">
        <v>172</v>
      </c>
      <c r="AA37" s="456" t="s">
        <v>172</v>
      </c>
      <c r="AB37" s="457" t="s">
        <v>172</v>
      </c>
      <c r="AC37" s="456" t="s">
        <v>172</v>
      </c>
      <c r="AD37" s="456" t="s">
        <v>172</v>
      </c>
      <c r="AE37" s="456" t="s">
        <v>172</v>
      </c>
      <c r="AF37" s="456" t="s">
        <v>172</v>
      </c>
      <c r="AG37" s="456" t="s">
        <v>172</v>
      </c>
      <c r="AH37" s="456" t="s">
        <v>172</v>
      </c>
      <c r="AI37" s="456" t="s">
        <v>172</v>
      </c>
      <c r="AJ37" s="456" t="s">
        <v>172</v>
      </c>
      <c r="AK37" s="456" t="s">
        <v>172</v>
      </c>
      <c r="AL37" s="456" t="s">
        <v>172</v>
      </c>
      <c r="AM37" s="456" t="s">
        <v>172</v>
      </c>
      <c r="AN37" s="456" t="s">
        <v>172</v>
      </c>
      <c r="AO37" s="456" t="s">
        <v>172</v>
      </c>
      <c r="AP37" s="456" t="s">
        <v>172</v>
      </c>
      <c r="AQ37" s="456" t="s">
        <v>172</v>
      </c>
      <c r="AR37" s="456" t="s">
        <v>172</v>
      </c>
      <c r="AS37" s="456" t="s">
        <v>172</v>
      </c>
      <c r="AT37" s="456" t="s">
        <v>172</v>
      </c>
      <c r="AU37" s="456" t="s">
        <v>172</v>
      </c>
      <c r="AV37" s="456" t="s">
        <v>172</v>
      </c>
      <c r="AW37" s="456" t="s">
        <v>172</v>
      </c>
      <c r="AX37" s="456" t="s">
        <v>172</v>
      </c>
      <c r="AY37" s="456" t="s">
        <v>172</v>
      </c>
      <c r="AZ37" s="456" t="s">
        <v>172</v>
      </c>
      <c r="BA37" s="456" t="s">
        <v>172</v>
      </c>
      <c r="BB37" s="456" t="s">
        <v>172</v>
      </c>
      <c r="BD37" s="369" t="s">
        <v>172</v>
      </c>
      <c r="BE37" s="458" t="s">
        <v>173</v>
      </c>
      <c r="BF37" s="458" t="s">
        <v>173</v>
      </c>
      <c r="BG37" s="458" t="s">
        <v>173</v>
      </c>
      <c r="BH37" s="458" t="s">
        <v>173</v>
      </c>
      <c r="BI37" s="371">
        <f t="shared" si="1"/>
        <v>0</v>
      </c>
      <c r="BJ37" s="377" t="str">
        <f t="shared" si="2"/>
        <v>Abaixo do Básico</v>
      </c>
      <c r="BK37" s="373"/>
      <c r="BL37" s="374">
        <f t="shared" si="3"/>
        <v>0</v>
      </c>
      <c r="BM37" s="374">
        <f t="shared" si="4"/>
        <v>0</v>
      </c>
      <c r="BN37" s="459" t="str">
        <f t="shared" si="5"/>
        <v>Abaixo do Básico</v>
      </c>
      <c r="BO37" s="376">
        <f t="shared" si="6"/>
        <v>0</v>
      </c>
      <c r="BP37" s="374">
        <f t="shared" si="7"/>
        <v>0</v>
      </c>
      <c r="BQ37" s="377" t="str">
        <f t="shared" si="8"/>
        <v>Abaixo do Básico</v>
      </c>
      <c r="BR37" s="25"/>
    </row>
    <row r="38" ht="15.75" customHeight="1">
      <c r="A38" s="455">
        <v>9.0</v>
      </c>
      <c r="B38" s="378" t="s">
        <v>501</v>
      </c>
      <c r="C38" s="363" t="s">
        <v>170</v>
      </c>
      <c r="D38" s="447" t="s">
        <v>172</v>
      </c>
      <c r="E38" s="456" t="s">
        <v>172</v>
      </c>
      <c r="F38" s="456" t="s">
        <v>172</v>
      </c>
      <c r="G38" s="456" t="s">
        <v>172</v>
      </c>
      <c r="H38" s="456" t="s">
        <v>172</v>
      </c>
      <c r="I38" s="456" t="s">
        <v>172</v>
      </c>
      <c r="J38" s="456" t="s">
        <v>172</v>
      </c>
      <c r="K38" s="456" t="s">
        <v>172</v>
      </c>
      <c r="L38" s="456" t="s">
        <v>172</v>
      </c>
      <c r="M38" s="456" t="s">
        <v>172</v>
      </c>
      <c r="N38" s="456" t="s">
        <v>172</v>
      </c>
      <c r="O38" s="456" t="s">
        <v>172</v>
      </c>
      <c r="P38" s="456" t="s">
        <v>172</v>
      </c>
      <c r="Q38" s="456" t="s">
        <v>172</v>
      </c>
      <c r="R38" s="456" t="s">
        <v>172</v>
      </c>
      <c r="S38" s="456" t="s">
        <v>172</v>
      </c>
      <c r="T38" s="456" t="s">
        <v>172</v>
      </c>
      <c r="U38" s="456" t="s">
        <v>172</v>
      </c>
      <c r="V38" s="456" t="s">
        <v>172</v>
      </c>
      <c r="W38" s="456" t="s">
        <v>172</v>
      </c>
      <c r="X38" s="456" t="s">
        <v>172</v>
      </c>
      <c r="Y38" s="456" t="s">
        <v>172</v>
      </c>
      <c r="Z38" s="456" t="s">
        <v>172</v>
      </c>
      <c r="AA38" s="456" t="s">
        <v>172</v>
      </c>
      <c r="AB38" s="457" t="s">
        <v>172</v>
      </c>
      <c r="AC38" s="456" t="s">
        <v>172</v>
      </c>
      <c r="AD38" s="456" t="s">
        <v>172</v>
      </c>
      <c r="AE38" s="456" t="s">
        <v>172</v>
      </c>
      <c r="AF38" s="456" t="s">
        <v>172</v>
      </c>
      <c r="AG38" s="456" t="s">
        <v>172</v>
      </c>
      <c r="AH38" s="456" t="s">
        <v>172</v>
      </c>
      <c r="AI38" s="456" t="s">
        <v>172</v>
      </c>
      <c r="AJ38" s="456" t="s">
        <v>172</v>
      </c>
      <c r="AK38" s="456" t="s">
        <v>172</v>
      </c>
      <c r="AL38" s="456" t="s">
        <v>172</v>
      </c>
      <c r="AM38" s="456" t="s">
        <v>172</v>
      </c>
      <c r="AN38" s="456" t="s">
        <v>172</v>
      </c>
      <c r="AO38" s="456" t="s">
        <v>172</v>
      </c>
      <c r="AP38" s="456" t="s">
        <v>172</v>
      </c>
      <c r="AQ38" s="456" t="s">
        <v>172</v>
      </c>
      <c r="AR38" s="456" t="s">
        <v>172</v>
      </c>
      <c r="AS38" s="456" t="s">
        <v>172</v>
      </c>
      <c r="AT38" s="456" t="s">
        <v>172</v>
      </c>
      <c r="AU38" s="456" t="s">
        <v>172</v>
      </c>
      <c r="AV38" s="456" t="s">
        <v>172</v>
      </c>
      <c r="AW38" s="456" t="s">
        <v>172</v>
      </c>
      <c r="AX38" s="456" t="s">
        <v>172</v>
      </c>
      <c r="AY38" s="456" t="s">
        <v>172</v>
      </c>
      <c r="AZ38" s="456" t="s">
        <v>172</v>
      </c>
      <c r="BA38" s="456" t="s">
        <v>172</v>
      </c>
      <c r="BB38" s="456" t="s">
        <v>172</v>
      </c>
      <c r="BD38" s="369" t="s">
        <v>172</v>
      </c>
      <c r="BE38" s="458" t="s">
        <v>173</v>
      </c>
      <c r="BF38" s="458" t="s">
        <v>173</v>
      </c>
      <c r="BG38" s="458" t="s">
        <v>173</v>
      </c>
      <c r="BH38" s="458" t="s">
        <v>173</v>
      </c>
      <c r="BI38" s="371">
        <f t="shared" si="1"/>
        <v>0</v>
      </c>
      <c r="BJ38" s="377" t="str">
        <f t="shared" si="2"/>
        <v>Abaixo do Básico</v>
      </c>
      <c r="BK38" s="373"/>
      <c r="BL38" s="374">
        <f t="shared" si="3"/>
        <v>0</v>
      </c>
      <c r="BM38" s="374">
        <f t="shared" si="4"/>
        <v>0</v>
      </c>
      <c r="BN38" s="459" t="str">
        <f t="shared" si="5"/>
        <v>Abaixo do Básico</v>
      </c>
      <c r="BO38" s="376">
        <f t="shared" si="6"/>
        <v>0</v>
      </c>
      <c r="BP38" s="374">
        <f t="shared" si="7"/>
        <v>0</v>
      </c>
      <c r="BQ38" s="377" t="str">
        <f t="shared" si="8"/>
        <v>Abaixo do Básico</v>
      </c>
      <c r="BR38" s="25"/>
    </row>
    <row r="39" ht="15.75" customHeight="1">
      <c r="A39" s="455">
        <v>10.0</v>
      </c>
      <c r="B39" s="378" t="s">
        <v>502</v>
      </c>
      <c r="C39" s="363" t="s">
        <v>170</v>
      </c>
      <c r="D39" s="447" t="s">
        <v>172</v>
      </c>
      <c r="E39" s="456" t="s">
        <v>172</v>
      </c>
      <c r="F39" s="456" t="s">
        <v>172</v>
      </c>
      <c r="G39" s="456" t="s">
        <v>172</v>
      </c>
      <c r="H39" s="456" t="s">
        <v>172</v>
      </c>
      <c r="I39" s="456" t="s">
        <v>172</v>
      </c>
      <c r="J39" s="456" t="s">
        <v>172</v>
      </c>
      <c r="K39" s="456" t="s">
        <v>172</v>
      </c>
      <c r="L39" s="456" t="s">
        <v>172</v>
      </c>
      <c r="M39" s="456" t="s">
        <v>172</v>
      </c>
      <c r="N39" s="456" t="s">
        <v>172</v>
      </c>
      <c r="O39" s="456" t="s">
        <v>172</v>
      </c>
      <c r="P39" s="456" t="s">
        <v>172</v>
      </c>
      <c r="Q39" s="456" t="s">
        <v>172</v>
      </c>
      <c r="R39" s="456" t="s">
        <v>172</v>
      </c>
      <c r="S39" s="456" t="s">
        <v>172</v>
      </c>
      <c r="T39" s="456" t="s">
        <v>172</v>
      </c>
      <c r="U39" s="456" t="s">
        <v>172</v>
      </c>
      <c r="V39" s="456" t="s">
        <v>172</v>
      </c>
      <c r="W39" s="456" t="s">
        <v>172</v>
      </c>
      <c r="X39" s="456" t="s">
        <v>172</v>
      </c>
      <c r="Y39" s="456" t="s">
        <v>172</v>
      </c>
      <c r="Z39" s="456" t="s">
        <v>172</v>
      </c>
      <c r="AA39" s="456" t="s">
        <v>172</v>
      </c>
      <c r="AB39" s="457" t="s">
        <v>172</v>
      </c>
      <c r="AC39" s="456" t="s">
        <v>172</v>
      </c>
      <c r="AD39" s="456" t="s">
        <v>172</v>
      </c>
      <c r="AE39" s="456" t="s">
        <v>172</v>
      </c>
      <c r="AF39" s="456" t="s">
        <v>172</v>
      </c>
      <c r="AG39" s="456" t="s">
        <v>172</v>
      </c>
      <c r="AH39" s="456" t="s">
        <v>172</v>
      </c>
      <c r="AI39" s="456" t="s">
        <v>172</v>
      </c>
      <c r="AJ39" s="456" t="s">
        <v>172</v>
      </c>
      <c r="AK39" s="456" t="s">
        <v>172</v>
      </c>
      <c r="AL39" s="456" t="s">
        <v>172</v>
      </c>
      <c r="AM39" s="456" t="s">
        <v>172</v>
      </c>
      <c r="AN39" s="456" t="s">
        <v>172</v>
      </c>
      <c r="AO39" s="456" t="s">
        <v>172</v>
      </c>
      <c r="AP39" s="456" t="s">
        <v>172</v>
      </c>
      <c r="AQ39" s="456" t="s">
        <v>172</v>
      </c>
      <c r="AR39" s="456" t="s">
        <v>172</v>
      </c>
      <c r="AS39" s="456" t="s">
        <v>172</v>
      </c>
      <c r="AT39" s="456" t="s">
        <v>172</v>
      </c>
      <c r="AU39" s="456" t="s">
        <v>172</v>
      </c>
      <c r="AV39" s="456" t="s">
        <v>172</v>
      </c>
      <c r="AW39" s="456" t="s">
        <v>172</v>
      </c>
      <c r="AX39" s="456" t="s">
        <v>172</v>
      </c>
      <c r="AY39" s="456" t="s">
        <v>172</v>
      </c>
      <c r="AZ39" s="456" t="s">
        <v>172</v>
      </c>
      <c r="BA39" s="456" t="s">
        <v>172</v>
      </c>
      <c r="BB39" s="456" t="s">
        <v>172</v>
      </c>
      <c r="BD39" s="369" t="s">
        <v>172</v>
      </c>
      <c r="BE39" s="458" t="s">
        <v>173</v>
      </c>
      <c r="BF39" s="458" t="s">
        <v>173</v>
      </c>
      <c r="BG39" s="458" t="s">
        <v>173</v>
      </c>
      <c r="BH39" s="458" t="s">
        <v>173</v>
      </c>
      <c r="BI39" s="371">
        <f t="shared" si="1"/>
        <v>0</v>
      </c>
      <c r="BJ39" s="377" t="str">
        <f t="shared" si="2"/>
        <v>Abaixo do Básico</v>
      </c>
      <c r="BK39" s="373"/>
      <c r="BL39" s="374">
        <f t="shared" si="3"/>
        <v>0</v>
      </c>
      <c r="BM39" s="374">
        <f t="shared" si="4"/>
        <v>0</v>
      </c>
      <c r="BN39" s="459" t="str">
        <f t="shared" si="5"/>
        <v>Abaixo do Básico</v>
      </c>
      <c r="BO39" s="376">
        <f t="shared" si="6"/>
        <v>0</v>
      </c>
      <c r="BP39" s="374">
        <f t="shared" si="7"/>
        <v>0</v>
      </c>
      <c r="BQ39" s="377" t="str">
        <f t="shared" si="8"/>
        <v>Abaixo do Básico</v>
      </c>
      <c r="BR39" s="25"/>
    </row>
    <row r="40" ht="15.75" customHeight="1">
      <c r="A40" s="455">
        <v>11.0</v>
      </c>
      <c r="B40" s="378" t="s">
        <v>503</v>
      </c>
      <c r="C40" s="363" t="s">
        <v>170</v>
      </c>
      <c r="D40" s="447" t="s">
        <v>44</v>
      </c>
      <c r="E40" s="456" t="s">
        <v>44</v>
      </c>
      <c r="F40" s="456" t="s">
        <v>41</v>
      </c>
      <c r="G40" s="456" t="s">
        <v>43</v>
      </c>
      <c r="H40" s="456" t="s">
        <v>44</v>
      </c>
      <c r="I40" s="456" t="s">
        <v>43</v>
      </c>
      <c r="J40" s="456" t="s">
        <v>44</v>
      </c>
      <c r="K40" s="456" t="s">
        <v>43</v>
      </c>
      <c r="L40" s="456" t="s">
        <v>41</v>
      </c>
      <c r="M40" s="456" t="s">
        <v>44</v>
      </c>
      <c r="N40" s="456" t="s">
        <v>42</v>
      </c>
      <c r="O40" s="456" t="s">
        <v>43</v>
      </c>
      <c r="P40" s="456" t="s">
        <v>44</v>
      </c>
      <c r="Q40" s="456" t="s">
        <v>42</v>
      </c>
      <c r="R40" s="456" t="s">
        <v>43</v>
      </c>
      <c r="S40" s="456" t="s">
        <v>41</v>
      </c>
      <c r="T40" s="456" t="s">
        <v>44</v>
      </c>
      <c r="U40" s="456" t="s">
        <v>44</v>
      </c>
      <c r="V40" s="456" t="s">
        <v>41</v>
      </c>
      <c r="W40" s="456" t="s">
        <v>43</v>
      </c>
      <c r="X40" s="456" t="s">
        <v>42</v>
      </c>
      <c r="Y40" s="456" t="s">
        <v>41</v>
      </c>
      <c r="Z40" s="456" t="s">
        <v>44</v>
      </c>
      <c r="AA40" s="456" t="s">
        <v>42</v>
      </c>
      <c r="AB40" s="457" t="s">
        <v>44</v>
      </c>
      <c r="AC40" s="456" t="s">
        <v>43</v>
      </c>
      <c r="AD40" s="456" t="s">
        <v>42</v>
      </c>
      <c r="AE40" s="456" t="s">
        <v>42</v>
      </c>
      <c r="AF40" s="456" t="s">
        <v>41</v>
      </c>
      <c r="AG40" s="456" t="s">
        <v>41</v>
      </c>
      <c r="AH40" s="456" t="s">
        <v>42</v>
      </c>
      <c r="AI40" s="456" t="s">
        <v>42</v>
      </c>
      <c r="AJ40" s="456" t="s">
        <v>42</v>
      </c>
      <c r="AK40" s="456" t="s">
        <v>44</v>
      </c>
      <c r="AL40" s="456" t="s">
        <v>41</v>
      </c>
      <c r="AM40" s="456" t="s">
        <v>44</v>
      </c>
      <c r="AN40" s="456" t="s">
        <v>44</v>
      </c>
      <c r="AO40" s="456" t="s">
        <v>44</v>
      </c>
      <c r="AP40" s="456" t="s">
        <v>44</v>
      </c>
      <c r="AQ40" s="456" t="s">
        <v>44</v>
      </c>
      <c r="AR40" s="456" t="s">
        <v>41</v>
      </c>
      <c r="AS40" s="456" t="s">
        <v>44</v>
      </c>
      <c r="AT40" s="456" t="s">
        <v>44</v>
      </c>
      <c r="AU40" s="456" t="s">
        <v>43</v>
      </c>
      <c r="AV40" s="456" t="s">
        <v>44</v>
      </c>
      <c r="AW40" s="456" t="s">
        <v>42</v>
      </c>
      <c r="AX40" s="456" t="s">
        <v>41</v>
      </c>
      <c r="AY40" s="456" t="s">
        <v>43</v>
      </c>
      <c r="AZ40" s="456" t="s">
        <v>42</v>
      </c>
      <c r="BA40" s="456" t="s">
        <v>41</v>
      </c>
      <c r="BB40" s="456" t="s">
        <v>41</v>
      </c>
      <c r="BD40" s="369" t="s">
        <v>44</v>
      </c>
      <c r="BE40" s="458">
        <v>3.0</v>
      </c>
      <c r="BF40" s="458">
        <v>3.0</v>
      </c>
      <c r="BG40" s="458">
        <v>2.0</v>
      </c>
      <c r="BH40" s="458">
        <v>2.0</v>
      </c>
      <c r="BI40" s="371">
        <f t="shared" si="1"/>
        <v>62.5</v>
      </c>
      <c r="BJ40" s="377" t="str">
        <f t="shared" si="2"/>
        <v>Adequado</v>
      </c>
      <c r="BK40" s="373"/>
      <c r="BL40" s="374">
        <f t="shared" si="3"/>
        <v>6</v>
      </c>
      <c r="BM40" s="374">
        <f t="shared" si="4"/>
        <v>104</v>
      </c>
      <c r="BN40" s="459" t="str">
        <f t="shared" si="5"/>
        <v>Abaixo do Básico</v>
      </c>
      <c r="BO40" s="376">
        <f t="shared" si="6"/>
        <v>7</v>
      </c>
      <c r="BP40" s="374">
        <f t="shared" si="7"/>
        <v>125</v>
      </c>
      <c r="BQ40" s="377" t="str">
        <f t="shared" si="8"/>
        <v>Abaixo do Básico</v>
      </c>
      <c r="BR40" s="25"/>
    </row>
    <row r="41" ht="15.75" customHeight="1">
      <c r="A41" s="455">
        <v>12.0</v>
      </c>
      <c r="B41" s="378" t="s">
        <v>504</v>
      </c>
      <c r="C41" s="363" t="s">
        <v>170</v>
      </c>
      <c r="D41" s="447" t="s">
        <v>43</v>
      </c>
      <c r="E41" s="456" t="s">
        <v>42</v>
      </c>
      <c r="F41" s="456" t="s">
        <v>41</v>
      </c>
      <c r="G41" s="456" t="s">
        <v>42</v>
      </c>
      <c r="H41" s="456" t="s">
        <v>44</v>
      </c>
      <c r="I41" s="456" t="s">
        <v>43</v>
      </c>
      <c r="J41" s="456" t="s">
        <v>41</v>
      </c>
      <c r="K41" s="456" t="s">
        <v>42</v>
      </c>
      <c r="L41" s="456" t="s">
        <v>41</v>
      </c>
      <c r="M41" s="456" t="s">
        <v>41</v>
      </c>
      <c r="N41" s="456" t="s">
        <v>41</v>
      </c>
      <c r="O41" s="456" t="s">
        <v>44</v>
      </c>
      <c r="P41" s="456" t="s">
        <v>43</v>
      </c>
      <c r="Q41" s="456" t="s">
        <v>44</v>
      </c>
      <c r="R41" s="456" t="s">
        <v>41</v>
      </c>
      <c r="S41" s="456" t="s">
        <v>41</v>
      </c>
      <c r="T41" s="456" t="s">
        <v>41</v>
      </c>
      <c r="U41" s="456" t="s">
        <v>41</v>
      </c>
      <c r="V41" s="456" t="s">
        <v>42</v>
      </c>
      <c r="W41" s="456" t="s">
        <v>42</v>
      </c>
      <c r="X41" s="456" t="s">
        <v>41</v>
      </c>
      <c r="Y41" s="456" t="s">
        <v>43</v>
      </c>
      <c r="Z41" s="456" t="s">
        <v>44</v>
      </c>
      <c r="AA41" s="456" t="s">
        <v>43</v>
      </c>
      <c r="AB41" s="457" t="s">
        <v>42</v>
      </c>
      <c r="AC41" s="456" t="s">
        <v>43</v>
      </c>
      <c r="AD41" s="456" t="s">
        <v>41</v>
      </c>
      <c r="AE41" s="456" t="s">
        <v>43</v>
      </c>
      <c r="AF41" s="456" t="s">
        <v>42</v>
      </c>
      <c r="AG41" s="456" t="s">
        <v>42</v>
      </c>
      <c r="AH41" s="456" t="s">
        <v>44</v>
      </c>
      <c r="AI41" s="456" t="s">
        <v>43</v>
      </c>
      <c r="AJ41" s="456" t="s">
        <v>44</v>
      </c>
      <c r="AK41" s="456" t="s">
        <v>43</v>
      </c>
      <c r="AL41" s="456" t="s">
        <v>42</v>
      </c>
      <c r="AM41" s="456" t="s">
        <v>41</v>
      </c>
      <c r="AN41" s="456" t="s">
        <v>41</v>
      </c>
      <c r="AO41" s="456" t="s">
        <v>43</v>
      </c>
      <c r="AP41" s="456" t="s">
        <v>43</v>
      </c>
      <c r="AQ41" s="456" t="s">
        <v>42</v>
      </c>
      <c r="AR41" s="456" t="s">
        <v>43</v>
      </c>
      <c r="AS41" s="456" t="s">
        <v>42</v>
      </c>
      <c r="AT41" s="456" t="s">
        <v>42</v>
      </c>
      <c r="AU41" s="456" t="s">
        <v>44</v>
      </c>
      <c r="AV41" s="456" t="s">
        <v>44</v>
      </c>
      <c r="AW41" s="456" t="s">
        <v>44</v>
      </c>
      <c r="AX41" s="456" t="s">
        <v>43</v>
      </c>
      <c r="AY41" s="456" t="s">
        <v>41</v>
      </c>
      <c r="AZ41" s="456" t="s">
        <v>42</v>
      </c>
      <c r="BA41" s="456" t="s">
        <v>44</v>
      </c>
      <c r="BB41" s="456" t="s">
        <v>42</v>
      </c>
      <c r="BD41" s="369" t="s">
        <v>44</v>
      </c>
      <c r="BE41" s="458">
        <v>4.0</v>
      </c>
      <c r="BF41" s="458">
        <v>3.0</v>
      </c>
      <c r="BG41" s="458">
        <v>3.0</v>
      </c>
      <c r="BH41" s="458">
        <v>3.0</v>
      </c>
      <c r="BI41" s="371">
        <f t="shared" si="1"/>
        <v>81.25</v>
      </c>
      <c r="BJ41" s="377" t="str">
        <f t="shared" si="2"/>
        <v>Avançado</v>
      </c>
      <c r="BK41" s="373"/>
      <c r="BL41" s="374">
        <f t="shared" si="3"/>
        <v>7</v>
      </c>
      <c r="BM41" s="374">
        <f t="shared" si="4"/>
        <v>150</v>
      </c>
      <c r="BN41" s="459" t="str">
        <f t="shared" si="5"/>
        <v>Básico</v>
      </c>
      <c r="BO41" s="376">
        <f t="shared" si="6"/>
        <v>5</v>
      </c>
      <c r="BP41" s="374">
        <f t="shared" si="7"/>
        <v>101</v>
      </c>
      <c r="BQ41" s="377" t="str">
        <f t="shared" si="8"/>
        <v>Abaixo do Básico</v>
      </c>
      <c r="BR41" s="25"/>
    </row>
    <row r="42" ht="15.75" customHeight="1">
      <c r="A42" s="455">
        <v>13.0</v>
      </c>
      <c r="B42" s="378" t="s">
        <v>505</v>
      </c>
      <c r="C42" s="363" t="s">
        <v>170</v>
      </c>
      <c r="D42" s="447" t="s">
        <v>44</v>
      </c>
      <c r="E42" s="456" t="s">
        <v>41</v>
      </c>
      <c r="F42" s="456" t="s">
        <v>41</v>
      </c>
      <c r="G42" s="456" t="s">
        <v>42</v>
      </c>
      <c r="H42" s="456" t="s">
        <v>43</v>
      </c>
      <c r="I42" s="456" t="s">
        <v>42</v>
      </c>
      <c r="J42" s="456" t="s">
        <v>44</v>
      </c>
      <c r="K42" s="456" t="s">
        <v>44</v>
      </c>
      <c r="L42" s="456" t="s">
        <v>41</v>
      </c>
      <c r="M42" s="456" t="s">
        <v>42</v>
      </c>
      <c r="N42" s="456" t="s">
        <v>44</v>
      </c>
      <c r="O42" s="456" t="s">
        <v>43</v>
      </c>
      <c r="P42" s="456" t="s">
        <v>44</v>
      </c>
      <c r="Q42" s="456" t="s">
        <v>41</v>
      </c>
      <c r="R42" s="456" t="s">
        <v>41</v>
      </c>
      <c r="S42" s="456" t="s">
        <v>41</v>
      </c>
      <c r="T42" s="456" t="s">
        <v>42</v>
      </c>
      <c r="U42" s="456" t="s">
        <v>44</v>
      </c>
      <c r="V42" s="456" t="s">
        <v>43</v>
      </c>
      <c r="W42" s="456" t="s">
        <v>41</v>
      </c>
      <c r="X42" s="456" t="s">
        <v>42</v>
      </c>
      <c r="Y42" s="456" t="s">
        <v>44</v>
      </c>
      <c r="Z42" s="456" t="s">
        <v>42</v>
      </c>
      <c r="AA42" s="456" t="s">
        <v>42</v>
      </c>
      <c r="AB42" s="457" t="s">
        <v>43</v>
      </c>
      <c r="AC42" s="456" t="s">
        <v>41</v>
      </c>
      <c r="AD42" s="456" t="s">
        <v>42</v>
      </c>
      <c r="AE42" s="456" t="s">
        <v>41</v>
      </c>
      <c r="AF42" s="456" t="s">
        <v>41</v>
      </c>
      <c r="AG42" s="456" t="s">
        <v>44</v>
      </c>
      <c r="AH42" s="456" t="s">
        <v>43</v>
      </c>
      <c r="AI42" s="456" t="s">
        <v>42</v>
      </c>
      <c r="AJ42" s="456" t="s">
        <v>44</v>
      </c>
      <c r="AK42" s="456" t="s">
        <v>42</v>
      </c>
      <c r="AL42" s="456" t="s">
        <v>42</v>
      </c>
      <c r="AM42" s="456" t="s">
        <v>44</v>
      </c>
      <c r="AN42" s="456" t="s">
        <v>42</v>
      </c>
      <c r="AO42" s="456" t="s">
        <v>44</v>
      </c>
      <c r="AP42" s="456" t="s">
        <v>44</v>
      </c>
      <c r="AQ42" s="456" t="s">
        <v>42</v>
      </c>
      <c r="AR42" s="456" t="s">
        <v>43</v>
      </c>
      <c r="AS42" s="456" t="s">
        <v>42</v>
      </c>
      <c r="AT42" s="456" t="s">
        <v>41</v>
      </c>
      <c r="AU42" s="456" t="s">
        <v>44</v>
      </c>
      <c r="AV42" s="456" t="s">
        <v>42</v>
      </c>
      <c r="AW42" s="456" t="s">
        <v>44</v>
      </c>
      <c r="AX42" s="456" t="s">
        <v>41</v>
      </c>
      <c r="AY42" s="456" t="s">
        <v>42</v>
      </c>
      <c r="AZ42" s="456" t="s">
        <v>44</v>
      </c>
      <c r="BA42" s="456" t="s">
        <v>41</v>
      </c>
      <c r="BB42" s="456" t="s">
        <v>42</v>
      </c>
      <c r="BD42" s="369" t="s">
        <v>44</v>
      </c>
      <c r="BE42" s="458">
        <v>4.0</v>
      </c>
      <c r="BF42" s="458">
        <v>3.0</v>
      </c>
      <c r="BG42" s="458">
        <v>3.0</v>
      </c>
      <c r="BH42" s="458">
        <v>3.0</v>
      </c>
      <c r="BI42" s="371">
        <f t="shared" si="1"/>
        <v>81.25</v>
      </c>
      <c r="BJ42" s="377" t="str">
        <f t="shared" si="2"/>
        <v>Avançado</v>
      </c>
      <c r="BK42" s="373"/>
      <c r="BL42" s="374">
        <f t="shared" si="3"/>
        <v>15</v>
      </c>
      <c r="BM42" s="374">
        <f t="shared" si="4"/>
        <v>311</v>
      </c>
      <c r="BN42" s="459" t="str">
        <f t="shared" si="5"/>
        <v>Adequado</v>
      </c>
      <c r="BO42" s="376">
        <f t="shared" si="6"/>
        <v>8</v>
      </c>
      <c r="BP42" s="374">
        <f t="shared" si="7"/>
        <v>155</v>
      </c>
      <c r="BQ42" s="377" t="str">
        <f t="shared" si="8"/>
        <v>Básico</v>
      </c>
      <c r="BR42" s="25"/>
    </row>
    <row r="43" ht="15.75" customHeight="1">
      <c r="A43" s="455">
        <v>14.0</v>
      </c>
      <c r="B43" s="378" t="s">
        <v>506</v>
      </c>
      <c r="C43" s="363" t="s">
        <v>170</v>
      </c>
      <c r="D43" s="447" t="s">
        <v>42</v>
      </c>
      <c r="E43" s="456" t="s">
        <v>43</v>
      </c>
      <c r="F43" s="456" t="s">
        <v>41</v>
      </c>
      <c r="G43" s="456" t="s">
        <v>41</v>
      </c>
      <c r="H43" s="456" t="s">
        <v>42</v>
      </c>
      <c r="I43" s="456" t="s">
        <v>42</v>
      </c>
      <c r="J43" s="456" t="s">
        <v>44</v>
      </c>
      <c r="K43" s="456" t="s">
        <v>42</v>
      </c>
      <c r="L43" s="456" t="s">
        <v>42</v>
      </c>
      <c r="M43" s="456" t="s">
        <v>44</v>
      </c>
      <c r="N43" s="456" t="s">
        <v>41</v>
      </c>
      <c r="O43" s="456" t="s">
        <v>42</v>
      </c>
      <c r="P43" s="456" t="s">
        <v>42</v>
      </c>
      <c r="Q43" s="456" t="s">
        <v>41</v>
      </c>
      <c r="R43" s="456" t="s">
        <v>44</v>
      </c>
      <c r="S43" s="456" t="s">
        <v>41</v>
      </c>
      <c r="T43" s="456" t="s">
        <v>42</v>
      </c>
      <c r="U43" s="456" t="s">
        <v>44</v>
      </c>
      <c r="V43" s="456" t="s">
        <v>44</v>
      </c>
      <c r="W43" s="456" t="s">
        <v>42</v>
      </c>
      <c r="X43" s="456" t="s">
        <v>43</v>
      </c>
      <c r="Y43" s="456" t="s">
        <v>44</v>
      </c>
      <c r="Z43" s="456" t="s">
        <v>42</v>
      </c>
      <c r="AA43" s="456" t="s">
        <v>42</v>
      </c>
      <c r="AB43" s="457" t="s">
        <v>41</v>
      </c>
      <c r="AC43" s="456" t="s">
        <v>42</v>
      </c>
      <c r="AD43" s="456" t="s">
        <v>41</v>
      </c>
      <c r="AE43" s="456" t="s">
        <v>43</v>
      </c>
      <c r="AF43" s="456" t="s">
        <v>42</v>
      </c>
      <c r="AG43" s="456" t="s">
        <v>43</v>
      </c>
      <c r="AH43" s="456" t="s">
        <v>42</v>
      </c>
      <c r="AI43" s="456" t="s">
        <v>42</v>
      </c>
      <c r="AJ43" s="456" t="s">
        <v>173</v>
      </c>
      <c r="AK43" s="456" t="s">
        <v>41</v>
      </c>
      <c r="AL43" s="456" t="s">
        <v>44</v>
      </c>
      <c r="AM43" s="456" t="s">
        <v>41</v>
      </c>
      <c r="AN43" s="456" t="s">
        <v>41</v>
      </c>
      <c r="AO43" s="456" t="s">
        <v>43</v>
      </c>
      <c r="AP43" s="456" t="s">
        <v>42</v>
      </c>
      <c r="AQ43" s="456" t="s">
        <v>42</v>
      </c>
      <c r="AR43" s="456" t="s">
        <v>42</v>
      </c>
      <c r="AS43" s="456" t="s">
        <v>42</v>
      </c>
      <c r="AT43" s="456" t="s">
        <v>42</v>
      </c>
      <c r="AU43" s="456" t="s">
        <v>43</v>
      </c>
      <c r="AV43" s="456" t="s">
        <v>41</v>
      </c>
      <c r="AW43" s="456" t="s">
        <v>41</v>
      </c>
      <c r="AX43" s="456" t="s">
        <v>44</v>
      </c>
      <c r="AY43" s="456" t="s">
        <v>41</v>
      </c>
      <c r="AZ43" s="456" t="s">
        <v>41</v>
      </c>
      <c r="BA43" s="456" t="s">
        <v>41</v>
      </c>
      <c r="BB43" s="456" t="s">
        <v>42</v>
      </c>
      <c r="BD43" s="369" t="s">
        <v>44</v>
      </c>
      <c r="BE43" s="458">
        <v>3.0</v>
      </c>
      <c r="BF43" s="458">
        <v>3.0</v>
      </c>
      <c r="BG43" s="458">
        <v>3.0</v>
      </c>
      <c r="BH43" s="458">
        <v>3.0</v>
      </c>
      <c r="BI43" s="371">
        <f t="shared" si="1"/>
        <v>75</v>
      </c>
      <c r="BJ43" s="377" t="str">
        <f t="shared" si="2"/>
        <v>Adequado</v>
      </c>
      <c r="BK43" s="373"/>
      <c r="BL43" s="374">
        <f t="shared" si="3"/>
        <v>11</v>
      </c>
      <c r="BM43" s="374">
        <f t="shared" si="4"/>
        <v>226</v>
      </c>
      <c r="BN43" s="459" t="str">
        <f t="shared" si="5"/>
        <v>Básico</v>
      </c>
      <c r="BO43" s="376">
        <f t="shared" si="6"/>
        <v>8</v>
      </c>
      <c r="BP43" s="374">
        <f t="shared" si="7"/>
        <v>163</v>
      </c>
      <c r="BQ43" s="377" t="str">
        <f t="shared" si="8"/>
        <v>Básico</v>
      </c>
      <c r="BR43" s="25"/>
    </row>
    <row r="44" ht="15.75" customHeight="1">
      <c r="A44" s="455">
        <v>15.0</v>
      </c>
      <c r="B44" s="378" t="s">
        <v>507</v>
      </c>
      <c r="C44" s="363" t="s">
        <v>170</v>
      </c>
      <c r="D44" s="447" t="s">
        <v>44</v>
      </c>
      <c r="E44" s="456" t="s">
        <v>43</v>
      </c>
      <c r="F44" s="456" t="s">
        <v>41</v>
      </c>
      <c r="G44" s="456" t="s">
        <v>44</v>
      </c>
      <c r="H44" s="456" t="s">
        <v>44</v>
      </c>
      <c r="I44" s="456" t="s">
        <v>42</v>
      </c>
      <c r="J44" s="456" t="s">
        <v>44</v>
      </c>
      <c r="K44" s="456" t="s">
        <v>44</v>
      </c>
      <c r="L44" s="456" t="s">
        <v>41</v>
      </c>
      <c r="M44" s="456" t="s">
        <v>42</v>
      </c>
      <c r="N44" s="456" t="s">
        <v>44</v>
      </c>
      <c r="O44" s="456" t="s">
        <v>42</v>
      </c>
      <c r="P44" s="456" t="s">
        <v>42</v>
      </c>
      <c r="Q44" s="456" t="s">
        <v>44</v>
      </c>
      <c r="R44" s="456" t="s">
        <v>44</v>
      </c>
      <c r="S44" s="456" t="s">
        <v>41</v>
      </c>
      <c r="T44" s="456" t="s">
        <v>43</v>
      </c>
      <c r="U44" s="456" t="s">
        <v>44</v>
      </c>
      <c r="V44" s="456" t="s">
        <v>44</v>
      </c>
      <c r="W44" s="456" t="s">
        <v>42</v>
      </c>
      <c r="X44" s="456" t="s">
        <v>41</v>
      </c>
      <c r="Y44" s="456" t="s">
        <v>43</v>
      </c>
      <c r="Z44" s="456" t="s">
        <v>42</v>
      </c>
      <c r="AA44" s="456" t="s">
        <v>42</v>
      </c>
      <c r="AB44" s="457" t="s">
        <v>42</v>
      </c>
      <c r="AC44" s="456" t="s">
        <v>41</v>
      </c>
      <c r="AD44" s="456" t="s">
        <v>41</v>
      </c>
      <c r="AE44" s="456" t="s">
        <v>43</v>
      </c>
      <c r="AF44" s="456" t="s">
        <v>42</v>
      </c>
      <c r="AG44" s="456" t="s">
        <v>43</v>
      </c>
      <c r="AH44" s="456" t="s">
        <v>42</v>
      </c>
      <c r="AI44" s="456" t="s">
        <v>42</v>
      </c>
      <c r="AJ44" s="456" t="s">
        <v>42</v>
      </c>
      <c r="AK44" s="456" t="s">
        <v>42</v>
      </c>
      <c r="AL44" s="456" t="s">
        <v>43</v>
      </c>
      <c r="AM44" s="456" t="s">
        <v>41</v>
      </c>
      <c r="AN44" s="456" t="s">
        <v>43</v>
      </c>
      <c r="AO44" s="456" t="s">
        <v>41</v>
      </c>
      <c r="AP44" s="456" t="s">
        <v>43</v>
      </c>
      <c r="AQ44" s="456" t="s">
        <v>42</v>
      </c>
      <c r="AR44" s="456" t="s">
        <v>44</v>
      </c>
      <c r="AS44" s="456" t="s">
        <v>42</v>
      </c>
      <c r="AT44" s="456" t="s">
        <v>43</v>
      </c>
      <c r="AU44" s="456" t="s">
        <v>41</v>
      </c>
      <c r="AV44" s="456" t="s">
        <v>41</v>
      </c>
      <c r="AW44" s="456" t="s">
        <v>42</v>
      </c>
      <c r="AX44" s="456" t="s">
        <v>43</v>
      </c>
      <c r="AY44" s="456" t="s">
        <v>43</v>
      </c>
      <c r="AZ44" s="456" t="s">
        <v>42</v>
      </c>
      <c r="BA44" s="456" t="s">
        <v>41</v>
      </c>
      <c r="BB44" s="456" t="s">
        <v>43</v>
      </c>
      <c r="BD44" s="369" t="s">
        <v>44</v>
      </c>
      <c r="BE44" s="458">
        <v>3.0</v>
      </c>
      <c r="BF44" s="458">
        <v>3.0</v>
      </c>
      <c r="BG44" s="458">
        <v>2.0</v>
      </c>
      <c r="BH44" s="458">
        <v>2.0</v>
      </c>
      <c r="BI44" s="371">
        <f t="shared" si="1"/>
        <v>62.5</v>
      </c>
      <c r="BJ44" s="377" t="str">
        <f t="shared" si="2"/>
        <v>Adequado</v>
      </c>
      <c r="BK44" s="373"/>
      <c r="BL44" s="374">
        <f t="shared" si="3"/>
        <v>15</v>
      </c>
      <c r="BM44" s="374">
        <f t="shared" si="4"/>
        <v>273</v>
      </c>
      <c r="BN44" s="459" t="str">
        <f t="shared" si="5"/>
        <v>Adequado</v>
      </c>
      <c r="BO44" s="376">
        <f t="shared" si="6"/>
        <v>7</v>
      </c>
      <c r="BP44" s="374">
        <f t="shared" si="7"/>
        <v>140</v>
      </c>
      <c r="BQ44" s="377" t="str">
        <f t="shared" si="8"/>
        <v>Básico</v>
      </c>
      <c r="BR44" s="25"/>
    </row>
    <row r="45" ht="15.75" customHeight="1">
      <c r="A45" s="455">
        <v>16.0</v>
      </c>
      <c r="B45" s="378" t="s">
        <v>508</v>
      </c>
      <c r="C45" s="363" t="s">
        <v>170</v>
      </c>
      <c r="D45" s="447" t="s">
        <v>43</v>
      </c>
      <c r="E45" s="456" t="s">
        <v>41</v>
      </c>
      <c r="F45" s="456" t="s">
        <v>41</v>
      </c>
      <c r="G45" s="456" t="s">
        <v>42</v>
      </c>
      <c r="H45" s="456" t="s">
        <v>41</v>
      </c>
      <c r="I45" s="456" t="s">
        <v>44</v>
      </c>
      <c r="J45" s="456" t="s">
        <v>44</v>
      </c>
      <c r="K45" s="456" t="s">
        <v>41</v>
      </c>
      <c r="L45" s="456" t="s">
        <v>41</v>
      </c>
      <c r="M45" s="456" t="s">
        <v>44</v>
      </c>
      <c r="N45" s="456" t="s">
        <v>43</v>
      </c>
      <c r="O45" s="456" t="s">
        <v>42</v>
      </c>
      <c r="P45" s="456" t="s">
        <v>44</v>
      </c>
      <c r="Q45" s="456" t="s">
        <v>44</v>
      </c>
      <c r="R45" s="456" t="s">
        <v>44</v>
      </c>
      <c r="S45" s="456" t="s">
        <v>41</v>
      </c>
      <c r="T45" s="456" t="s">
        <v>42</v>
      </c>
      <c r="U45" s="456" t="s">
        <v>43</v>
      </c>
      <c r="V45" s="456" t="s">
        <v>41</v>
      </c>
      <c r="W45" s="456" t="s">
        <v>44</v>
      </c>
      <c r="X45" s="456" t="s">
        <v>42</v>
      </c>
      <c r="Y45" s="456" t="s">
        <v>41</v>
      </c>
      <c r="Z45" s="456" t="s">
        <v>44</v>
      </c>
      <c r="AA45" s="456" t="s">
        <v>42</v>
      </c>
      <c r="AB45" s="457" t="s">
        <v>44</v>
      </c>
      <c r="AC45" s="456" t="s">
        <v>41</v>
      </c>
      <c r="AD45" s="456" t="s">
        <v>43</v>
      </c>
      <c r="AE45" s="456" t="s">
        <v>44</v>
      </c>
      <c r="AF45" s="456" t="s">
        <v>41</v>
      </c>
      <c r="AG45" s="456" t="s">
        <v>44</v>
      </c>
      <c r="AH45" s="456" t="s">
        <v>42</v>
      </c>
      <c r="AI45" s="456" t="s">
        <v>43</v>
      </c>
      <c r="AJ45" s="456" t="s">
        <v>41</v>
      </c>
      <c r="AK45" s="456" t="s">
        <v>44</v>
      </c>
      <c r="AL45" s="456" t="s">
        <v>42</v>
      </c>
      <c r="AM45" s="456" t="s">
        <v>43</v>
      </c>
      <c r="AN45" s="456" t="s">
        <v>41</v>
      </c>
      <c r="AO45" s="456" t="s">
        <v>42</v>
      </c>
      <c r="AP45" s="456" t="s">
        <v>41</v>
      </c>
      <c r="AQ45" s="456" t="s">
        <v>43</v>
      </c>
      <c r="AR45" s="456" t="s">
        <v>42</v>
      </c>
      <c r="AS45" s="456" t="s">
        <v>44</v>
      </c>
      <c r="AT45" s="456" t="s">
        <v>41</v>
      </c>
      <c r="AU45" s="456" t="s">
        <v>41</v>
      </c>
      <c r="AV45" s="456" t="s">
        <v>42</v>
      </c>
      <c r="AW45" s="456" t="s">
        <v>44</v>
      </c>
      <c r="AX45" s="456" t="s">
        <v>42</v>
      </c>
      <c r="AY45" s="456" t="s">
        <v>43</v>
      </c>
      <c r="AZ45" s="456" t="s">
        <v>43</v>
      </c>
      <c r="BA45" s="456" t="s">
        <v>44</v>
      </c>
      <c r="BB45" s="456" t="s">
        <v>42</v>
      </c>
      <c r="BD45" s="369" t="s">
        <v>44</v>
      </c>
      <c r="BE45" s="458">
        <v>2.0</v>
      </c>
      <c r="BF45" s="458">
        <v>2.0</v>
      </c>
      <c r="BG45" s="458">
        <v>2.0</v>
      </c>
      <c r="BH45" s="458">
        <v>2.0</v>
      </c>
      <c r="BI45" s="371">
        <f t="shared" si="1"/>
        <v>50</v>
      </c>
      <c r="BJ45" s="377" t="str">
        <f t="shared" si="2"/>
        <v>Básico</v>
      </c>
      <c r="BK45" s="373"/>
      <c r="BL45" s="374">
        <f t="shared" si="3"/>
        <v>8</v>
      </c>
      <c r="BM45" s="374">
        <f t="shared" si="4"/>
        <v>141</v>
      </c>
      <c r="BN45" s="459" t="str">
        <f t="shared" si="5"/>
        <v>Básico</v>
      </c>
      <c r="BO45" s="376">
        <f t="shared" si="6"/>
        <v>6</v>
      </c>
      <c r="BP45" s="374">
        <f t="shared" si="7"/>
        <v>102</v>
      </c>
      <c r="BQ45" s="377" t="str">
        <f t="shared" si="8"/>
        <v>Abaixo do Básico</v>
      </c>
      <c r="BR45" s="25"/>
    </row>
    <row r="46" ht="15.75" customHeight="1">
      <c r="A46" s="455">
        <v>17.0</v>
      </c>
      <c r="B46" s="378" t="s">
        <v>509</v>
      </c>
      <c r="C46" s="363" t="s">
        <v>170</v>
      </c>
      <c r="D46" s="447" t="s">
        <v>43</v>
      </c>
      <c r="E46" s="456" t="s">
        <v>44</v>
      </c>
      <c r="F46" s="456" t="s">
        <v>41</v>
      </c>
      <c r="G46" s="456" t="s">
        <v>41</v>
      </c>
      <c r="H46" s="456" t="s">
        <v>43</v>
      </c>
      <c r="I46" s="456" t="s">
        <v>43</v>
      </c>
      <c r="J46" s="456" t="s">
        <v>44</v>
      </c>
      <c r="K46" s="456" t="s">
        <v>42</v>
      </c>
      <c r="L46" s="456" t="s">
        <v>41</v>
      </c>
      <c r="M46" s="456" t="s">
        <v>44</v>
      </c>
      <c r="N46" s="456" t="s">
        <v>44</v>
      </c>
      <c r="O46" s="456" t="s">
        <v>42</v>
      </c>
      <c r="P46" s="456" t="s">
        <v>43</v>
      </c>
      <c r="Q46" s="456" t="s">
        <v>42</v>
      </c>
      <c r="R46" s="456" t="s">
        <v>41</v>
      </c>
      <c r="S46" s="456" t="s">
        <v>42</v>
      </c>
      <c r="T46" s="456" t="s">
        <v>42</v>
      </c>
      <c r="U46" s="456" t="s">
        <v>44</v>
      </c>
      <c r="V46" s="456" t="s">
        <v>41</v>
      </c>
      <c r="W46" s="456" t="s">
        <v>42</v>
      </c>
      <c r="X46" s="456" t="s">
        <v>43</v>
      </c>
      <c r="Y46" s="456" t="s">
        <v>42</v>
      </c>
      <c r="Z46" s="456" t="s">
        <v>41</v>
      </c>
      <c r="AA46" s="456" t="s">
        <v>44</v>
      </c>
      <c r="AB46" s="457" t="s">
        <v>43</v>
      </c>
      <c r="AC46" s="456" t="s">
        <v>44</v>
      </c>
      <c r="AD46" s="456" t="s">
        <v>41</v>
      </c>
      <c r="AE46" s="456" t="s">
        <v>42</v>
      </c>
      <c r="AF46" s="456" t="s">
        <v>41</v>
      </c>
      <c r="AG46" s="456" t="s">
        <v>44</v>
      </c>
      <c r="AH46" s="456" t="s">
        <v>43</v>
      </c>
      <c r="AI46" s="456" t="s">
        <v>43</v>
      </c>
      <c r="AJ46" s="456" t="s">
        <v>41</v>
      </c>
      <c r="AK46" s="456" t="s">
        <v>44</v>
      </c>
      <c r="AL46" s="456" t="s">
        <v>44</v>
      </c>
      <c r="AM46" s="456" t="s">
        <v>41</v>
      </c>
      <c r="AN46" s="456" t="s">
        <v>41</v>
      </c>
      <c r="AO46" s="456" t="s">
        <v>42</v>
      </c>
      <c r="AP46" s="456" t="s">
        <v>43</v>
      </c>
      <c r="AQ46" s="456" t="s">
        <v>42</v>
      </c>
      <c r="AR46" s="456" t="s">
        <v>41</v>
      </c>
      <c r="AS46" s="456" t="s">
        <v>44</v>
      </c>
      <c r="AT46" s="456" t="s">
        <v>44</v>
      </c>
      <c r="AU46" s="456" t="s">
        <v>42</v>
      </c>
      <c r="AV46" s="456" t="s">
        <v>43</v>
      </c>
      <c r="AW46" s="456" t="s">
        <v>41</v>
      </c>
      <c r="AX46" s="456" t="s">
        <v>41</v>
      </c>
      <c r="AY46" s="456" t="s">
        <v>42</v>
      </c>
      <c r="AZ46" s="456" t="s">
        <v>41</v>
      </c>
      <c r="BA46" s="456" t="s">
        <v>44</v>
      </c>
      <c r="BB46" s="456" t="s">
        <v>43</v>
      </c>
      <c r="BD46" s="369" t="s">
        <v>44</v>
      </c>
      <c r="BE46" s="458">
        <v>3.0</v>
      </c>
      <c r="BF46" s="458">
        <v>3.0</v>
      </c>
      <c r="BG46" s="458">
        <v>3.0</v>
      </c>
      <c r="BH46" s="458">
        <v>3.0</v>
      </c>
      <c r="BI46" s="371">
        <f t="shared" si="1"/>
        <v>75</v>
      </c>
      <c r="BJ46" s="377" t="str">
        <f t="shared" si="2"/>
        <v>Adequado</v>
      </c>
      <c r="BK46" s="373"/>
      <c r="BL46" s="374">
        <f t="shared" si="3"/>
        <v>7</v>
      </c>
      <c r="BM46" s="374">
        <f t="shared" si="4"/>
        <v>132</v>
      </c>
      <c r="BN46" s="459" t="str">
        <f t="shared" si="5"/>
        <v>Básico</v>
      </c>
      <c r="BO46" s="376">
        <f t="shared" si="6"/>
        <v>9</v>
      </c>
      <c r="BP46" s="374">
        <f t="shared" si="7"/>
        <v>171</v>
      </c>
      <c r="BQ46" s="377" t="str">
        <f t="shared" si="8"/>
        <v>Básico</v>
      </c>
      <c r="BR46" s="25"/>
    </row>
    <row r="47" ht="15.75" customHeight="1">
      <c r="A47" s="455">
        <v>18.0</v>
      </c>
      <c r="B47" s="378" t="s">
        <v>510</v>
      </c>
      <c r="C47" s="363" t="s">
        <v>170</v>
      </c>
      <c r="D47" s="447" t="s">
        <v>41</v>
      </c>
      <c r="E47" s="456" t="s">
        <v>44</v>
      </c>
      <c r="F47" s="456" t="s">
        <v>41</v>
      </c>
      <c r="G47" s="456" t="s">
        <v>43</v>
      </c>
      <c r="H47" s="456" t="s">
        <v>42</v>
      </c>
      <c r="I47" s="456" t="s">
        <v>42</v>
      </c>
      <c r="J47" s="456" t="s">
        <v>43</v>
      </c>
      <c r="K47" s="456" t="s">
        <v>44</v>
      </c>
      <c r="L47" s="456" t="s">
        <v>41</v>
      </c>
      <c r="M47" s="456" t="s">
        <v>43</v>
      </c>
      <c r="N47" s="456" t="s">
        <v>44</v>
      </c>
      <c r="O47" s="456" t="s">
        <v>42</v>
      </c>
      <c r="P47" s="456" t="s">
        <v>41</v>
      </c>
      <c r="Q47" s="456" t="s">
        <v>44</v>
      </c>
      <c r="R47" s="456" t="s">
        <v>41</v>
      </c>
      <c r="S47" s="456" t="s">
        <v>41</v>
      </c>
      <c r="T47" s="456" t="s">
        <v>43</v>
      </c>
      <c r="U47" s="456" t="s">
        <v>43</v>
      </c>
      <c r="V47" s="456" t="s">
        <v>42</v>
      </c>
      <c r="W47" s="456" t="s">
        <v>41</v>
      </c>
      <c r="X47" s="456" t="s">
        <v>41</v>
      </c>
      <c r="Y47" s="456" t="s">
        <v>44</v>
      </c>
      <c r="Z47" s="456" t="s">
        <v>44</v>
      </c>
      <c r="AA47" s="456" t="s">
        <v>42</v>
      </c>
      <c r="AB47" s="457" t="s">
        <v>43</v>
      </c>
      <c r="AC47" s="456" t="s">
        <v>42</v>
      </c>
      <c r="AD47" s="456" t="s">
        <v>41</v>
      </c>
      <c r="AE47" s="456" t="s">
        <v>43</v>
      </c>
      <c r="AF47" s="456" t="s">
        <v>44</v>
      </c>
      <c r="AG47" s="456" t="s">
        <v>43</v>
      </c>
      <c r="AH47" s="456" t="s">
        <v>42</v>
      </c>
      <c r="AI47" s="456" t="s">
        <v>41</v>
      </c>
      <c r="AJ47" s="456" t="s">
        <v>44</v>
      </c>
      <c r="AK47" s="456" t="s">
        <v>41</v>
      </c>
      <c r="AL47" s="456" t="s">
        <v>44</v>
      </c>
      <c r="AM47" s="456" t="s">
        <v>41</v>
      </c>
      <c r="AN47" s="456" t="s">
        <v>41</v>
      </c>
      <c r="AO47" s="456" t="s">
        <v>43</v>
      </c>
      <c r="AP47" s="456" t="s">
        <v>41</v>
      </c>
      <c r="AQ47" s="456" t="s">
        <v>42</v>
      </c>
      <c r="AR47" s="456" t="s">
        <v>44</v>
      </c>
      <c r="AS47" s="456" t="s">
        <v>43</v>
      </c>
      <c r="AT47" s="456" t="s">
        <v>42</v>
      </c>
      <c r="AU47" s="456" t="s">
        <v>41</v>
      </c>
      <c r="AV47" s="456" t="s">
        <v>44</v>
      </c>
      <c r="AW47" s="456" t="s">
        <v>42</v>
      </c>
      <c r="AX47" s="456" t="s">
        <v>41</v>
      </c>
      <c r="AY47" s="456" t="s">
        <v>41</v>
      </c>
      <c r="AZ47" s="456" t="s">
        <v>41</v>
      </c>
      <c r="BA47" s="456" t="s">
        <v>41</v>
      </c>
      <c r="BB47" s="456" t="s">
        <v>42</v>
      </c>
      <c r="BD47" s="369" t="s">
        <v>44</v>
      </c>
      <c r="BE47" s="458">
        <v>3.0</v>
      </c>
      <c r="BF47" s="458">
        <v>3.0</v>
      </c>
      <c r="BG47" s="458">
        <v>3.0</v>
      </c>
      <c r="BH47" s="458">
        <v>3.0</v>
      </c>
      <c r="BI47" s="371">
        <f t="shared" si="1"/>
        <v>75</v>
      </c>
      <c r="BJ47" s="377" t="str">
        <f t="shared" si="2"/>
        <v>Adequado</v>
      </c>
      <c r="BK47" s="373"/>
      <c r="BL47" s="374">
        <f t="shared" si="3"/>
        <v>12</v>
      </c>
      <c r="BM47" s="374">
        <f t="shared" si="4"/>
        <v>216</v>
      </c>
      <c r="BN47" s="459" t="str">
        <f t="shared" si="5"/>
        <v>Básico</v>
      </c>
      <c r="BO47" s="376">
        <f t="shared" si="6"/>
        <v>5</v>
      </c>
      <c r="BP47" s="374">
        <f t="shared" si="7"/>
        <v>108</v>
      </c>
      <c r="BQ47" s="377" t="str">
        <f t="shared" si="8"/>
        <v>Abaixo do Básico</v>
      </c>
      <c r="BR47" s="25"/>
    </row>
    <row r="48" ht="15.75" customHeight="1">
      <c r="A48" s="455">
        <v>19.0</v>
      </c>
      <c r="B48" s="378" t="s">
        <v>511</v>
      </c>
      <c r="C48" s="363" t="s">
        <v>170</v>
      </c>
      <c r="D48" s="447" t="s">
        <v>44</v>
      </c>
      <c r="E48" s="456" t="s">
        <v>43</v>
      </c>
      <c r="F48" s="456" t="s">
        <v>41</v>
      </c>
      <c r="G48" s="456" t="s">
        <v>41</v>
      </c>
      <c r="H48" s="456" t="s">
        <v>44</v>
      </c>
      <c r="I48" s="456" t="s">
        <v>42</v>
      </c>
      <c r="J48" s="456" t="s">
        <v>43</v>
      </c>
      <c r="K48" s="456" t="s">
        <v>41</v>
      </c>
      <c r="L48" s="456" t="s">
        <v>43</v>
      </c>
      <c r="M48" s="456" t="s">
        <v>44</v>
      </c>
      <c r="N48" s="456" t="s">
        <v>42</v>
      </c>
      <c r="O48" s="456" t="s">
        <v>42</v>
      </c>
      <c r="P48" s="456" t="s">
        <v>42</v>
      </c>
      <c r="Q48" s="456" t="s">
        <v>41</v>
      </c>
      <c r="R48" s="456" t="s">
        <v>41</v>
      </c>
      <c r="S48" s="456" t="s">
        <v>41</v>
      </c>
      <c r="T48" s="456" t="s">
        <v>42</v>
      </c>
      <c r="U48" s="456" t="s">
        <v>43</v>
      </c>
      <c r="V48" s="456" t="s">
        <v>42</v>
      </c>
      <c r="W48" s="456" t="s">
        <v>42</v>
      </c>
      <c r="X48" s="456" t="s">
        <v>41</v>
      </c>
      <c r="Y48" s="456" t="s">
        <v>41</v>
      </c>
      <c r="Z48" s="456" t="s">
        <v>43</v>
      </c>
      <c r="AA48" s="456" t="s">
        <v>41</v>
      </c>
      <c r="AB48" s="457" t="s">
        <v>42</v>
      </c>
      <c r="AC48" s="456" t="s">
        <v>44</v>
      </c>
      <c r="AD48" s="456" t="s">
        <v>43</v>
      </c>
      <c r="AE48" s="456" t="s">
        <v>43</v>
      </c>
      <c r="AF48" s="456" t="s">
        <v>42</v>
      </c>
      <c r="AG48" s="456" t="s">
        <v>44</v>
      </c>
      <c r="AH48" s="456" t="s">
        <v>41</v>
      </c>
      <c r="AI48" s="456" t="s">
        <v>44</v>
      </c>
      <c r="AJ48" s="456" t="s">
        <v>41</v>
      </c>
      <c r="AK48" s="456" t="s">
        <v>41</v>
      </c>
      <c r="AL48" s="456" t="s">
        <v>44</v>
      </c>
      <c r="AM48" s="456" t="s">
        <v>41</v>
      </c>
      <c r="AN48" s="456" t="s">
        <v>44</v>
      </c>
      <c r="AO48" s="456" t="s">
        <v>43</v>
      </c>
      <c r="AP48" s="456" t="s">
        <v>43</v>
      </c>
      <c r="AQ48" s="456" t="s">
        <v>41</v>
      </c>
      <c r="AR48" s="456" t="s">
        <v>41</v>
      </c>
      <c r="AS48" s="456" t="s">
        <v>44</v>
      </c>
      <c r="AT48" s="456" t="s">
        <v>44</v>
      </c>
      <c r="AU48" s="456" t="s">
        <v>43</v>
      </c>
      <c r="AV48" s="456" t="s">
        <v>42</v>
      </c>
      <c r="AW48" s="456" t="s">
        <v>43</v>
      </c>
      <c r="AX48" s="456" t="s">
        <v>43</v>
      </c>
      <c r="AY48" s="456" t="s">
        <v>42</v>
      </c>
      <c r="AZ48" s="456" t="s">
        <v>43</v>
      </c>
      <c r="BA48" s="456" t="s">
        <v>41</v>
      </c>
      <c r="BB48" s="456" t="s">
        <v>41</v>
      </c>
      <c r="BD48" s="369" t="s">
        <v>44</v>
      </c>
      <c r="BE48" s="458">
        <v>4.0</v>
      </c>
      <c r="BF48" s="458">
        <v>3.0</v>
      </c>
      <c r="BG48" s="458">
        <v>3.0</v>
      </c>
      <c r="BH48" s="458">
        <v>3.0</v>
      </c>
      <c r="BI48" s="371">
        <f t="shared" si="1"/>
        <v>81.25</v>
      </c>
      <c r="BJ48" s="377" t="str">
        <f t="shared" si="2"/>
        <v>Avançado</v>
      </c>
      <c r="BK48" s="373"/>
      <c r="BL48" s="374">
        <f t="shared" si="3"/>
        <v>10</v>
      </c>
      <c r="BM48" s="374">
        <f t="shared" si="4"/>
        <v>244</v>
      </c>
      <c r="BN48" s="459" t="str">
        <f t="shared" si="5"/>
        <v>Básico</v>
      </c>
      <c r="BO48" s="376">
        <f t="shared" si="6"/>
        <v>9</v>
      </c>
      <c r="BP48" s="374">
        <f t="shared" si="7"/>
        <v>179</v>
      </c>
      <c r="BQ48" s="377" t="str">
        <f t="shared" si="8"/>
        <v>Básico</v>
      </c>
      <c r="BR48" s="25"/>
    </row>
    <row r="49" ht="15.75" customHeight="1">
      <c r="A49" s="455">
        <v>20.0</v>
      </c>
      <c r="B49" s="378" t="s">
        <v>512</v>
      </c>
      <c r="C49" s="363" t="s">
        <v>170</v>
      </c>
      <c r="D49" s="447" t="s">
        <v>42</v>
      </c>
      <c r="E49" s="456" t="s">
        <v>42</v>
      </c>
      <c r="F49" s="456" t="s">
        <v>44</v>
      </c>
      <c r="G49" s="456" t="s">
        <v>43</v>
      </c>
      <c r="H49" s="456" t="s">
        <v>44</v>
      </c>
      <c r="I49" s="456" t="s">
        <v>41</v>
      </c>
      <c r="J49" s="456" t="s">
        <v>41</v>
      </c>
      <c r="K49" s="456" t="s">
        <v>44</v>
      </c>
      <c r="L49" s="456" t="s">
        <v>44</v>
      </c>
      <c r="M49" s="456" t="s">
        <v>42</v>
      </c>
      <c r="N49" s="456" t="s">
        <v>41</v>
      </c>
      <c r="O49" s="456" t="s">
        <v>41</v>
      </c>
      <c r="P49" s="456" t="s">
        <v>43</v>
      </c>
      <c r="Q49" s="456" t="s">
        <v>42</v>
      </c>
      <c r="R49" s="456" t="s">
        <v>44</v>
      </c>
      <c r="S49" s="456" t="s">
        <v>41</v>
      </c>
      <c r="T49" s="456" t="s">
        <v>42</v>
      </c>
      <c r="U49" s="456" t="s">
        <v>44</v>
      </c>
      <c r="V49" s="456" t="s">
        <v>41</v>
      </c>
      <c r="W49" s="456" t="s">
        <v>43</v>
      </c>
      <c r="X49" s="456" t="s">
        <v>44</v>
      </c>
      <c r="Y49" s="456" t="s">
        <v>41</v>
      </c>
      <c r="Z49" s="456" t="s">
        <v>41</v>
      </c>
      <c r="AA49" s="456" t="s">
        <v>41</v>
      </c>
      <c r="AB49" s="457" t="s">
        <v>41</v>
      </c>
      <c r="AC49" s="456" t="s">
        <v>41</v>
      </c>
      <c r="AD49" s="456" t="s">
        <v>44</v>
      </c>
      <c r="AE49" s="456" t="s">
        <v>43</v>
      </c>
      <c r="AF49" s="456" t="s">
        <v>41</v>
      </c>
      <c r="AG49" s="456" t="s">
        <v>42</v>
      </c>
      <c r="AH49" s="456" t="s">
        <v>44</v>
      </c>
      <c r="AI49" s="456" t="s">
        <v>44</v>
      </c>
      <c r="AJ49" s="456" t="s">
        <v>44</v>
      </c>
      <c r="AK49" s="456" t="s">
        <v>44</v>
      </c>
      <c r="AL49" s="456" t="s">
        <v>42</v>
      </c>
      <c r="AM49" s="456" t="s">
        <v>41</v>
      </c>
      <c r="AN49" s="456" t="s">
        <v>42</v>
      </c>
      <c r="AO49" s="456" t="s">
        <v>42</v>
      </c>
      <c r="AP49" s="456" t="s">
        <v>41</v>
      </c>
      <c r="AQ49" s="456" t="s">
        <v>42</v>
      </c>
      <c r="AR49" s="456" t="s">
        <v>42</v>
      </c>
      <c r="AS49" s="456" t="s">
        <v>41</v>
      </c>
      <c r="AT49" s="456" t="s">
        <v>44</v>
      </c>
      <c r="AU49" s="456" t="s">
        <v>42</v>
      </c>
      <c r="AV49" s="456" t="s">
        <v>44</v>
      </c>
      <c r="AW49" s="456" t="s">
        <v>41</v>
      </c>
      <c r="AX49" s="456" t="s">
        <v>44</v>
      </c>
      <c r="AY49" s="456" t="s">
        <v>43</v>
      </c>
      <c r="AZ49" s="456" t="s">
        <v>44</v>
      </c>
      <c r="BA49" s="456" t="s">
        <v>42</v>
      </c>
      <c r="BB49" s="456" t="s">
        <v>44</v>
      </c>
      <c r="BD49" s="369" t="s">
        <v>42</v>
      </c>
      <c r="BE49" s="458" t="s">
        <v>173</v>
      </c>
      <c r="BF49" s="458" t="s">
        <v>173</v>
      </c>
      <c r="BG49" s="458" t="s">
        <v>173</v>
      </c>
      <c r="BH49" s="458" t="s">
        <v>173</v>
      </c>
      <c r="BI49" s="371">
        <f t="shared" si="1"/>
        <v>0</v>
      </c>
      <c r="BJ49" s="377" t="str">
        <f t="shared" si="2"/>
        <v>Abaixo do Básico</v>
      </c>
      <c r="BK49" s="373"/>
      <c r="BL49" s="374">
        <f t="shared" si="3"/>
        <v>8</v>
      </c>
      <c r="BM49" s="374">
        <f t="shared" si="4"/>
        <v>132</v>
      </c>
      <c r="BN49" s="459" t="str">
        <f t="shared" si="5"/>
        <v>Básico</v>
      </c>
      <c r="BO49" s="376">
        <f t="shared" si="6"/>
        <v>5</v>
      </c>
      <c r="BP49" s="374">
        <f t="shared" si="7"/>
        <v>86</v>
      </c>
      <c r="BQ49" s="377" t="str">
        <f t="shared" si="8"/>
        <v>Abaixo do Básico</v>
      </c>
      <c r="BR49" s="25"/>
    </row>
    <row r="50" ht="15.75" customHeight="1">
      <c r="A50" s="455">
        <v>21.0</v>
      </c>
      <c r="B50" s="378" t="s">
        <v>513</v>
      </c>
      <c r="C50" s="363" t="s">
        <v>170</v>
      </c>
      <c r="D50" s="447" t="s">
        <v>41</v>
      </c>
      <c r="E50" s="456" t="s">
        <v>44</v>
      </c>
      <c r="F50" s="456" t="s">
        <v>41</v>
      </c>
      <c r="G50" s="456" t="s">
        <v>43</v>
      </c>
      <c r="H50" s="456" t="s">
        <v>43</v>
      </c>
      <c r="I50" s="456" t="s">
        <v>42</v>
      </c>
      <c r="J50" s="456" t="s">
        <v>43</v>
      </c>
      <c r="K50" s="456" t="s">
        <v>41</v>
      </c>
      <c r="L50" s="456" t="s">
        <v>41</v>
      </c>
      <c r="M50" s="456" t="s">
        <v>42</v>
      </c>
      <c r="N50" s="456" t="s">
        <v>44</v>
      </c>
      <c r="O50" s="456" t="s">
        <v>42</v>
      </c>
      <c r="P50" s="456" t="s">
        <v>42</v>
      </c>
      <c r="Q50" s="456" t="s">
        <v>41</v>
      </c>
      <c r="R50" s="456" t="s">
        <v>41</v>
      </c>
      <c r="S50" s="456" t="s">
        <v>41</v>
      </c>
      <c r="T50" s="456" t="s">
        <v>42</v>
      </c>
      <c r="U50" s="456" t="s">
        <v>44</v>
      </c>
      <c r="V50" s="456" t="s">
        <v>43</v>
      </c>
      <c r="W50" s="456" t="s">
        <v>41</v>
      </c>
      <c r="X50" s="456" t="s">
        <v>44</v>
      </c>
      <c r="Y50" s="456" t="s">
        <v>44</v>
      </c>
      <c r="Z50" s="456" t="s">
        <v>42</v>
      </c>
      <c r="AA50" s="456" t="s">
        <v>42</v>
      </c>
      <c r="AB50" s="457" t="s">
        <v>42</v>
      </c>
      <c r="AC50" s="456" t="s">
        <v>44</v>
      </c>
      <c r="AD50" s="456" t="s">
        <v>43</v>
      </c>
      <c r="AE50" s="456" t="s">
        <v>42</v>
      </c>
      <c r="AF50" s="456" t="s">
        <v>44</v>
      </c>
      <c r="AG50" s="456" t="s">
        <v>42</v>
      </c>
      <c r="AH50" s="456" t="s">
        <v>44</v>
      </c>
      <c r="AI50" s="456" t="s">
        <v>42</v>
      </c>
      <c r="AJ50" s="456" t="s">
        <v>41</v>
      </c>
      <c r="AK50" s="456" t="s">
        <v>43</v>
      </c>
      <c r="AL50" s="456" t="s">
        <v>42</v>
      </c>
      <c r="AM50" s="456" t="s">
        <v>41</v>
      </c>
      <c r="AN50" s="456" t="s">
        <v>42</v>
      </c>
      <c r="AO50" s="456" t="s">
        <v>41</v>
      </c>
      <c r="AP50" s="456" t="s">
        <v>42</v>
      </c>
      <c r="AQ50" s="456" t="s">
        <v>41</v>
      </c>
      <c r="AR50" s="456" t="s">
        <v>43</v>
      </c>
      <c r="AS50" s="456" t="s">
        <v>42</v>
      </c>
      <c r="AT50" s="456" t="s">
        <v>44</v>
      </c>
      <c r="AU50" s="456" t="s">
        <v>41</v>
      </c>
      <c r="AV50" s="456" t="s">
        <v>42</v>
      </c>
      <c r="AW50" s="456" t="s">
        <v>41</v>
      </c>
      <c r="AX50" s="456" t="s">
        <v>41</v>
      </c>
      <c r="AY50" s="456" t="s">
        <v>42</v>
      </c>
      <c r="AZ50" s="456" t="s">
        <v>43</v>
      </c>
      <c r="BA50" s="456" t="s">
        <v>41</v>
      </c>
      <c r="BB50" s="456" t="s">
        <v>43</v>
      </c>
      <c r="BD50" s="369" t="s">
        <v>44</v>
      </c>
      <c r="BE50" s="458">
        <v>4.0</v>
      </c>
      <c r="BF50" s="458">
        <v>3.0</v>
      </c>
      <c r="BG50" s="458">
        <v>3.0</v>
      </c>
      <c r="BH50" s="458">
        <v>3.0</v>
      </c>
      <c r="BI50" s="371">
        <f t="shared" si="1"/>
        <v>81.25</v>
      </c>
      <c r="BJ50" s="377" t="str">
        <f t="shared" si="2"/>
        <v>Avançado</v>
      </c>
      <c r="BK50" s="373"/>
      <c r="BL50" s="374">
        <f t="shared" si="3"/>
        <v>17</v>
      </c>
      <c r="BM50" s="374">
        <f t="shared" si="4"/>
        <v>367</v>
      </c>
      <c r="BN50" s="459" t="str">
        <f t="shared" si="5"/>
        <v>Adequado</v>
      </c>
      <c r="BO50" s="376">
        <f t="shared" si="6"/>
        <v>12</v>
      </c>
      <c r="BP50" s="374">
        <f t="shared" si="7"/>
        <v>241</v>
      </c>
      <c r="BQ50" s="377" t="str">
        <f t="shared" si="8"/>
        <v>Básico</v>
      </c>
      <c r="BR50" s="25"/>
    </row>
    <row r="51" ht="15.75" customHeight="1">
      <c r="A51" s="455">
        <v>22.0</v>
      </c>
      <c r="B51" s="378" t="s">
        <v>514</v>
      </c>
      <c r="C51" s="363" t="s">
        <v>170</v>
      </c>
      <c r="D51" s="447" t="s">
        <v>172</v>
      </c>
      <c r="E51" s="456" t="s">
        <v>172</v>
      </c>
      <c r="F51" s="456" t="s">
        <v>172</v>
      </c>
      <c r="G51" s="456" t="s">
        <v>172</v>
      </c>
      <c r="H51" s="456" t="s">
        <v>172</v>
      </c>
      <c r="I51" s="456" t="s">
        <v>172</v>
      </c>
      <c r="J51" s="456" t="s">
        <v>172</v>
      </c>
      <c r="K51" s="456" t="s">
        <v>172</v>
      </c>
      <c r="L51" s="456" t="s">
        <v>172</v>
      </c>
      <c r="M51" s="456" t="s">
        <v>172</v>
      </c>
      <c r="N51" s="456" t="s">
        <v>172</v>
      </c>
      <c r="O51" s="456" t="s">
        <v>172</v>
      </c>
      <c r="P51" s="456" t="s">
        <v>172</v>
      </c>
      <c r="Q51" s="456" t="s">
        <v>172</v>
      </c>
      <c r="R51" s="456" t="s">
        <v>172</v>
      </c>
      <c r="S51" s="456" t="s">
        <v>172</v>
      </c>
      <c r="T51" s="456" t="s">
        <v>172</v>
      </c>
      <c r="U51" s="456" t="s">
        <v>172</v>
      </c>
      <c r="V51" s="456" t="s">
        <v>172</v>
      </c>
      <c r="W51" s="456" t="s">
        <v>172</v>
      </c>
      <c r="X51" s="456" t="s">
        <v>172</v>
      </c>
      <c r="Y51" s="456" t="s">
        <v>172</v>
      </c>
      <c r="Z51" s="456" t="s">
        <v>172</v>
      </c>
      <c r="AA51" s="456" t="s">
        <v>172</v>
      </c>
      <c r="AB51" s="457" t="s">
        <v>172</v>
      </c>
      <c r="AC51" s="456" t="s">
        <v>172</v>
      </c>
      <c r="AD51" s="456" t="s">
        <v>172</v>
      </c>
      <c r="AE51" s="456" t="s">
        <v>172</v>
      </c>
      <c r="AF51" s="456" t="s">
        <v>172</v>
      </c>
      <c r="AG51" s="456" t="s">
        <v>172</v>
      </c>
      <c r="AH51" s="456" t="s">
        <v>172</v>
      </c>
      <c r="AI51" s="456" t="s">
        <v>172</v>
      </c>
      <c r="AJ51" s="456" t="s">
        <v>172</v>
      </c>
      <c r="AK51" s="456" t="s">
        <v>172</v>
      </c>
      <c r="AL51" s="456" t="s">
        <v>172</v>
      </c>
      <c r="AM51" s="456" t="s">
        <v>172</v>
      </c>
      <c r="AN51" s="456" t="s">
        <v>172</v>
      </c>
      <c r="AO51" s="456" t="s">
        <v>172</v>
      </c>
      <c r="AP51" s="456" t="s">
        <v>172</v>
      </c>
      <c r="AQ51" s="456" t="s">
        <v>172</v>
      </c>
      <c r="AR51" s="456" t="s">
        <v>172</v>
      </c>
      <c r="AS51" s="456" t="s">
        <v>172</v>
      </c>
      <c r="AT51" s="456" t="s">
        <v>172</v>
      </c>
      <c r="AU51" s="456" t="s">
        <v>172</v>
      </c>
      <c r="AV51" s="456" t="s">
        <v>172</v>
      </c>
      <c r="AW51" s="456" t="s">
        <v>172</v>
      </c>
      <c r="AX51" s="456" t="s">
        <v>172</v>
      </c>
      <c r="AY51" s="456" t="s">
        <v>172</v>
      </c>
      <c r="AZ51" s="456" t="s">
        <v>172</v>
      </c>
      <c r="BA51" s="456" t="s">
        <v>172</v>
      </c>
      <c r="BB51" s="456" t="s">
        <v>172</v>
      </c>
      <c r="BD51" s="369" t="s">
        <v>172</v>
      </c>
      <c r="BE51" s="458" t="s">
        <v>173</v>
      </c>
      <c r="BF51" s="458" t="s">
        <v>173</v>
      </c>
      <c r="BG51" s="458" t="s">
        <v>173</v>
      </c>
      <c r="BH51" s="458" t="s">
        <v>173</v>
      </c>
      <c r="BI51" s="371">
        <f t="shared" si="1"/>
        <v>0</v>
      </c>
      <c r="BJ51" s="377" t="str">
        <f t="shared" si="2"/>
        <v>Abaixo do Básico</v>
      </c>
      <c r="BK51" s="373"/>
      <c r="BL51" s="374">
        <f t="shared" si="3"/>
        <v>0</v>
      </c>
      <c r="BM51" s="374">
        <f t="shared" si="4"/>
        <v>0</v>
      </c>
      <c r="BN51" s="459" t="str">
        <f t="shared" si="5"/>
        <v>Abaixo do Básico</v>
      </c>
      <c r="BO51" s="376">
        <f t="shared" si="6"/>
        <v>0</v>
      </c>
      <c r="BP51" s="374">
        <f t="shared" si="7"/>
        <v>0</v>
      </c>
      <c r="BQ51" s="377" t="str">
        <f t="shared" si="8"/>
        <v>Abaixo do Básico</v>
      </c>
      <c r="BR51" s="25"/>
    </row>
    <row r="52" ht="15.75" customHeight="1">
      <c r="A52" s="455">
        <v>23.0</v>
      </c>
      <c r="B52" s="378"/>
      <c r="C52" s="363"/>
      <c r="D52" s="447"/>
      <c r="E52" s="456"/>
      <c r="F52" s="456"/>
      <c r="G52" s="456"/>
      <c r="H52" s="456"/>
      <c r="I52" s="456"/>
      <c r="J52" s="456"/>
      <c r="K52" s="456"/>
      <c r="L52" s="456"/>
      <c r="M52" s="456"/>
      <c r="N52" s="456"/>
      <c r="O52" s="456"/>
      <c r="P52" s="456"/>
      <c r="Q52" s="456"/>
      <c r="R52" s="456"/>
      <c r="S52" s="456"/>
      <c r="T52" s="456"/>
      <c r="U52" s="456"/>
      <c r="V52" s="456"/>
      <c r="W52" s="456"/>
      <c r="X52" s="456"/>
      <c r="Y52" s="456"/>
      <c r="Z52" s="456"/>
      <c r="AA52" s="456"/>
      <c r="AB52" s="457"/>
      <c r="AC52" s="456"/>
      <c r="AD52" s="456"/>
      <c r="AE52" s="456"/>
      <c r="AF52" s="456"/>
      <c r="AG52" s="456"/>
      <c r="AH52" s="456"/>
      <c r="AI52" s="456"/>
      <c r="AJ52" s="456"/>
      <c r="AK52" s="456"/>
      <c r="AL52" s="456"/>
      <c r="AM52" s="456"/>
      <c r="AN52" s="456"/>
      <c r="AO52" s="456"/>
      <c r="AP52" s="456"/>
      <c r="AQ52" s="456"/>
      <c r="AR52" s="456"/>
      <c r="AS52" s="456"/>
      <c r="AT52" s="456"/>
      <c r="AU52" s="456"/>
      <c r="AV52" s="456"/>
      <c r="AW52" s="456"/>
      <c r="AX52" s="456"/>
      <c r="AY52" s="456"/>
      <c r="AZ52" s="456"/>
      <c r="BA52" s="456"/>
      <c r="BB52" s="456"/>
      <c r="BD52" s="369"/>
      <c r="BE52" s="114"/>
      <c r="BF52" s="114"/>
      <c r="BG52" s="114"/>
      <c r="BH52" s="114"/>
      <c r="BI52" s="371"/>
      <c r="BJ52" s="377"/>
      <c r="BK52" s="373"/>
      <c r="BL52" s="374"/>
      <c r="BM52" s="374"/>
      <c r="BN52" s="459"/>
      <c r="BO52" s="376"/>
      <c r="BP52" s="374"/>
      <c r="BQ52" s="377"/>
      <c r="BR52" s="25"/>
    </row>
    <row r="53" ht="15.75" customHeight="1">
      <c r="A53" s="455">
        <v>24.0</v>
      </c>
      <c r="B53" s="378"/>
      <c r="C53" s="363"/>
      <c r="D53" s="447"/>
      <c r="E53" s="456"/>
      <c r="F53" s="456"/>
      <c r="G53" s="456"/>
      <c r="H53" s="456"/>
      <c r="I53" s="456"/>
      <c r="J53" s="456"/>
      <c r="K53" s="456"/>
      <c r="L53" s="456"/>
      <c r="M53" s="456"/>
      <c r="N53" s="456"/>
      <c r="O53" s="456"/>
      <c r="P53" s="456"/>
      <c r="Q53" s="456"/>
      <c r="R53" s="456"/>
      <c r="S53" s="456"/>
      <c r="T53" s="456"/>
      <c r="U53" s="456"/>
      <c r="V53" s="456"/>
      <c r="W53" s="456"/>
      <c r="X53" s="456"/>
      <c r="Y53" s="456"/>
      <c r="Z53" s="456"/>
      <c r="AA53" s="456"/>
      <c r="AB53" s="457"/>
      <c r="AC53" s="456"/>
      <c r="AD53" s="456"/>
      <c r="AE53" s="456"/>
      <c r="AF53" s="456"/>
      <c r="AG53" s="456"/>
      <c r="AH53" s="456"/>
      <c r="AI53" s="456"/>
      <c r="AJ53" s="456"/>
      <c r="AK53" s="456"/>
      <c r="AL53" s="456"/>
      <c r="AM53" s="456"/>
      <c r="AN53" s="456"/>
      <c r="AO53" s="456"/>
      <c r="AP53" s="456"/>
      <c r="AQ53" s="456"/>
      <c r="AR53" s="456"/>
      <c r="AS53" s="456"/>
      <c r="AT53" s="456"/>
      <c r="AU53" s="456"/>
      <c r="AV53" s="456"/>
      <c r="AW53" s="456"/>
      <c r="AX53" s="456"/>
      <c r="AY53" s="456"/>
      <c r="AZ53" s="456"/>
      <c r="BA53" s="456"/>
      <c r="BB53" s="456"/>
      <c r="BD53" s="369"/>
      <c r="BE53" s="114"/>
      <c r="BF53" s="114"/>
      <c r="BG53" s="114"/>
      <c r="BH53" s="114"/>
      <c r="BI53" s="371"/>
      <c r="BJ53" s="377"/>
      <c r="BK53" s="373"/>
      <c r="BL53" s="374"/>
      <c r="BM53" s="374"/>
      <c r="BN53" s="459"/>
      <c r="BO53" s="376"/>
      <c r="BP53" s="374"/>
      <c r="BQ53" s="377"/>
      <c r="BR53" s="25"/>
    </row>
    <row r="54" ht="15.75" customHeight="1">
      <c r="A54" s="455">
        <v>25.0</v>
      </c>
      <c r="B54" s="378"/>
      <c r="C54" s="363"/>
      <c r="D54" s="447"/>
      <c r="E54" s="456"/>
      <c r="F54" s="456"/>
      <c r="G54" s="456"/>
      <c r="H54" s="456"/>
      <c r="I54" s="456"/>
      <c r="J54" s="456"/>
      <c r="K54" s="456"/>
      <c r="L54" s="456"/>
      <c r="M54" s="456"/>
      <c r="N54" s="456"/>
      <c r="O54" s="456"/>
      <c r="P54" s="456"/>
      <c r="Q54" s="456"/>
      <c r="R54" s="456"/>
      <c r="S54" s="456"/>
      <c r="T54" s="456"/>
      <c r="U54" s="456"/>
      <c r="V54" s="456"/>
      <c r="W54" s="456"/>
      <c r="X54" s="456"/>
      <c r="Y54" s="456"/>
      <c r="Z54" s="456"/>
      <c r="AA54" s="456"/>
      <c r="AB54" s="457"/>
      <c r="AC54" s="456"/>
      <c r="AD54" s="456"/>
      <c r="AE54" s="456"/>
      <c r="AF54" s="456"/>
      <c r="AG54" s="456"/>
      <c r="AH54" s="456"/>
      <c r="AI54" s="456"/>
      <c r="AJ54" s="456"/>
      <c r="AK54" s="456"/>
      <c r="AL54" s="456"/>
      <c r="AM54" s="456"/>
      <c r="AN54" s="456"/>
      <c r="AO54" s="456"/>
      <c r="AP54" s="456"/>
      <c r="AQ54" s="456"/>
      <c r="AR54" s="456"/>
      <c r="AS54" s="456"/>
      <c r="AT54" s="456"/>
      <c r="AU54" s="456"/>
      <c r="AV54" s="456"/>
      <c r="AW54" s="456"/>
      <c r="AX54" s="456"/>
      <c r="AY54" s="456"/>
      <c r="AZ54" s="456"/>
      <c r="BA54" s="456"/>
      <c r="BB54" s="456"/>
      <c r="BD54" s="369"/>
      <c r="BE54" s="114"/>
      <c r="BF54" s="114"/>
      <c r="BG54" s="114"/>
      <c r="BH54" s="114"/>
      <c r="BI54" s="371"/>
      <c r="BJ54" s="377"/>
      <c r="BK54" s="373"/>
      <c r="BL54" s="374"/>
      <c r="BM54" s="374"/>
      <c r="BN54" s="459"/>
      <c r="BO54" s="376"/>
      <c r="BP54" s="374"/>
      <c r="BQ54" s="377"/>
      <c r="BR54" s="25"/>
    </row>
    <row r="55" ht="15.75" customHeight="1">
      <c r="A55" s="455">
        <v>26.0</v>
      </c>
      <c r="B55" s="378"/>
      <c r="C55" s="363"/>
      <c r="D55" s="447"/>
      <c r="E55" s="456"/>
      <c r="F55" s="456"/>
      <c r="G55" s="456"/>
      <c r="H55" s="456"/>
      <c r="I55" s="456"/>
      <c r="J55" s="456"/>
      <c r="K55" s="456"/>
      <c r="L55" s="456"/>
      <c r="M55" s="456"/>
      <c r="N55" s="456"/>
      <c r="O55" s="456"/>
      <c r="P55" s="456"/>
      <c r="Q55" s="456"/>
      <c r="R55" s="456"/>
      <c r="S55" s="456"/>
      <c r="T55" s="456"/>
      <c r="U55" s="456"/>
      <c r="V55" s="456"/>
      <c r="W55" s="456"/>
      <c r="X55" s="456"/>
      <c r="Y55" s="456"/>
      <c r="Z55" s="456"/>
      <c r="AA55" s="456"/>
      <c r="AB55" s="457"/>
      <c r="AC55" s="456"/>
      <c r="AD55" s="456"/>
      <c r="AE55" s="456"/>
      <c r="AF55" s="456"/>
      <c r="AG55" s="456"/>
      <c r="AH55" s="456"/>
      <c r="AI55" s="456"/>
      <c r="AJ55" s="456"/>
      <c r="AK55" s="456"/>
      <c r="AL55" s="456"/>
      <c r="AM55" s="456"/>
      <c r="AN55" s="456"/>
      <c r="AO55" s="456"/>
      <c r="AP55" s="456"/>
      <c r="AQ55" s="456"/>
      <c r="AR55" s="456"/>
      <c r="AS55" s="456"/>
      <c r="AT55" s="456"/>
      <c r="AU55" s="456"/>
      <c r="AV55" s="456"/>
      <c r="AW55" s="456"/>
      <c r="AX55" s="456"/>
      <c r="AY55" s="456"/>
      <c r="AZ55" s="456"/>
      <c r="BA55" s="456"/>
      <c r="BB55" s="456"/>
      <c r="BD55" s="369"/>
      <c r="BE55" s="114"/>
      <c r="BF55" s="114"/>
      <c r="BG55" s="114"/>
      <c r="BH55" s="114"/>
      <c r="BI55" s="371"/>
      <c r="BJ55" s="377"/>
      <c r="BK55" s="373"/>
      <c r="BL55" s="374"/>
      <c r="BM55" s="374"/>
      <c r="BN55" s="459"/>
      <c r="BO55" s="376"/>
      <c r="BP55" s="374"/>
      <c r="BQ55" s="377"/>
      <c r="BR55" s="25"/>
    </row>
    <row r="56" ht="15.75" customHeight="1">
      <c r="A56" s="455">
        <v>27.0</v>
      </c>
      <c r="B56" s="378"/>
      <c r="C56" s="363"/>
      <c r="D56" s="447"/>
      <c r="E56" s="456"/>
      <c r="F56" s="456"/>
      <c r="G56" s="456"/>
      <c r="H56" s="456"/>
      <c r="I56" s="456"/>
      <c r="J56" s="456"/>
      <c r="K56" s="456"/>
      <c r="L56" s="456"/>
      <c r="M56" s="456"/>
      <c r="N56" s="456"/>
      <c r="O56" s="456"/>
      <c r="P56" s="456"/>
      <c r="Q56" s="456"/>
      <c r="R56" s="456"/>
      <c r="S56" s="456"/>
      <c r="T56" s="456"/>
      <c r="U56" s="456"/>
      <c r="V56" s="456"/>
      <c r="W56" s="456"/>
      <c r="X56" s="456"/>
      <c r="Y56" s="456"/>
      <c r="Z56" s="456"/>
      <c r="AA56" s="456"/>
      <c r="AB56" s="457"/>
      <c r="AC56" s="456"/>
      <c r="AD56" s="456"/>
      <c r="AE56" s="456"/>
      <c r="AF56" s="456"/>
      <c r="AG56" s="456"/>
      <c r="AH56" s="456"/>
      <c r="AI56" s="456"/>
      <c r="AJ56" s="456"/>
      <c r="AK56" s="456"/>
      <c r="AL56" s="456"/>
      <c r="AM56" s="456"/>
      <c r="AN56" s="456"/>
      <c r="AO56" s="456"/>
      <c r="AP56" s="456"/>
      <c r="AQ56" s="456"/>
      <c r="AR56" s="456"/>
      <c r="AS56" s="456"/>
      <c r="AT56" s="456"/>
      <c r="AU56" s="456"/>
      <c r="AV56" s="456"/>
      <c r="AW56" s="456"/>
      <c r="AX56" s="456"/>
      <c r="AY56" s="456"/>
      <c r="AZ56" s="456"/>
      <c r="BA56" s="456"/>
      <c r="BB56" s="456"/>
      <c r="BD56" s="369"/>
      <c r="BE56" s="114"/>
      <c r="BF56" s="114"/>
      <c r="BG56" s="114"/>
      <c r="BH56" s="114"/>
      <c r="BI56" s="371"/>
      <c r="BJ56" s="377"/>
      <c r="BK56" s="373"/>
      <c r="BL56" s="374"/>
      <c r="BM56" s="374"/>
      <c r="BN56" s="459"/>
      <c r="BO56" s="376"/>
      <c r="BP56" s="374"/>
      <c r="BQ56" s="377"/>
      <c r="BR56" s="25"/>
    </row>
    <row r="57" ht="15.75" customHeight="1">
      <c r="A57" s="455">
        <v>28.0</v>
      </c>
      <c r="B57" s="378"/>
      <c r="C57" s="363"/>
      <c r="D57" s="447"/>
      <c r="E57" s="456"/>
      <c r="F57" s="456"/>
      <c r="G57" s="456"/>
      <c r="H57" s="456"/>
      <c r="I57" s="456"/>
      <c r="J57" s="456"/>
      <c r="K57" s="456"/>
      <c r="L57" s="456"/>
      <c r="M57" s="456"/>
      <c r="N57" s="456"/>
      <c r="O57" s="456"/>
      <c r="P57" s="456"/>
      <c r="Q57" s="456"/>
      <c r="R57" s="456"/>
      <c r="S57" s="456"/>
      <c r="T57" s="456"/>
      <c r="U57" s="456"/>
      <c r="V57" s="456"/>
      <c r="W57" s="456"/>
      <c r="X57" s="456"/>
      <c r="Y57" s="456"/>
      <c r="Z57" s="456"/>
      <c r="AA57" s="456"/>
      <c r="AB57" s="457"/>
      <c r="AC57" s="456"/>
      <c r="AD57" s="456"/>
      <c r="AE57" s="456"/>
      <c r="AF57" s="456"/>
      <c r="AG57" s="456"/>
      <c r="AH57" s="456"/>
      <c r="AI57" s="456"/>
      <c r="AJ57" s="456"/>
      <c r="AK57" s="456"/>
      <c r="AL57" s="456"/>
      <c r="AM57" s="456"/>
      <c r="AN57" s="456"/>
      <c r="AO57" s="456"/>
      <c r="AP57" s="456"/>
      <c r="AQ57" s="456"/>
      <c r="AR57" s="456"/>
      <c r="AS57" s="456"/>
      <c r="AT57" s="456"/>
      <c r="AU57" s="456"/>
      <c r="AV57" s="456"/>
      <c r="AW57" s="456"/>
      <c r="AX57" s="456"/>
      <c r="AY57" s="456"/>
      <c r="AZ57" s="456"/>
      <c r="BA57" s="456"/>
      <c r="BB57" s="456"/>
      <c r="BD57" s="369"/>
      <c r="BE57" s="114"/>
      <c r="BF57" s="114"/>
      <c r="BG57" s="114"/>
      <c r="BH57" s="114"/>
      <c r="BI57" s="371"/>
      <c r="BJ57" s="377"/>
      <c r="BK57" s="373"/>
      <c r="BL57" s="374"/>
      <c r="BM57" s="374"/>
      <c r="BN57" s="459"/>
      <c r="BO57" s="376"/>
      <c r="BP57" s="374"/>
      <c r="BQ57" s="377"/>
      <c r="BR57" s="25"/>
    </row>
    <row r="58" ht="15.75" customHeight="1">
      <c r="A58" s="455">
        <v>29.0</v>
      </c>
      <c r="B58" s="378"/>
      <c r="C58" s="363"/>
      <c r="D58" s="461"/>
      <c r="E58" s="456"/>
      <c r="F58" s="456"/>
      <c r="G58" s="456"/>
      <c r="H58" s="456"/>
      <c r="I58" s="456"/>
      <c r="J58" s="456"/>
      <c r="K58" s="456"/>
      <c r="L58" s="456"/>
      <c r="M58" s="456"/>
      <c r="N58" s="456"/>
      <c r="O58" s="456"/>
      <c r="P58" s="456"/>
      <c r="Q58" s="456"/>
      <c r="R58" s="456"/>
      <c r="S58" s="456"/>
      <c r="T58" s="456"/>
      <c r="U58" s="456"/>
      <c r="V58" s="456"/>
      <c r="W58" s="456"/>
      <c r="X58" s="456"/>
      <c r="Y58" s="456"/>
      <c r="Z58" s="456"/>
      <c r="AA58" s="456"/>
      <c r="AB58" s="457"/>
      <c r="AC58" s="456"/>
      <c r="AD58" s="456"/>
      <c r="AE58" s="456"/>
      <c r="AF58" s="456"/>
      <c r="AG58" s="456"/>
      <c r="AH58" s="456"/>
      <c r="AI58" s="456"/>
      <c r="AJ58" s="456"/>
      <c r="AK58" s="456"/>
      <c r="AL58" s="456"/>
      <c r="AM58" s="456"/>
      <c r="AN58" s="456"/>
      <c r="AO58" s="456"/>
      <c r="AP58" s="456"/>
      <c r="AQ58" s="456"/>
      <c r="AR58" s="456"/>
      <c r="AS58" s="456"/>
      <c r="AT58" s="456"/>
      <c r="AU58" s="456"/>
      <c r="AV58" s="456"/>
      <c r="AW58" s="456"/>
      <c r="AX58" s="456"/>
      <c r="AY58" s="456"/>
      <c r="AZ58" s="456"/>
      <c r="BA58" s="456"/>
      <c r="BB58" s="456"/>
      <c r="BD58" s="369"/>
      <c r="BE58" s="114"/>
      <c r="BF58" s="114"/>
      <c r="BG58" s="114"/>
      <c r="BH58" s="114"/>
      <c r="BI58" s="371"/>
      <c r="BJ58" s="377"/>
      <c r="BK58" s="373"/>
      <c r="BL58" s="374"/>
      <c r="BM58" s="374"/>
      <c r="BN58" s="459"/>
      <c r="BO58" s="376"/>
      <c r="BP58" s="374"/>
      <c r="BQ58" s="377"/>
      <c r="BR58" s="25"/>
    </row>
    <row r="59" ht="15.75" customHeight="1">
      <c r="A59" s="460">
        <v>30.0</v>
      </c>
      <c r="B59" s="378"/>
      <c r="C59" s="363"/>
      <c r="D59" s="461"/>
      <c r="E59" s="456"/>
      <c r="F59" s="456"/>
      <c r="G59" s="456"/>
      <c r="H59" s="456"/>
      <c r="I59" s="456"/>
      <c r="J59" s="456"/>
      <c r="K59" s="456"/>
      <c r="L59" s="456"/>
      <c r="M59" s="456"/>
      <c r="N59" s="456"/>
      <c r="O59" s="456"/>
      <c r="P59" s="456"/>
      <c r="Q59" s="456"/>
      <c r="R59" s="456"/>
      <c r="S59" s="456"/>
      <c r="T59" s="456"/>
      <c r="U59" s="456"/>
      <c r="V59" s="456"/>
      <c r="W59" s="456"/>
      <c r="X59" s="456"/>
      <c r="Y59" s="456"/>
      <c r="Z59" s="456"/>
      <c r="AA59" s="456"/>
      <c r="AB59" s="457"/>
      <c r="AC59" s="456"/>
      <c r="AD59" s="456"/>
      <c r="AE59" s="456"/>
      <c r="AF59" s="456"/>
      <c r="AG59" s="456"/>
      <c r="AH59" s="456"/>
      <c r="AI59" s="456"/>
      <c r="AJ59" s="456"/>
      <c r="AK59" s="456"/>
      <c r="AL59" s="456"/>
      <c r="AM59" s="456"/>
      <c r="AN59" s="456"/>
      <c r="AO59" s="456"/>
      <c r="AP59" s="456"/>
      <c r="AQ59" s="456"/>
      <c r="AR59" s="456"/>
      <c r="AS59" s="456"/>
      <c r="AT59" s="456"/>
      <c r="AU59" s="456"/>
      <c r="AV59" s="456"/>
      <c r="AW59" s="456"/>
      <c r="AX59" s="456"/>
      <c r="AY59" s="456"/>
      <c r="AZ59" s="456"/>
      <c r="BA59" s="456"/>
      <c r="BB59" s="456"/>
      <c r="BD59" s="369"/>
      <c r="BE59" s="114"/>
      <c r="BF59" s="114"/>
      <c r="BG59" s="114"/>
      <c r="BH59" s="114"/>
      <c r="BI59" s="371"/>
      <c r="BJ59" s="377"/>
      <c r="BK59" s="373"/>
      <c r="BL59" s="374"/>
      <c r="BM59" s="374"/>
      <c r="BN59" s="459"/>
      <c r="BO59" s="376"/>
      <c r="BP59" s="374"/>
      <c r="BQ59" s="377"/>
      <c r="BR59" s="25"/>
    </row>
    <row r="60" ht="15.75" customHeight="1">
      <c r="A60" s="460">
        <v>31.0</v>
      </c>
      <c r="B60" s="378"/>
      <c r="C60" s="363"/>
      <c r="D60" s="461"/>
      <c r="E60" s="456"/>
      <c r="F60" s="456"/>
      <c r="G60" s="456"/>
      <c r="H60" s="456"/>
      <c r="I60" s="456"/>
      <c r="J60" s="456"/>
      <c r="K60" s="456"/>
      <c r="L60" s="456"/>
      <c r="M60" s="456"/>
      <c r="N60" s="456"/>
      <c r="O60" s="456"/>
      <c r="P60" s="456"/>
      <c r="Q60" s="456"/>
      <c r="R60" s="456"/>
      <c r="S60" s="456"/>
      <c r="T60" s="456"/>
      <c r="U60" s="456"/>
      <c r="V60" s="456"/>
      <c r="W60" s="456"/>
      <c r="X60" s="456"/>
      <c r="Y60" s="456"/>
      <c r="Z60" s="456"/>
      <c r="AA60" s="456"/>
      <c r="AB60" s="457"/>
      <c r="AC60" s="456"/>
      <c r="AD60" s="456"/>
      <c r="AE60" s="456"/>
      <c r="AF60" s="456"/>
      <c r="AG60" s="456"/>
      <c r="AH60" s="456"/>
      <c r="AI60" s="456"/>
      <c r="AJ60" s="456"/>
      <c r="AK60" s="456"/>
      <c r="AL60" s="456"/>
      <c r="AM60" s="456"/>
      <c r="AN60" s="456"/>
      <c r="AO60" s="456"/>
      <c r="AP60" s="456"/>
      <c r="AQ60" s="456"/>
      <c r="AR60" s="456"/>
      <c r="AS60" s="456"/>
      <c r="AT60" s="456"/>
      <c r="AU60" s="456"/>
      <c r="AV60" s="456"/>
      <c r="AW60" s="456"/>
      <c r="AX60" s="456"/>
      <c r="AY60" s="456"/>
      <c r="AZ60" s="456"/>
      <c r="BA60" s="456"/>
      <c r="BB60" s="456"/>
      <c r="BD60" s="369"/>
      <c r="BE60" s="114"/>
      <c r="BF60" s="114"/>
      <c r="BG60" s="114"/>
      <c r="BH60" s="114"/>
      <c r="BI60" s="371"/>
      <c r="BJ60" s="377"/>
      <c r="BK60" s="373"/>
      <c r="BL60" s="374"/>
      <c r="BM60" s="374"/>
      <c r="BN60" s="459"/>
      <c r="BO60" s="376"/>
      <c r="BP60" s="374"/>
      <c r="BQ60" s="377"/>
      <c r="BR60" s="25"/>
    </row>
    <row r="61" ht="15.75" customHeight="1">
      <c r="A61" s="460">
        <v>32.0</v>
      </c>
      <c r="B61" s="378"/>
      <c r="C61" s="363"/>
      <c r="D61" s="461"/>
      <c r="E61" s="456"/>
      <c r="F61" s="456"/>
      <c r="G61" s="456"/>
      <c r="H61" s="456"/>
      <c r="I61" s="456"/>
      <c r="J61" s="456"/>
      <c r="K61" s="456"/>
      <c r="L61" s="456"/>
      <c r="M61" s="456"/>
      <c r="N61" s="456"/>
      <c r="O61" s="456"/>
      <c r="P61" s="456"/>
      <c r="Q61" s="456"/>
      <c r="R61" s="456"/>
      <c r="S61" s="456"/>
      <c r="T61" s="456"/>
      <c r="U61" s="456"/>
      <c r="V61" s="456"/>
      <c r="W61" s="456"/>
      <c r="X61" s="456"/>
      <c r="Y61" s="456"/>
      <c r="Z61" s="456"/>
      <c r="AA61" s="456"/>
      <c r="AB61" s="457"/>
      <c r="AC61" s="456"/>
      <c r="AD61" s="456"/>
      <c r="AE61" s="456"/>
      <c r="AF61" s="456"/>
      <c r="AG61" s="456"/>
      <c r="AH61" s="456"/>
      <c r="AI61" s="456"/>
      <c r="AJ61" s="456"/>
      <c r="AK61" s="456"/>
      <c r="AL61" s="456"/>
      <c r="AM61" s="456"/>
      <c r="AN61" s="456"/>
      <c r="AO61" s="456"/>
      <c r="AP61" s="456"/>
      <c r="AQ61" s="456"/>
      <c r="AR61" s="456"/>
      <c r="AS61" s="456"/>
      <c r="AT61" s="456"/>
      <c r="AU61" s="456"/>
      <c r="AV61" s="456"/>
      <c r="AW61" s="456"/>
      <c r="AX61" s="456"/>
      <c r="AY61" s="456"/>
      <c r="AZ61" s="456"/>
      <c r="BA61" s="456"/>
      <c r="BB61" s="456"/>
      <c r="BD61" s="369"/>
      <c r="BE61" s="114"/>
      <c r="BF61" s="114"/>
      <c r="BG61" s="114"/>
      <c r="BH61" s="114"/>
      <c r="BI61" s="371"/>
      <c r="BJ61" s="377"/>
      <c r="BK61" s="373"/>
      <c r="BL61" s="374"/>
      <c r="BM61" s="374"/>
      <c r="BN61" s="459"/>
      <c r="BO61" s="376"/>
      <c r="BP61" s="374"/>
      <c r="BQ61" s="377"/>
      <c r="BR61" s="25"/>
    </row>
    <row r="62" ht="15.75" customHeight="1">
      <c r="A62" s="460">
        <v>33.0</v>
      </c>
      <c r="B62" s="378"/>
      <c r="C62" s="363"/>
      <c r="D62" s="461"/>
      <c r="E62" s="456"/>
      <c r="F62" s="456"/>
      <c r="G62" s="456"/>
      <c r="H62" s="456"/>
      <c r="I62" s="456"/>
      <c r="J62" s="456"/>
      <c r="K62" s="456"/>
      <c r="L62" s="456"/>
      <c r="M62" s="456"/>
      <c r="N62" s="456"/>
      <c r="O62" s="456"/>
      <c r="P62" s="456"/>
      <c r="Q62" s="456"/>
      <c r="R62" s="456"/>
      <c r="S62" s="456"/>
      <c r="T62" s="456"/>
      <c r="U62" s="456"/>
      <c r="V62" s="456"/>
      <c r="W62" s="456"/>
      <c r="X62" s="456"/>
      <c r="Y62" s="456"/>
      <c r="Z62" s="456"/>
      <c r="AA62" s="456"/>
      <c r="AB62" s="457"/>
      <c r="AC62" s="456"/>
      <c r="AD62" s="456"/>
      <c r="AE62" s="456"/>
      <c r="AF62" s="456"/>
      <c r="AG62" s="456"/>
      <c r="AH62" s="456"/>
      <c r="AI62" s="456"/>
      <c r="AJ62" s="456"/>
      <c r="AK62" s="456"/>
      <c r="AL62" s="456"/>
      <c r="AM62" s="456"/>
      <c r="AN62" s="456"/>
      <c r="AO62" s="456"/>
      <c r="AP62" s="456"/>
      <c r="AQ62" s="456"/>
      <c r="AR62" s="456"/>
      <c r="AS62" s="456"/>
      <c r="AT62" s="456"/>
      <c r="AU62" s="456"/>
      <c r="AV62" s="456"/>
      <c r="AW62" s="456"/>
      <c r="AX62" s="456"/>
      <c r="AY62" s="456"/>
      <c r="AZ62" s="456"/>
      <c r="BA62" s="456"/>
      <c r="BB62" s="456"/>
      <c r="BD62" s="369"/>
      <c r="BE62" s="114"/>
      <c r="BF62" s="114"/>
      <c r="BG62" s="114"/>
      <c r="BH62" s="114"/>
      <c r="BI62" s="371"/>
      <c r="BJ62" s="377"/>
      <c r="BK62" s="373"/>
      <c r="BL62" s="374"/>
      <c r="BM62" s="374"/>
      <c r="BN62" s="459"/>
      <c r="BO62" s="376"/>
      <c r="BP62" s="374"/>
      <c r="BQ62" s="377"/>
      <c r="BR62" s="25"/>
    </row>
    <row r="63" ht="15.75" customHeight="1">
      <c r="A63" s="460">
        <v>34.0</v>
      </c>
      <c r="B63" s="378"/>
      <c r="C63" s="363"/>
      <c r="D63" s="461"/>
      <c r="E63" s="456"/>
      <c r="F63" s="456"/>
      <c r="G63" s="456"/>
      <c r="H63" s="456"/>
      <c r="I63" s="456"/>
      <c r="J63" s="456"/>
      <c r="K63" s="456"/>
      <c r="L63" s="456"/>
      <c r="M63" s="456"/>
      <c r="N63" s="456"/>
      <c r="O63" s="456"/>
      <c r="P63" s="456"/>
      <c r="Q63" s="456"/>
      <c r="R63" s="456"/>
      <c r="S63" s="456"/>
      <c r="T63" s="456"/>
      <c r="U63" s="456"/>
      <c r="V63" s="456"/>
      <c r="W63" s="456"/>
      <c r="X63" s="456"/>
      <c r="Y63" s="456"/>
      <c r="Z63" s="456"/>
      <c r="AA63" s="456"/>
      <c r="AB63" s="457"/>
      <c r="AC63" s="456"/>
      <c r="AD63" s="456"/>
      <c r="AE63" s="456"/>
      <c r="AF63" s="456"/>
      <c r="AG63" s="456"/>
      <c r="AH63" s="456"/>
      <c r="AI63" s="456"/>
      <c r="AJ63" s="456"/>
      <c r="AK63" s="456"/>
      <c r="AL63" s="456"/>
      <c r="AM63" s="456"/>
      <c r="AN63" s="456"/>
      <c r="AO63" s="456"/>
      <c r="AP63" s="456"/>
      <c r="AQ63" s="456"/>
      <c r="AR63" s="456"/>
      <c r="AS63" s="456"/>
      <c r="AT63" s="456"/>
      <c r="AU63" s="456"/>
      <c r="AV63" s="456"/>
      <c r="AW63" s="456"/>
      <c r="AX63" s="456"/>
      <c r="AY63" s="456"/>
      <c r="AZ63" s="456"/>
      <c r="BA63" s="456"/>
      <c r="BB63" s="456"/>
      <c r="BD63" s="369"/>
      <c r="BE63" s="114"/>
      <c r="BF63" s="114"/>
      <c r="BG63" s="114"/>
      <c r="BH63" s="114"/>
      <c r="BI63" s="371"/>
      <c r="BJ63" s="377"/>
      <c r="BK63" s="373"/>
      <c r="BL63" s="374"/>
      <c r="BM63" s="374"/>
      <c r="BN63" s="459"/>
      <c r="BO63" s="376"/>
      <c r="BP63" s="374"/>
      <c r="BQ63" s="377"/>
      <c r="BR63" s="25"/>
    </row>
    <row r="64" ht="15.75" customHeight="1">
      <c r="A64" s="460">
        <v>35.0</v>
      </c>
      <c r="B64" s="378"/>
      <c r="C64" s="363"/>
      <c r="D64" s="461"/>
      <c r="E64" s="456"/>
      <c r="F64" s="456"/>
      <c r="G64" s="456"/>
      <c r="H64" s="456"/>
      <c r="I64" s="456"/>
      <c r="J64" s="456"/>
      <c r="K64" s="456"/>
      <c r="L64" s="456"/>
      <c r="M64" s="456"/>
      <c r="N64" s="456"/>
      <c r="O64" s="456"/>
      <c r="P64" s="456"/>
      <c r="Q64" s="456"/>
      <c r="R64" s="456"/>
      <c r="S64" s="456"/>
      <c r="T64" s="456"/>
      <c r="U64" s="456"/>
      <c r="V64" s="456"/>
      <c r="W64" s="456"/>
      <c r="X64" s="456"/>
      <c r="Y64" s="456"/>
      <c r="Z64" s="456"/>
      <c r="AA64" s="456"/>
      <c r="AB64" s="457"/>
      <c r="AC64" s="456"/>
      <c r="AD64" s="456"/>
      <c r="AE64" s="456"/>
      <c r="AF64" s="456"/>
      <c r="AG64" s="456"/>
      <c r="AH64" s="456"/>
      <c r="AI64" s="456"/>
      <c r="AJ64" s="456"/>
      <c r="AK64" s="456"/>
      <c r="AL64" s="456"/>
      <c r="AM64" s="456"/>
      <c r="AN64" s="456"/>
      <c r="AO64" s="456"/>
      <c r="AP64" s="456"/>
      <c r="AQ64" s="456"/>
      <c r="AR64" s="456"/>
      <c r="AS64" s="456"/>
      <c r="AT64" s="456"/>
      <c r="AU64" s="456"/>
      <c r="AV64" s="456"/>
      <c r="AW64" s="456"/>
      <c r="AX64" s="456"/>
      <c r="AY64" s="456"/>
      <c r="AZ64" s="456"/>
      <c r="BA64" s="456"/>
      <c r="BB64" s="456"/>
      <c r="BD64" s="369"/>
      <c r="BE64" s="114"/>
      <c r="BF64" s="114"/>
      <c r="BG64" s="114"/>
      <c r="BH64" s="114"/>
      <c r="BI64" s="371"/>
      <c r="BJ64" s="377"/>
      <c r="BK64" s="373"/>
      <c r="BL64" s="374"/>
      <c r="BM64" s="374"/>
      <c r="BN64" s="459"/>
      <c r="BO64" s="376"/>
      <c r="BP64" s="374"/>
      <c r="BQ64" s="377"/>
      <c r="BR64" s="25"/>
    </row>
    <row r="65" ht="15.75" customHeight="1">
      <c r="A65" s="460">
        <v>36.0</v>
      </c>
      <c r="B65" s="378"/>
      <c r="C65" s="363"/>
      <c r="D65" s="461"/>
      <c r="E65" s="456"/>
      <c r="F65" s="456"/>
      <c r="G65" s="456"/>
      <c r="H65" s="456"/>
      <c r="I65" s="456"/>
      <c r="J65" s="456"/>
      <c r="K65" s="456"/>
      <c r="L65" s="456"/>
      <c r="M65" s="456"/>
      <c r="N65" s="456"/>
      <c r="O65" s="456"/>
      <c r="P65" s="456"/>
      <c r="Q65" s="456"/>
      <c r="R65" s="456"/>
      <c r="S65" s="456"/>
      <c r="T65" s="456"/>
      <c r="U65" s="456"/>
      <c r="V65" s="456"/>
      <c r="W65" s="456"/>
      <c r="X65" s="456"/>
      <c r="Y65" s="456"/>
      <c r="Z65" s="456"/>
      <c r="AA65" s="456"/>
      <c r="AB65" s="457"/>
      <c r="AC65" s="456"/>
      <c r="AD65" s="456"/>
      <c r="AE65" s="456"/>
      <c r="AF65" s="456"/>
      <c r="AG65" s="456"/>
      <c r="AH65" s="456"/>
      <c r="AI65" s="456"/>
      <c r="AJ65" s="456"/>
      <c r="AK65" s="456"/>
      <c r="AL65" s="456"/>
      <c r="AM65" s="456"/>
      <c r="AN65" s="456"/>
      <c r="AO65" s="456"/>
      <c r="AP65" s="456"/>
      <c r="AQ65" s="456"/>
      <c r="AR65" s="456"/>
      <c r="AS65" s="456"/>
      <c r="AT65" s="456"/>
      <c r="AU65" s="456"/>
      <c r="AV65" s="456"/>
      <c r="AW65" s="456"/>
      <c r="AX65" s="456"/>
      <c r="AY65" s="456"/>
      <c r="AZ65" s="456"/>
      <c r="BA65" s="456"/>
      <c r="BB65" s="456"/>
      <c r="BD65" s="369"/>
      <c r="BE65" s="114"/>
      <c r="BF65" s="114"/>
      <c r="BG65" s="114"/>
      <c r="BH65" s="114"/>
      <c r="BI65" s="371"/>
      <c r="BJ65" s="377"/>
      <c r="BK65" s="373"/>
      <c r="BL65" s="374"/>
      <c r="BM65" s="374"/>
      <c r="BN65" s="459"/>
      <c r="BO65" s="376"/>
      <c r="BP65" s="374"/>
      <c r="BQ65" s="377"/>
      <c r="BR65" s="25"/>
    </row>
    <row r="66" ht="15.75" customHeight="1">
      <c r="A66" s="460">
        <v>37.0</v>
      </c>
      <c r="B66" s="378"/>
      <c r="C66" s="363"/>
      <c r="D66" s="461"/>
      <c r="E66" s="456"/>
      <c r="F66" s="456"/>
      <c r="G66" s="456"/>
      <c r="H66" s="456"/>
      <c r="I66" s="456"/>
      <c r="J66" s="456"/>
      <c r="K66" s="456"/>
      <c r="L66" s="456"/>
      <c r="M66" s="456"/>
      <c r="N66" s="456"/>
      <c r="O66" s="456"/>
      <c r="P66" s="456"/>
      <c r="Q66" s="456"/>
      <c r="R66" s="456"/>
      <c r="S66" s="456"/>
      <c r="T66" s="456"/>
      <c r="U66" s="456"/>
      <c r="V66" s="456"/>
      <c r="W66" s="456"/>
      <c r="X66" s="456"/>
      <c r="Y66" s="456"/>
      <c r="Z66" s="456"/>
      <c r="AA66" s="456"/>
      <c r="AB66" s="457"/>
      <c r="AC66" s="456"/>
      <c r="AD66" s="456"/>
      <c r="AE66" s="456"/>
      <c r="AF66" s="456"/>
      <c r="AG66" s="456"/>
      <c r="AH66" s="456"/>
      <c r="AI66" s="456"/>
      <c r="AJ66" s="456"/>
      <c r="AK66" s="456"/>
      <c r="AL66" s="456"/>
      <c r="AM66" s="456"/>
      <c r="AN66" s="456"/>
      <c r="AO66" s="456"/>
      <c r="AP66" s="456"/>
      <c r="AQ66" s="456"/>
      <c r="AR66" s="456"/>
      <c r="AS66" s="456"/>
      <c r="AT66" s="456"/>
      <c r="AU66" s="456"/>
      <c r="AV66" s="456"/>
      <c r="AW66" s="456"/>
      <c r="AX66" s="456"/>
      <c r="AY66" s="456"/>
      <c r="AZ66" s="456"/>
      <c r="BA66" s="456"/>
      <c r="BB66" s="456"/>
      <c r="BD66" s="369"/>
      <c r="BE66" s="114"/>
      <c r="BF66" s="114"/>
      <c r="BG66" s="114"/>
      <c r="BH66" s="114"/>
      <c r="BI66" s="371"/>
      <c r="BJ66" s="377"/>
      <c r="BK66" s="373"/>
      <c r="BL66" s="374"/>
      <c r="BM66" s="374"/>
      <c r="BN66" s="459"/>
      <c r="BO66" s="376"/>
      <c r="BP66" s="374"/>
      <c r="BQ66" s="377"/>
      <c r="BR66" s="25"/>
    </row>
    <row r="67" ht="15.75" customHeight="1">
      <c r="A67" s="460">
        <v>38.0</v>
      </c>
      <c r="B67" s="378"/>
      <c r="C67" s="363"/>
      <c r="D67" s="461"/>
      <c r="E67" s="456"/>
      <c r="F67" s="456"/>
      <c r="G67" s="456"/>
      <c r="H67" s="456"/>
      <c r="I67" s="456"/>
      <c r="J67" s="456"/>
      <c r="K67" s="456"/>
      <c r="L67" s="456"/>
      <c r="M67" s="456"/>
      <c r="N67" s="456"/>
      <c r="O67" s="456"/>
      <c r="P67" s="456"/>
      <c r="Q67" s="456"/>
      <c r="R67" s="456"/>
      <c r="S67" s="456"/>
      <c r="T67" s="456"/>
      <c r="U67" s="456"/>
      <c r="V67" s="456"/>
      <c r="W67" s="456"/>
      <c r="X67" s="456"/>
      <c r="Y67" s="456"/>
      <c r="Z67" s="456"/>
      <c r="AA67" s="456"/>
      <c r="AB67" s="457"/>
      <c r="AC67" s="456"/>
      <c r="AD67" s="456"/>
      <c r="AE67" s="456"/>
      <c r="AF67" s="456"/>
      <c r="AG67" s="456"/>
      <c r="AH67" s="456"/>
      <c r="AI67" s="456"/>
      <c r="AJ67" s="456"/>
      <c r="AK67" s="456"/>
      <c r="AL67" s="456"/>
      <c r="AM67" s="456"/>
      <c r="AN67" s="456"/>
      <c r="AO67" s="456"/>
      <c r="AP67" s="456"/>
      <c r="AQ67" s="456"/>
      <c r="AR67" s="456"/>
      <c r="AS67" s="456"/>
      <c r="AT67" s="456"/>
      <c r="AU67" s="456"/>
      <c r="AV67" s="456"/>
      <c r="AW67" s="456"/>
      <c r="AX67" s="456"/>
      <c r="AY67" s="456"/>
      <c r="AZ67" s="456"/>
      <c r="BA67" s="456"/>
      <c r="BB67" s="456"/>
      <c r="BD67" s="369"/>
      <c r="BE67" s="114"/>
      <c r="BF67" s="114"/>
      <c r="BG67" s="114"/>
      <c r="BH67" s="114"/>
      <c r="BI67" s="371"/>
      <c r="BJ67" s="377"/>
      <c r="BK67" s="373"/>
      <c r="BL67" s="374"/>
      <c r="BM67" s="374"/>
      <c r="BN67" s="459"/>
      <c r="BO67" s="376"/>
      <c r="BP67" s="374"/>
      <c r="BQ67" s="377"/>
      <c r="BR67" s="25"/>
    </row>
    <row r="68" ht="15.75" customHeight="1">
      <c r="A68" s="460">
        <v>39.0</v>
      </c>
      <c r="B68" s="378"/>
      <c r="C68" s="363"/>
      <c r="D68" s="461"/>
      <c r="E68" s="456"/>
      <c r="F68" s="456"/>
      <c r="G68" s="456"/>
      <c r="H68" s="456"/>
      <c r="I68" s="456"/>
      <c r="J68" s="456"/>
      <c r="K68" s="456"/>
      <c r="L68" s="456"/>
      <c r="M68" s="456"/>
      <c r="N68" s="456"/>
      <c r="O68" s="456"/>
      <c r="P68" s="456"/>
      <c r="Q68" s="456"/>
      <c r="R68" s="456"/>
      <c r="S68" s="456"/>
      <c r="T68" s="456"/>
      <c r="U68" s="456"/>
      <c r="V68" s="456"/>
      <c r="W68" s="456"/>
      <c r="X68" s="456"/>
      <c r="Y68" s="456"/>
      <c r="Z68" s="456"/>
      <c r="AA68" s="456"/>
      <c r="AB68" s="457"/>
      <c r="AC68" s="456"/>
      <c r="AD68" s="456"/>
      <c r="AE68" s="456"/>
      <c r="AF68" s="456"/>
      <c r="AG68" s="456"/>
      <c r="AH68" s="456"/>
      <c r="AI68" s="456"/>
      <c r="AJ68" s="456"/>
      <c r="AK68" s="456"/>
      <c r="AL68" s="456"/>
      <c r="AM68" s="456"/>
      <c r="AN68" s="456"/>
      <c r="AO68" s="456"/>
      <c r="AP68" s="456"/>
      <c r="AQ68" s="456"/>
      <c r="AR68" s="456"/>
      <c r="AS68" s="456"/>
      <c r="AT68" s="456"/>
      <c r="AU68" s="456"/>
      <c r="AV68" s="456"/>
      <c r="AW68" s="456"/>
      <c r="AX68" s="456"/>
      <c r="AY68" s="456"/>
      <c r="AZ68" s="456"/>
      <c r="BA68" s="456"/>
      <c r="BB68" s="456"/>
      <c r="BD68" s="369"/>
      <c r="BE68" s="114"/>
      <c r="BF68" s="114"/>
      <c r="BG68" s="114"/>
      <c r="BH68" s="114"/>
      <c r="BI68" s="371"/>
      <c r="BJ68" s="377"/>
      <c r="BK68" s="373"/>
      <c r="BL68" s="374"/>
      <c r="BM68" s="374"/>
      <c r="BN68" s="459"/>
      <c r="BO68" s="376"/>
      <c r="BP68" s="374"/>
      <c r="BQ68" s="377"/>
      <c r="BR68" s="25"/>
    </row>
    <row r="69" ht="15.75" customHeight="1">
      <c r="A69" s="460">
        <v>40.0</v>
      </c>
      <c r="B69" s="378"/>
      <c r="C69" s="363"/>
      <c r="D69" s="461"/>
      <c r="E69" s="456"/>
      <c r="F69" s="456"/>
      <c r="G69" s="456"/>
      <c r="H69" s="456"/>
      <c r="I69" s="456"/>
      <c r="J69" s="456"/>
      <c r="K69" s="456"/>
      <c r="L69" s="456"/>
      <c r="M69" s="456"/>
      <c r="N69" s="456"/>
      <c r="O69" s="456"/>
      <c r="P69" s="456"/>
      <c r="Q69" s="456"/>
      <c r="R69" s="456"/>
      <c r="S69" s="456"/>
      <c r="T69" s="456"/>
      <c r="U69" s="456"/>
      <c r="V69" s="456"/>
      <c r="W69" s="456"/>
      <c r="X69" s="456"/>
      <c r="Y69" s="456"/>
      <c r="Z69" s="456"/>
      <c r="AA69" s="456"/>
      <c r="AB69" s="457"/>
      <c r="AC69" s="456"/>
      <c r="AD69" s="456"/>
      <c r="AE69" s="456"/>
      <c r="AF69" s="456"/>
      <c r="AG69" s="456"/>
      <c r="AH69" s="456"/>
      <c r="AI69" s="456"/>
      <c r="AJ69" s="456"/>
      <c r="AK69" s="456"/>
      <c r="AL69" s="456"/>
      <c r="AM69" s="456"/>
      <c r="AN69" s="456"/>
      <c r="AO69" s="456"/>
      <c r="AP69" s="456"/>
      <c r="AQ69" s="456"/>
      <c r="AR69" s="456"/>
      <c r="AS69" s="456"/>
      <c r="AT69" s="456"/>
      <c r="AU69" s="456"/>
      <c r="AV69" s="456"/>
      <c r="AW69" s="456"/>
      <c r="AX69" s="456"/>
      <c r="AY69" s="456"/>
      <c r="AZ69" s="456"/>
      <c r="BA69" s="456"/>
      <c r="BB69" s="456"/>
      <c r="BD69" s="369"/>
      <c r="BE69" s="114"/>
      <c r="BF69" s="114"/>
      <c r="BG69" s="114"/>
      <c r="BH69" s="114"/>
      <c r="BI69" s="371"/>
      <c r="BJ69" s="377"/>
      <c r="BK69" s="373"/>
      <c r="BL69" s="374"/>
      <c r="BM69" s="374"/>
      <c r="BN69" s="459"/>
      <c r="BO69" s="376"/>
      <c r="BP69" s="374"/>
      <c r="BQ69" s="377"/>
      <c r="BR69" s="25"/>
    </row>
    <row r="70" ht="15.75" customHeight="1">
      <c r="A70" s="462" t="s">
        <v>202</v>
      </c>
      <c r="B70" s="29"/>
      <c r="C70" s="41"/>
      <c r="D70" s="387">
        <f>COUNTIF(D30:D69,"B")</f>
        <v>2</v>
      </c>
      <c r="E70" s="387">
        <f>COUNTIF(E30:E69,"C")</f>
        <v>2</v>
      </c>
      <c r="F70" s="387">
        <f>COUNTIF(F30:F69,"D")</f>
        <v>1</v>
      </c>
      <c r="G70" s="387">
        <f>COUNTIF(G30:G69,"A")</f>
        <v>1</v>
      </c>
      <c r="H70" s="387">
        <f>COUNTIF(H30:H69,"B")</f>
        <v>4</v>
      </c>
      <c r="I70" s="387">
        <f>COUNTIF(I30:I69,"D")</f>
        <v>3</v>
      </c>
      <c r="J70" s="387">
        <f t="shared" ref="J70:K70" si="9">COUNTIF(J30:J69,"B")</f>
        <v>2</v>
      </c>
      <c r="K70" s="387">
        <f t="shared" si="9"/>
        <v>4</v>
      </c>
      <c r="L70" s="387">
        <f t="shared" ref="L70:M70" si="10">COUNTIF(L30:L69,"C")</f>
        <v>9</v>
      </c>
      <c r="M70" s="387">
        <f t="shared" si="10"/>
        <v>2</v>
      </c>
      <c r="N70" s="387">
        <f>COUNTIF(N30:N69,"B")</f>
        <v>6</v>
      </c>
      <c r="O70" s="387">
        <f>COUNTIF(O30:O69,"A")</f>
        <v>1</v>
      </c>
      <c r="P70" s="387">
        <f>COUNTIF(P30:P69,"D")</f>
        <v>3</v>
      </c>
      <c r="Q70" s="387">
        <f>COUNTIF(Q30:Q69,"C")</f>
        <v>4</v>
      </c>
      <c r="R70" s="387">
        <f>COUNTIF(R30:R69,"B")</f>
        <v>1</v>
      </c>
      <c r="S70" s="387">
        <f>COUNTIF(S30:S69,"A")</f>
        <v>1</v>
      </c>
      <c r="T70" s="387">
        <f t="shared" ref="T70:V70" si="11">COUNTIF(T30:T69,"B")</f>
        <v>9</v>
      </c>
      <c r="U70" s="387">
        <f t="shared" si="11"/>
        <v>1</v>
      </c>
      <c r="V70" s="387">
        <f t="shared" si="11"/>
        <v>4</v>
      </c>
      <c r="W70" s="387">
        <f>COUNTIF(W30:W69,"A")</f>
        <v>1</v>
      </c>
      <c r="X70" s="387">
        <f t="shared" ref="X70:Y70" si="12">COUNTIF(X30:X69,"C")</f>
        <v>5</v>
      </c>
      <c r="Y70" s="387">
        <f t="shared" si="12"/>
        <v>7</v>
      </c>
      <c r="Z70" s="387">
        <f>COUNTIF(Z30:Z69,"A")</f>
        <v>4</v>
      </c>
      <c r="AA70" s="387">
        <f>COUNTIF(AA30:AA69,"D")</f>
        <v>1</v>
      </c>
      <c r="AB70" s="388">
        <f t="shared" ref="AB70:AC70" si="13">COUNTIF(AB30:AB69,"C")</f>
        <v>3</v>
      </c>
      <c r="AC70" s="463">
        <f t="shared" si="13"/>
        <v>5</v>
      </c>
      <c r="AD70" s="387">
        <f>COUNTIF(AD30:AD69,"B")</f>
        <v>3</v>
      </c>
      <c r="AE70" s="387">
        <f t="shared" ref="AE70:AF70" si="14">COUNTIF(AE30:AE69,"A")</f>
        <v>2</v>
      </c>
      <c r="AF70" s="387">
        <f t="shared" si="14"/>
        <v>4</v>
      </c>
      <c r="AG70" s="387">
        <f>COUNTIF(AG30:AG69,"D")</f>
        <v>5</v>
      </c>
      <c r="AH70" s="387">
        <f t="shared" ref="AH70:AK70" si="15">COUNTIF(AH30:AH69,"A")</f>
        <v>4</v>
      </c>
      <c r="AI70" s="387">
        <f t="shared" si="15"/>
        <v>2</v>
      </c>
      <c r="AJ70" s="387">
        <f t="shared" si="15"/>
        <v>5</v>
      </c>
      <c r="AK70" s="387">
        <f t="shared" si="15"/>
        <v>7</v>
      </c>
      <c r="AL70" s="387">
        <f>COUNTIF(AL30:AL69,"D")</f>
        <v>1</v>
      </c>
      <c r="AM70" s="387">
        <f>COUNTIF(AM30:AM69,"B")</f>
        <v>1</v>
      </c>
      <c r="AN70" s="387">
        <f>COUNTIF(AN30:AN69,"A")</f>
        <v>3</v>
      </c>
      <c r="AO70" s="387">
        <f>COUNTIF(AO30:AO69,"D")</f>
        <v>5</v>
      </c>
      <c r="AP70" s="387">
        <f>COUNTIF(AP30:AP69,"B")</f>
        <v>4</v>
      </c>
      <c r="AQ70" s="387">
        <f>COUNTIF(AQ30:AQ69,"D")</f>
        <v>2</v>
      </c>
      <c r="AR70" s="387">
        <f>COUNTIF(AR30:AR69,"C")</f>
        <v>3</v>
      </c>
      <c r="AS70" s="387">
        <f t="shared" ref="AS70:AT70" si="16">COUNTIF(AS30:AS69,"A")</f>
        <v>6</v>
      </c>
      <c r="AT70" s="387">
        <f t="shared" si="16"/>
        <v>6</v>
      </c>
      <c r="AU70" s="387">
        <f t="shared" ref="AU70:AV70" si="17">COUNTIF(AU30:AU69,"D")</f>
        <v>4</v>
      </c>
      <c r="AV70" s="387">
        <f t="shared" si="17"/>
        <v>3</v>
      </c>
      <c r="AW70" s="387">
        <f>COUNTIF(AW30:AW69,"B")</f>
        <v>4</v>
      </c>
      <c r="AX70" s="387">
        <f t="shared" ref="AX70:AZ70" si="18">COUNTIF(AX30:AX69,"D")</f>
        <v>6</v>
      </c>
      <c r="AY70" s="387">
        <f t="shared" si="18"/>
        <v>5</v>
      </c>
      <c r="AZ70" s="387">
        <f t="shared" si="18"/>
        <v>5</v>
      </c>
      <c r="BA70" s="387">
        <f>COUNTIF(BA30:BA69,"A")</f>
        <v>3</v>
      </c>
      <c r="BB70" s="387">
        <f>COUNTIF(BB30:BB69,"D")</f>
        <v>4</v>
      </c>
    </row>
    <row r="71" ht="108.0" customHeight="1">
      <c r="BC71" s="88"/>
    </row>
    <row r="72" ht="12.0" customHeight="1">
      <c r="A72" s="89"/>
      <c r="B72" s="90"/>
      <c r="C72" s="90"/>
      <c r="D72" s="257" t="s">
        <v>51</v>
      </c>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41"/>
      <c r="AK72" s="93"/>
      <c r="AL72" s="464" t="s">
        <v>87</v>
      </c>
      <c r="AM72" s="34"/>
      <c r="AN72" s="34"/>
      <c r="AO72" s="34"/>
      <c r="AP72" s="34"/>
      <c r="AQ72" s="34"/>
      <c r="AR72" s="34"/>
      <c r="AS72" s="34"/>
      <c r="AT72" s="34"/>
      <c r="AU72" s="97"/>
    </row>
    <row r="73" ht="12.0" customHeight="1">
      <c r="A73" s="94"/>
      <c r="B73" s="95"/>
      <c r="C73" s="95"/>
      <c r="D73" s="96" t="s">
        <v>52</v>
      </c>
      <c r="E73" s="97"/>
      <c r="F73" s="98" t="s">
        <v>53</v>
      </c>
      <c r="G73" s="259" t="s">
        <v>54</v>
      </c>
      <c r="H73" s="260" t="s">
        <v>55</v>
      </c>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97"/>
      <c r="AK73" s="101"/>
      <c r="AL73" s="102"/>
      <c r="AM73" s="23"/>
      <c r="AN73" s="23"/>
      <c r="AO73" s="23"/>
      <c r="AP73" s="23"/>
      <c r="AQ73" s="23"/>
      <c r="AR73" s="23"/>
      <c r="AS73" s="23"/>
      <c r="AT73" s="23"/>
      <c r="AU73" s="24"/>
    </row>
    <row r="74">
      <c r="A74" s="94"/>
      <c r="B74" s="95"/>
      <c r="C74" s="95"/>
      <c r="D74" s="102"/>
      <c r="E74" s="24"/>
      <c r="F74" s="65"/>
      <c r="G74" s="102"/>
      <c r="H74" s="102"/>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4"/>
      <c r="AK74" s="101"/>
      <c r="AL74" s="465"/>
      <c r="AM74" s="466"/>
      <c r="AN74" s="406" t="s">
        <v>10</v>
      </c>
      <c r="AO74" s="467" t="s">
        <v>44</v>
      </c>
      <c r="AP74" s="408" t="s">
        <v>10</v>
      </c>
      <c r="AQ74" s="468" t="s">
        <v>42</v>
      </c>
      <c r="AR74" s="408" t="s">
        <v>10</v>
      </c>
      <c r="AS74" s="468" t="s">
        <v>41</v>
      </c>
      <c r="AT74" s="408" t="s">
        <v>10</v>
      </c>
      <c r="AU74" s="468" t="s">
        <v>43</v>
      </c>
      <c r="AV74" s="262"/>
      <c r="AW74" s="263"/>
    </row>
    <row r="75">
      <c r="A75" s="94"/>
      <c r="B75" s="95"/>
      <c r="C75" s="95"/>
      <c r="D75" s="264" t="s">
        <v>16</v>
      </c>
      <c r="E75" s="112">
        <v>1.0</v>
      </c>
      <c r="F75" s="113">
        <f>D70</f>
        <v>2</v>
      </c>
      <c r="G75" s="265">
        <f t="shared" ref="G75:G125" si="19">SUM(F75/C$17*100)</f>
        <v>9.090909091</v>
      </c>
      <c r="H75" s="266" t="s">
        <v>119</v>
      </c>
      <c r="I75" s="267"/>
      <c r="J75" s="267"/>
      <c r="K75" s="267"/>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8"/>
      <c r="AK75" s="111"/>
      <c r="AL75" s="156" t="s">
        <v>16</v>
      </c>
      <c r="AM75" s="469">
        <v>1.0</v>
      </c>
      <c r="AN75" s="208">
        <f>COUNTIF(D30:D69,"A")</f>
        <v>6</v>
      </c>
      <c r="AO75" s="470">
        <f t="shared" ref="AO75:AO125" si="20">SUM(AN75/C$17*100)</f>
        <v>27.27272727</v>
      </c>
      <c r="AP75" s="208">
        <f>COUNTIF(D30:D69,"B")</f>
        <v>2</v>
      </c>
      <c r="AQ75" s="471">
        <f t="shared" ref="AQ75:AQ125" si="21">SUM(AP75/C$17*100)</f>
        <v>9.090909091</v>
      </c>
      <c r="AR75" s="208">
        <f>COUNTIF(D30:D69,"C")</f>
        <v>6</v>
      </c>
      <c r="AS75" s="471">
        <f t="shared" ref="AS75:AS125" si="22">SUM(AR75/C$17*100)</f>
        <v>27.27272727</v>
      </c>
      <c r="AT75" s="208">
        <f>COUNTIF(D30:D69,"D")</f>
        <v>3</v>
      </c>
      <c r="AU75" s="471">
        <f t="shared" ref="AU75:AU125" si="23">SUM(AT75/C$17*100)</f>
        <v>13.63636364</v>
      </c>
      <c r="AV75" s="271"/>
      <c r="AW75" s="272"/>
    </row>
    <row r="76">
      <c r="A76" s="94"/>
      <c r="B76" s="95"/>
      <c r="C76" s="95"/>
      <c r="D76" s="47"/>
      <c r="E76" s="112">
        <v>2.0</v>
      </c>
      <c r="F76" s="113">
        <f>E70</f>
        <v>2</v>
      </c>
      <c r="G76" s="265">
        <f t="shared" si="19"/>
        <v>9.090909091</v>
      </c>
      <c r="H76" s="266" t="s">
        <v>119</v>
      </c>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8"/>
      <c r="AK76" s="111"/>
      <c r="AM76" s="469">
        <v>2.0</v>
      </c>
      <c r="AN76" s="208">
        <f>COUNTIF(E30:E69,"A")</f>
        <v>8</v>
      </c>
      <c r="AO76" s="470">
        <f t="shared" si="20"/>
        <v>36.36363636</v>
      </c>
      <c r="AP76" s="208">
        <f>COUNTIF(E30:E69,"B")</f>
        <v>4</v>
      </c>
      <c r="AQ76" s="471">
        <f t="shared" si="21"/>
        <v>18.18181818</v>
      </c>
      <c r="AR76" s="208">
        <f>COUNTIF(E30:E69,"C")</f>
        <v>2</v>
      </c>
      <c r="AS76" s="471">
        <f t="shared" si="22"/>
        <v>9.090909091</v>
      </c>
      <c r="AT76" s="208">
        <f>COUNTIF(E30:E69,"D")</f>
        <v>3</v>
      </c>
      <c r="AU76" s="471">
        <f t="shared" si="23"/>
        <v>13.63636364</v>
      </c>
      <c r="AV76" s="271"/>
      <c r="AW76" s="272"/>
    </row>
    <row r="77">
      <c r="A77" s="94"/>
      <c r="B77" s="95"/>
      <c r="C77" s="95"/>
      <c r="D77" s="47"/>
      <c r="E77" s="112">
        <v>3.0</v>
      </c>
      <c r="F77" s="114">
        <f>F70</f>
        <v>1</v>
      </c>
      <c r="G77" s="265">
        <f t="shared" si="19"/>
        <v>4.545454545</v>
      </c>
      <c r="H77" s="266" t="s">
        <v>120</v>
      </c>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8"/>
      <c r="AK77" s="111"/>
      <c r="AM77" s="469">
        <v>3.0</v>
      </c>
      <c r="AN77" s="208">
        <f>COUNTIF(F30:F69,"A")</f>
        <v>1</v>
      </c>
      <c r="AO77" s="470">
        <f t="shared" si="20"/>
        <v>4.545454545</v>
      </c>
      <c r="AP77" s="208">
        <f>COUNTIF(F30:F69,"B")</f>
        <v>0</v>
      </c>
      <c r="AQ77" s="471">
        <f t="shared" si="21"/>
        <v>0</v>
      </c>
      <c r="AR77" s="208">
        <f>COUNTIF(F30:F69,"C")</f>
        <v>15</v>
      </c>
      <c r="AS77" s="471">
        <f t="shared" si="22"/>
        <v>68.18181818</v>
      </c>
      <c r="AT77" s="208">
        <f>COUNTIF(F30:F69,"D")</f>
        <v>1</v>
      </c>
      <c r="AU77" s="471">
        <f t="shared" si="23"/>
        <v>4.545454545</v>
      </c>
      <c r="AV77" s="271"/>
      <c r="AW77" s="272"/>
    </row>
    <row r="78">
      <c r="A78" s="94"/>
      <c r="B78" s="95"/>
      <c r="C78" s="95"/>
      <c r="D78" s="47"/>
      <c r="E78" s="112">
        <v>4.0</v>
      </c>
      <c r="F78" s="113">
        <f>G70</f>
        <v>1</v>
      </c>
      <c r="G78" s="265">
        <f t="shared" si="19"/>
        <v>4.545454545</v>
      </c>
      <c r="H78" s="273" t="s">
        <v>121</v>
      </c>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8"/>
      <c r="AK78" s="111"/>
      <c r="AM78" s="469">
        <v>4.0</v>
      </c>
      <c r="AN78" s="208">
        <f>COUNTIF(G30:G69,"A")</f>
        <v>1</v>
      </c>
      <c r="AO78" s="470">
        <f t="shared" si="20"/>
        <v>4.545454545</v>
      </c>
      <c r="AP78" s="208">
        <f>COUNTIF(G30:G69,"B")</f>
        <v>7</v>
      </c>
      <c r="AQ78" s="471">
        <f t="shared" si="21"/>
        <v>31.81818182</v>
      </c>
      <c r="AR78" s="208">
        <f>COUNTIF(G30:G69,"C")</f>
        <v>4</v>
      </c>
      <c r="AS78" s="471">
        <f t="shared" si="22"/>
        <v>18.18181818</v>
      </c>
      <c r="AT78" s="208">
        <f>COUNTIF(G30:G69,"D")</f>
        <v>5</v>
      </c>
      <c r="AU78" s="471">
        <f t="shared" si="23"/>
        <v>22.72727273</v>
      </c>
      <c r="AV78" s="271"/>
      <c r="AW78" s="272"/>
    </row>
    <row r="79">
      <c r="A79" s="94"/>
      <c r="B79" s="95"/>
      <c r="C79" s="95"/>
      <c r="D79" s="47"/>
      <c r="E79" s="112">
        <v>5.0</v>
      </c>
      <c r="F79" s="113">
        <f>H70</f>
        <v>4</v>
      </c>
      <c r="G79" s="265">
        <f t="shared" si="19"/>
        <v>18.18181818</v>
      </c>
      <c r="H79" s="274" t="s">
        <v>122</v>
      </c>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8"/>
      <c r="AK79" s="111"/>
      <c r="AM79" s="469">
        <v>5.0</v>
      </c>
      <c r="AN79" s="208">
        <f>COUNTIF(H30:H69,"A")</f>
        <v>7</v>
      </c>
      <c r="AO79" s="470">
        <f t="shared" si="20"/>
        <v>31.81818182</v>
      </c>
      <c r="AP79" s="208">
        <f>COUNTIF(H30:H69,"B")</f>
        <v>4</v>
      </c>
      <c r="AQ79" s="471">
        <f t="shared" si="21"/>
        <v>18.18181818</v>
      </c>
      <c r="AR79" s="208">
        <f>COUNTIF(H30:H69,"C")</f>
        <v>1</v>
      </c>
      <c r="AS79" s="471">
        <f t="shared" si="22"/>
        <v>4.545454545</v>
      </c>
      <c r="AT79" s="208">
        <f>COUNTIF(H30:H69,"D")</f>
        <v>5</v>
      </c>
      <c r="AU79" s="471">
        <f t="shared" si="23"/>
        <v>22.72727273</v>
      </c>
      <c r="AV79" s="271"/>
      <c r="AW79" s="272"/>
    </row>
    <row r="80">
      <c r="A80" s="94"/>
      <c r="B80" s="95"/>
      <c r="C80" s="95"/>
      <c r="D80" s="47"/>
      <c r="E80" s="112">
        <v>6.0</v>
      </c>
      <c r="F80" s="113">
        <f>I70</f>
        <v>3</v>
      </c>
      <c r="G80" s="265">
        <f t="shared" si="19"/>
        <v>13.63636364</v>
      </c>
      <c r="H80" s="275" t="s">
        <v>123</v>
      </c>
      <c r="I80" s="276"/>
      <c r="J80" s="276"/>
      <c r="K80" s="276"/>
      <c r="L80" s="276"/>
      <c r="M80" s="276"/>
      <c r="N80" s="276"/>
      <c r="O80" s="276"/>
      <c r="P80" s="276"/>
      <c r="Q80" s="276"/>
      <c r="R80" s="276"/>
      <c r="S80" s="276"/>
      <c r="T80" s="276"/>
      <c r="U80" s="276"/>
      <c r="V80" s="276"/>
      <c r="W80" s="276"/>
      <c r="X80" s="276"/>
      <c r="Y80" s="276"/>
      <c r="Z80" s="276"/>
      <c r="AA80" s="276"/>
      <c r="AB80" s="276"/>
      <c r="AC80" s="276"/>
      <c r="AD80" s="276"/>
      <c r="AE80" s="276"/>
      <c r="AF80" s="276"/>
      <c r="AG80" s="276"/>
      <c r="AH80" s="276"/>
      <c r="AI80" s="276"/>
      <c r="AJ80" s="277"/>
      <c r="AK80" s="278"/>
      <c r="AM80" s="469">
        <v>6.0</v>
      </c>
      <c r="AN80" s="208">
        <f>COUNTIF(I30:I69,"A")</f>
        <v>1</v>
      </c>
      <c r="AO80" s="470">
        <f t="shared" si="20"/>
        <v>4.545454545</v>
      </c>
      <c r="AP80" s="208">
        <f>COUNTIF(I30:I69,"B")</f>
        <v>9</v>
      </c>
      <c r="AQ80" s="471">
        <f t="shared" si="21"/>
        <v>40.90909091</v>
      </c>
      <c r="AR80" s="208">
        <f>COUNTIF(I30:I69,"C")</f>
        <v>4</v>
      </c>
      <c r="AS80" s="471">
        <f t="shared" si="22"/>
        <v>18.18181818</v>
      </c>
      <c r="AT80" s="208">
        <f>COUNTIF(I30:I69,"D")</f>
        <v>3</v>
      </c>
      <c r="AU80" s="471">
        <f t="shared" si="23"/>
        <v>13.63636364</v>
      </c>
      <c r="AV80" s="271"/>
      <c r="AW80" s="272"/>
    </row>
    <row r="81">
      <c r="A81" s="94"/>
      <c r="B81" s="95"/>
      <c r="C81" s="95"/>
      <c r="D81" s="47"/>
      <c r="E81" s="112">
        <v>7.0</v>
      </c>
      <c r="F81" s="113">
        <f>J70</f>
        <v>2</v>
      </c>
      <c r="G81" s="265">
        <f t="shared" si="19"/>
        <v>9.090909091</v>
      </c>
      <c r="H81" s="273" t="s">
        <v>124</v>
      </c>
      <c r="I81" s="276"/>
      <c r="J81" s="276"/>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276"/>
      <c r="AH81" s="276"/>
      <c r="AI81" s="276"/>
      <c r="AJ81" s="277"/>
      <c r="AK81" s="111"/>
      <c r="AM81" s="469">
        <v>7.0</v>
      </c>
      <c r="AN81" s="208">
        <f>COUNTIF(J30:J69,"A")</f>
        <v>8</v>
      </c>
      <c r="AO81" s="470">
        <f t="shared" si="20"/>
        <v>36.36363636</v>
      </c>
      <c r="AP81" s="208">
        <f>COUNTIF(J30:J69,"B")</f>
        <v>2</v>
      </c>
      <c r="AQ81" s="471">
        <f t="shared" si="21"/>
        <v>9.090909091</v>
      </c>
      <c r="AR81" s="208">
        <f>COUNTIF(J30:J69,"C")</f>
        <v>2</v>
      </c>
      <c r="AS81" s="471">
        <f t="shared" si="22"/>
        <v>9.090909091</v>
      </c>
      <c r="AT81" s="208">
        <f>COUNTIF(J30:J69,"D")</f>
        <v>5</v>
      </c>
      <c r="AU81" s="471">
        <f t="shared" si="23"/>
        <v>22.72727273</v>
      </c>
      <c r="AV81" s="271"/>
      <c r="AW81" s="272"/>
    </row>
    <row r="82">
      <c r="A82" s="94"/>
      <c r="B82" s="95"/>
      <c r="C82" s="95"/>
      <c r="D82" s="47"/>
      <c r="E82" s="112">
        <v>8.0</v>
      </c>
      <c r="F82" s="113">
        <f>K70</f>
        <v>4</v>
      </c>
      <c r="G82" s="265">
        <f t="shared" si="19"/>
        <v>18.18181818</v>
      </c>
      <c r="H82" s="266" t="s">
        <v>123</v>
      </c>
      <c r="I82" s="279"/>
      <c r="J82" s="279"/>
      <c r="K82" s="279"/>
      <c r="L82" s="279"/>
      <c r="M82" s="279"/>
      <c r="N82" s="279"/>
      <c r="O82" s="279"/>
      <c r="P82" s="279"/>
      <c r="Q82" s="279"/>
      <c r="R82" s="279"/>
      <c r="S82" s="279"/>
      <c r="T82" s="279"/>
      <c r="U82" s="279"/>
      <c r="V82" s="279"/>
      <c r="W82" s="279"/>
      <c r="X82" s="279"/>
      <c r="Y82" s="279"/>
      <c r="Z82" s="279"/>
      <c r="AA82" s="279"/>
      <c r="AB82" s="279"/>
      <c r="AC82" s="279"/>
      <c r="AD82" s="279"/>
      <c r="AE82" s="279"/>
      <c r="AF82" s="279"/>
      <c r="AG82" s="279"/>
      <c r="AH82" s="279"/>
      <c r="AI82" s="279"/>
      <c r="AJ82" s="280"/>
      <c r="AK82" s="115"/>
      <c r="AM82" s="469">
        <v>8.0</v>
      </c>
      <c r="AN82" s="208">
        <f>COUNTIF(K30:K69,"A")</f>
        <v>6</v>
      </c>
      <c r="AO82" s="470">
        <f t="shared" si="20"/>
        <v>27.27272727</v>
      </c>
      <c r="AP82" s="208">
        <f>COUNTIF(K30:K69,"B")</f>
        <v>4</v>
      </c>
      <c r="AQ82" s="471">
        <f t="shared" si="21"/>
        <v>18.18181818</v>
      </c>
      <c r="AR82" s="208">
        <f>COUNTIF(K30:K69,"C")</f>
        <v>5</v>
      </c>
      <c r="AS82" s="471">
        <f t="shared" si="22"/>
        <v>22.72727273</v>
      </c>
      <c r="AT82" s="208">
        <f>COUNTIF(K30:K69,"D")</f>
        <v>2</v>
      </c>
      <c r="AU82" s="471">
        <f t="shared" si="23"/>
        <v>9.090909091</v>
      </c>
      <c r="AV82" s="271"/>
      <c r="AW82" s="272"/>
    </row>
    <row r="83">
      <c r="A83" s="94"/>
      <c r="B83" s="95"/>
      <c r="C83" s="95"/>
      <c r="D83" s="47"/>
      <c r="E83" s="112">
        <v>9.0</v>
      </c>
      <c r="F83" s="113">
        <f>L70</f>
        <v>9</v>
      </c>
      <c r="G83" s="265">
        <f t="shared" si="19"/>
        <v>40.90909091</v>
      </c>
      <c r="H83" s="281" t="s">
        <v>125</v>
      </c>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8"/>
      <c r="AK83" s="111"/>
      <c r="AM83" s="469">
        <v>9.0</v>
      </c>
      <c r="AN83" s="113">
        <f>COUNTIF(L30:L69,"A")</f>
        <v>3</v>
      </c>
      <c r="AO83" s="470">
        <f t="shared" si="20"/>
        <v>13.63636364</v>
      </c>
      <c r="AP83" s="208">
        <f>COUNTIF(L30:L69,"B")</f>
        <v>2</v>
      </c>
      <c r="AQ83" s="471">
        <f t="shared" si="21"/>
        <v>9.090909091</v>
      </c>
      <c r="AR83" s="208">
        <f>COUNTIF(L30:L69,"C")</f>
        <v>9</v>
      </c>
      <c r="AS83" s="471">
        <f t="shared" si="22"/>
        <v>40.90909091</v>
      </c>
      <c r="AT83" s="208">
        <f>COUNTIF(L30:L69,"D")</f>
        <v>3</v>
      </c>
      <c r="AU83" s="471">
        <f t="shared" si="23"/>
        <v>13.63636364</v>
      </c>
      <c r="AV83" s="271"/>
      <c r="AW83" s="272"/>
    </row>
    <row r="84">
      <c r="A84" s="94"/>
      <c r="B84" s="95"/>
      <c r="C84" s="95"/>
      <c r="D84" s="47"/>
      <c r="E84" s="112">
        <v>10.0</v>
      </c>
      <c r="F84" s="113">
        <f>M70</f>
        <v>2</v>
      </c>
      <c r="G84" s="265">
        <f t="shared" si="19"/>
        <v>9.090909091</v>
      </c>
      <c r="H84" s="266" t="s">
        <v>123</v>
      </c>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8"/>
      <c r="AK84" s="111"/>
      <c r="AM84" s="469">
        <v>10.0</v>
      </c>
      <c r="AN84" s="113">
        <f>COUNTIF(M30:M69,"A")</f>
        <v>6</v>
      </c>
      <c r="AO84" s="470">
        <f t="shared" si="20"/>
        <v>27.27272727</v>
      </c>
      <c r="AP84" s="208">
        <f>COUNTIF(M30:M69,"B")</f>
        <v>6</v>
      </c>
      <c r="AQ84" s="471">
        <f t="shared" si="21"/>
        <v>27.27272727</v>
      </c>
      <c r="AR84" s="208">
        <f>COUNTIF(M30:M69,"C")</f>
        <v>2</v>
      </c>
      <c r="AS84" s="471">
        <f t="shared" si="22"/>
        <v>9.090909091</v>
      </c>
      <c r="AT84" s="208">
        <f>COUNTIF(M30:M69,"D")</f>
        <v>3</v>
      </c>
      <c r="AU84" s="471">
        <f t="shared" si="23"/>
        <v>13.63636364</v>
      </c>
      <c r="AV84" s="271"/>
      <c r="AW84" s="272"/>
    </row>
    <row r="85">
      <c r="A85" s="94"/>
      <c r="B85" s="95"/>
      <c r="C85" s="95"/>
      <c r="D85" s="47"/>
      <c r="E85" s="112">
        <v>11.0</v>
      </c>
      <c r="F85" s="113">
        <f>N70</f>
        <v>6</v>
      </c>
      <c r="G85" s="265">
        <f t="shared" si="19"/>
        <v>27.27272727</v>
      </c>
      <c r="H85" s="266" t="s">
        <v>126</v>
      </c>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3"/>
      <c r="AK85" s="111"/>
      <c r="AM85" s="469">
        <v>11.0</v>
      </c>
      <c r="AN85" s="113">
        <f>COUNTIF(N30:N69,"A")</f>
        <v>5</v>
      </c>
      <c r="AO85" s="470">
        <f t="shared" si="20"/>
        <v>22.72727273</v>
      </c>
      <c r="AP85" s="208">
        <f>COUNTIF(N30:N69,"B")</f>
        <v>6</v>
      </c>
      <c r="AQ85" s="471">
        <f t="shared" si="21"/>
        <v>27.27272727</v>
      </c>
      <c r="AR85" s="208">
        <f>COUNTIF(N30:N69,"C")</f>
        <v>3</v>
      </c>
      <c r="AS85" s="471">
        <f t="shared" si="22"/>
        <v>13.63636364</v>
      </c>
      <c r="AT85" s="208">
        <f>COUNTIF(N30:N69,"D")</f>
        <v>3</v>
      </c>
      <c r="AU85" s="471">
        <f t="shared" si="23"/>
        <v>13.63636364</v>
      </c>
      <c r="AV85" s="271"/>
      <c r="AW85" s="272"/>
    </row>
    <row r="86">
      <c r="A86" s="94"/>
      <c r="B86" s="95"/>
      <c r="C86" s="95"/>
      <c r="D86" s="47"/>
      <c r="E86" s="112">
        <v>12.0</v>
      </c>
      <c r="F86" s="113">
        <f>O70</f>
        <v>1</v>
      </c>
      <c r="G86" s="265">
        <f t="shared" si="19"/>
        <v>4.545454545</v>
      </c>
      <c r="H86" s="266" t="s">
        <v>127</v>
      </c>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5"/>
      <c r="AK86" s="116"/>
      <c r="AM86" s="469">
        <v>12.0</v>
      </c>
      <c r="AN86" s="113">
        <f>COUNTIF(O30:O69,"A")</f>
        <v>1</v>
      </c>
      <c r="AO86" s="470">
        <f t="shared" si="20"/>
        <v>4.545454545</v>
      </c>
      <c r="AP86" s="208">
        <f>COUNTIF(O30:O69,"B")</f>
        <v>9</v>
      </c>
      <c r="AQ86" s="471">
        <f t="shared" si="21"/>
        <v>40.90909091</v>
      </c>
      <c r="AR86" s="208">
        <f>COUNTIF(O30:O69,"C")</f>
        <v>5</v>
      </c>
      <c r="AS86" s="471">
        <f t="shared" si="22"/>
        <v>22.72727273</v>
      </c>
      <c r="AT86" s="208">
        <f>COUNTIF(O30:O69,"D")</f>
        <v>2</v>
      </c>
      <c r="AU86" s="471">
        <f t="shared" si="23"/>
        <v>9.090909091</v>
      </c>
      <c r="AV86" s="271"/>
      <c r="AW86" s="272"/>
    </row>
    <row r="87">
      <c r="A87" s="94"/>
      <c r="B87" s="95"/>
      <c r="C87" s="95"/>
      <c r="D87" s="47"/>
      <c r="E87" s="112">
        <v>13.0</v>
      </c>
      <c r="F87" s="113">
        <f>P70</f>
        <v>3</v>
      </c>
      <c r="G87" s="265">
        <f t="shared" si="19"/>
        <v>13.63636364</v>
      </c>
      <c r="H87" s="266" t="s">
        <v>128</v>
      </c>
      <c r="I87" s="267"/>
      <c r="J87" s="267"/>
      <c r="K87" s="267"/>
      <c r="L87" s="267"/>
      <c r="M87" s="267"/>
      <c r="N87" s="267"/>
      <c r="O87" s="267"/>
      <c r="P87" s="267"/>
      <c r="Q87" s="267"/>
      <c r="R87" s="267"/>
      <c r="S87" s="267"/>
      <c r="T87" s="267"/>
      <c r="U87" s="267"/>
      <c r="V87" s="267"/>
      <c r="W87" s="267"/>
      <c r="X87" s="267"/>
      <c r="Y87" s="267"/>
      <c r="Z87" s="267"/>
      <c r="AA87" s="267"/>
      <c r="AB87" s="267"/>
      <c r="AC87" s="267"/>
      <c r="AD87" s="267"/>
      <c r="AE87" s="267"/>
      <c r="AF87" s="267"/>
      <c r="AG87" s="267"/>
      <c r="AH87" s="267"/>
      <c r="AI87" s="267"/>
      <c r="AJ87" s="268"/>
      <c r="AK87" s="111"/>
      <c r="AM87" s="469">
        <v>13.0</v>
      </c>
      <c r="AN87" s="113">
        <f>COUNTIF(P30:P69,"A")</f>
        <v>5</v>
      </c>
      <c r="AO87" s="470">
        <f t="shared" si="20"/>
        <v>22.72727273</v>
      </c>
      <c r="AP87" s="208">
        <f>COUNTIF(P30:P69,"B")</f>
        <v>7</v>
      </c>
      <c r="AQ87" s="471">
        <f t="shared" si="21"/>
        <v>31.81818182</v>
      </c>
      <c r="AR87" s="208">
        <f>COUNTIF(P30:P69,"C")</f>
        <v>2</v>
      </c>
      <c r="AS87" s="471">
        <f t="shared" si="22"/>
        <v>9.090909091</v>
      </c>
      <c r="AT87" s="208">
        <f>COUNTIF(P30:P69,"D")</f>
        <v>3</v>
      </c>
      <c r="AU87" s="471">
        <f t="shared" si="23"/>
        <v>13.63636364</v>
      </c>
      <c r="AV87" s="271"/>
      <c r="AW87" s="272"/>
    </row>
    <row r="88">
      <c r="A88" s="94"/>
      <c r="B88" s="95"/>
      <c r="C88" s="95"/>
      <c r="D88" s="47"/>
      <c r="E88" s="112">
        <v>14.0</v>
      </c>
      <c r="F88" s="113">
        <f>Q70</f>
        <v>4</v>
      </c>
      <c r="G88" s="265">
        <f t="shared" si="19"/>
        <v>18.18181818</v>
      </c>
      <c r="H88" s="266" t="s">
        <v>123</v>
      </c>
      <c r="I88" s="267"/>
      <c r="J88" s="267"/>
      <c r="K88" s="267"/>
      <c r="L88" s="267"/>
      <c r="M88" s="267"/>
      <c r="N88" s="267"/>
      <c r="O88" s="267"/>
      <c r="P88" s="267"/>
      <c r="Q88" s="267"/>
      <c r="R88" s="267"/>
      <c r="S88" s="267"/>
      <c r="T88" s="267"/>
      <c r="U88" s="267"/>
      <c r="V88" s="267"/>
      <c r="W88" s="267"/>
      <c r="X88" s="267"/>
      <c r="Y88" s="267"/>
      <c r="Z88" s="267"/>
      <c r="AA88" s="267"/>
      <c r="AB88" s="267"/>
      <c r="AC88" s="267"/>
      <c r="AD88" s="267"/>
      <c r="AE88" s="267"/>
      <c r="AF88" s="267"/>
      <c r="AG88" s="267"/>
      <c r="AH88" s="267"/>
      <c r="AI88" s="267"/>
      <c r="AJ88" s="268"/>
      <c r="AK88" s="111"/>
      <c r="AM88" s="469">
        <v>14.0</v>
      </c>
      <c r="AN88" s="113">
        <f>COUNTIF(Q30:Q69,"A")</f>
        <v>7</v>
      </c>
      <c r="AO88" s="470">
        <f t="shared" si="20"/>
        <v>31.81818182</v>
      </c>
      <c r="AP88" s="208">
        <f>COUNTIF(Q30:Q69,"B")</f>
        <v>6</v>
      </c>
      <c r="AQ88" s="471">
        <f t="shared" si="21"/>
        <v>27.27272727</v>
      </c>
      <c r="AR88" s="208">
        <f>COUNTIF(Q30:Q69,"C")</f>
        <v>4</v>
      </c>
      <c r="AS88" s="471">
        <f t="shared" si="22"/>
        <v>18.18181818</v>
      </c>
      <c r="AT88" s="208">
        <f>COUNTIF(Q30:Q69,"D")</f>
        <v>0</v>
      </c>
      <c r="AU88" s="471">
        <f t="shared" si="23"/>
        <v>0</v>
      </c>
      <c r="AV88" s="271"/>
      <c r="AW88" s="272"/>
    </row>
    <row r="89">
      <c r="A89" s="94"/>
      <c r="B89" s="95"/>
      <c r="C89" s="95"/>
      <c r="D89" s="47"/>
      <c r="E89" s="112">
        <v>15.0</v>
      </c>
      <c r="F89" s="113">
        <f>R70</f>
        <v>1</v>
      </c>
      <c r="G89" s="265">
        <f t="shared" si="19"/>
        <v>4.545454545</v>
      </c>
      <c r="H89" s="266" t="s">
        <v>129</v>
      </c>
      <c r="I89" s="267"/>
      <c r="J89" s="267"/>
      <c r="K89" s="267"/>
      <c r="L89" s="267"/>
      <c r="M89" s="267"/>
      <c r="N89" s="267"/>
      <c r="O89" s="267"/>
      <c r="P89" s="267"/>
      <c r="Q89" s="267"/>
      <c r="R89" s="267"/>
      <c r="S89" s="267"/>
      <c r="T89" s="267"/>
      <c r="U89" s="267"/>
      <c r="V89" s="267"/>
      <c r="W89" s="267"/>
      <c r="X89" s="267"/>
      <c r="Y89" s="267"/>
      <c r="Z89" s="267"/>
      <c r="AA89" s="267"/>
      <c r="AB89" s="267"/>
      <c r="AC89" s="267"/>
      <c r="AD89" s="267"/>
      <c r="AE89" s="267"/>
      <c r="AF89" s="267"/>
      <c r="AG89" s="267"/>
      <c r="AH89" s="267"/>
      <c r="AI89" s="267"/>
      <c r="AJ89" s="268"/>
      <c r="AK89" s="111"/>
      <c r="AM89" s="469">
        <v>15.0</v>
      </c>
      <c r="AN89" s="113">
        <f>COUNTIF(R30:R69,"A")</f>
        <v>7</v>
      </c>
      <c r="AO89" s="470">
        <f t="shared" si="20"/>
        <v>31.81818182</v>
      </c>
      <c r="AP89" s="208">
        <f>COUNTIF(R30:R69,"B")</f>
        <v>1</v>
      </c>
      <c r="AQ89" s="471">
        <f t="shared" si="21"/>
        <v>4.545454545</v>
      </c>
      <c r="AR89" s="208">
        <f>COUNTIF(R30:R69,"C")</f>
        <v>8</v>
      </c>
      <c r="AS89" s="471">
        <f t="shared" si="22"/>
        <v>36.36363636</v>
      </c>
      <c r="AT89" s="208">
        <f>COUNTIF(R30:R69,"D")</f>
        <v>1</v>
      </c>
      <c r="AU89" s="471">
        <f t="shared" si="23"/>
        <v>4.545454545</v>
      </c>
      <c r="AV89" s="271"/>
      <c r="AW89" s="272"/>
    </row>
    <row r="90">
      <c r="A90" s="94"/>
      <c r="B90" s="95"/>
      <c r="C90" s="95"/>
      <c r="D90" s="47"/>
      <c r="E90" s="112">
        <v>16.0</v>
      </c>
      <c r="F90" s="113">
        <f>S70</f>
        <v>1</v>
      </c>
      <c r="G90" s="265">
        <f t="shared" si="19"/>
        <v>4.545454545</v>
      </c>
      <c r="H90" s="266" t="s">
        <v>123</v>
      </c>
      <c r="I90" s="267"/>
      <c r="J90" s="267"/>
      <c r="K90" s="267"/>
      <c r="L90" s="267"/>
      <c r="M90" s="267"/>
      <c r="N90" s="267"/>
      <c r="O90" s="267"/>
      <c r="P90" s="267"/>
      <c r="Q90" s="267"/>
      <c r="R90" s="267"/>
      <c r="S90" s="267"/>
      <c r="T90" s="267"/>
      <c r="U90" s="267"/>
      <c r="V90" s="267"/>
      <c r="W90" s="267"/>
      <c r="X90" s="267"/>
      <c r="Y90" s="267"/>
      <c r="Z90" s="267"/>
      <c r="AA90" s="267"/>
      <c r="AB90" s="267"/>
      <c r="AC90" s="267"/>
      <c r="AD90" s="267"/>
      <c r="AE90" s="267"/>
      <c r="AF90" s="267"/>
      <c r="AG90" s="267"/>
      <c r="AH90" s="267"/>
      <c r="AI90" s="267"/>
      <c r="AJ90" s="268"/>
      <c r="AK90" s="111"/>
      <c r="AM90" s="469">
        <v>16.0</v>
      </c>
      <c r="AN90" s="113">
        <f>COUNTIF(S30:S69,"A")</f>
        <v>1</v>
      </c>
      <c r="AO90" s="470">
        <f t="shared" si="20"/>
        <v>4.545454545</v>
      </c>
      <c r="AP90" s="208">
        <f>COUNTIF(S30:S69,"B")</f>
        <v>1</v>
      </c>
      <c r="AQ90" s="471">
        <f t="shared" si="21"/>
        <v>4.545454545</v>
      </c>
      <c r="AR90" s="208">
        <f>COUNTIF(S30:S69,"C")</f>
        <v>13</v>
      </c>
      <c r="AS90" s="471">
        <f t="shared" si="22"/>
        <v>59.09090909</v>
      </c>
      <c r="AT90" s="208">
        <f>COUNTIF(S30:S69,"D")</f>
        <v>2</v>
      </c>
      <c r="AU90" s="471">
        <f t="shared" si="23"/>
        <v>9.090909091</v>
      </c>
      <c r="AV90" s="271"/>
      <c r="AW90" s="272"/>
    </row>
    <row r="91">
      <c r="A91" s="94"/>
      <c r="B91" s="95"/>
      <c r="C91" s="95"/>
      <c r="D91" s="47"/>
      <c r="E91" s="112">
        <v>17.0</v>
      </c>
      <c r="F91" s="113">
        <f>T70</f>
        <v>9</v>
      </c>
      <c r="G91" s="265">
        <f t="shared" si="19"/>
        <v>40.90909091</v>
      </c>
      <c r="H91" s="266" t="s">
        <v>123</v>
      </c>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8"/>
      <c r="AK91" s="111"/>
      <c r="AM91" s="469">
        <v>17.0</v>
      </c>
      <c r="AN91" s="413">
        <f>COUNTIF(T30:T69,"A")</f>
        <v>3</v>
      </c>
      <c r="AO91" s="470">
        <f t="shared" si="20"/>
        <v>13.63636364</v>
      </c>
      <c r="AP91" s="414">
        <f>COUNTIF(T30:T69,"B")</f>
        <v>9</v>
      </c>
      <c r="AQ91" s="471">
        <f t="shared" si="21"/>
        <v>40.90909091</v>
      </c>
      <c r="AR91" s="414">
        <f>COUNTIF(T30:T69,"C")</f>
        <v>2</v>
      </c>
      <c r="AS91" s="471">
        <f t="shared" si="22"/>
        <v>9.090909091</v>
      </c>
      <c r="AT91" s="414">
        <f>COUNTIF(T30:T69,"D")</f>
        <v>3</v>
      </c>
      <c r="AU91" s="471">
        <f t="shared" si="23"/>
        <v>13.63636364</v>
      </c>
      <c r="AV91" s="286"/>
      <c r="AW91" s="272"/>
    </row>
    <row r="92">
      <c r="A92" s="94"/>
      <c r="B92" s="95"/>
      <c r="C92" s="95"/>
      <c r="D92" s="47"/>
      <c r="E92" s="112">
        <v>18.0</v>
      </c>
      <c r="F92" s="113">
        <f>U70</f>
        <v>1</v>
      </c>
      <c r="G92" s="265">
        <f t="shared" si="19"/>
        <v>4.545454545</v>
      </c>
      <c r="H92" s="266" t="s">
        <v>130</v>
      </c>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3"/>
      <c r="AK92" s="111"/>
      <c r="AM92" s="469">
        <v>18.0</v>
      </c>
      <c r="AN92" s="113">
        <f>COUNTIF(U30:U69,"A")</f>
        <v>7</v>
      </c>
      <c r="AO92" s="470">
        <f t="shared" si="20"/>
        <v>31.81818182</v>
      </c>
      <c r="AP92" s="208">
        <f>COUNTIF(U30:U69,"B")</f>
        <v>1</v>
      </c>
      <c r="AQ92" s="471">
        <f t="shared" si="21"/>
        <v>4.545454545</v>
      </c>
      <c r="AR92" s="208">
        <f>COUNTIF(U30:U69,"C")</f>
        <v>4</v>
      </c>
      <c r="AS92" s="471">
        <f t="shared" si="22"/>
        <v>18.18181818</v>
      </c>
      <c r="AT92" s="208">
        <f>COUNTIF(U30:U69,"D")</f>
        <v>5</v>
      </c>
      <c r="AU92" s="471">
        <f t="shared" si="23"/>
        <v>22.72727273</v>
      </c>
      <c r="AV92" s="271"/>
      <c r="AW92" s="272"/>
    </row>
    <row r="93">
      <c r="A93" s="94"/>
      <c r="B93" s="95"/>
      <c r="C93" s="95"/>
      <c r="D93" s="47"/>
      <c r="E93" s="112">
        <v>19.0</v>
      </c>
      <c r="F93" s="113">
        <f>V70</f>
        <v>4</v>
      </c>
      <c r="G93" s="265">
        <f t="shared" si="19"/>
        <v>18.18181818</v>
      </c>
      <c r="H93" s="274" t="s">
        <v>131</v>
      </c>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3"/>
      <c r="AK93" s="111"/>
      <c r="AM93" s="469">
        <v>19.0</v>
      </c>
      <c r="AN93" s="113">
        <f>COUNTIF(V30:V69,"A")</f>
        <v>5</v>
      </c>
      <c r="AO93" s="470">
        <f t="shared" si="20"/>
        <v>22.72727273</v>
      </c>
      <c r="AP93" s="208">
        <f>COUNTIF(V30:V69,"B")</f>
        <v>4</v>
      </c>
      <c r="AQ93" s="471">
        <f t="shared" si="21"/>
        <v>18.18181818</v>
      </c>
      <c r="AR93" s="208">
        <f>COUNTIF(V30:V69,"C")</f>
        <v>5</v>
      </c>
      <c r="AS93" s="471">
        <f t="shared" si="22"/>
        <v>22.72727273</v>
      </c>
      <c r="AT93" s="208">
        <f>COUNTIF(V30:V69,"D")</f>
        <v>3</v>
      </c>
      <c r="AU93" s="471">
        <f t="shared" si="23"/>
        <v>13.63636364</v>
      </c>
      <c r="AV93" s="271"/>
      <c r="AW93" s="272"/>
    </row>
    <row r="94">
      <c r="A94" s="94"/>
      <c r="B94" s="95"/>
      <c r="C94" s="95"/>
      <c r="D94" s="47"/>
      <c r="E94" s="112">
        <v>20.0</v>
      </c>
      <c r="F94" s="113">
        <f>W70</f>
        <v>1</v>
      </c>
      <c r="G94" s="265">
        <f t="shared" si="19"/>
        <v>4.545454545</v>
      </c>
      <c r="H94" s="281" t="s">
        <v>132</v>
      </c>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8"/>
      <c r="AK94" s="111"/>
      <c r="AM94" s="469">
        <v>20.0</v>
      </c>
      <c r="AN94" s="113">
        <f>COUNTIF(W30:W69,"A")</f>
        <v>1</v>
      </c>
      <c r="AO94" s="470">
        <f t="shared" si="20"/>
        <v>4.545454545</v>
      </c>
      <c r="AP94" s="208">
        <f>COUNTIF(W30:W69,"B")</f>
        <v>8</v>
      </c>
      <c r="AQ94" s="471">
        <f t="shared" si="21"/>
        <v>36.36363636</v>
      </c>
      <c r="AR94" s="208">
        <f>COUNTIF(W30:W69,"C")</f>
        <v>5</v>
      </c>
      <c r="AS94" s="471">
        <f t="shared" si="22"/>
        <v>22.72727273</v>
      </c>
      <c r="AT94" s="208">
        <f>COUNTIF(W30:W69,"D")</f>
        <v>2</v>
      </c>
      <c r="AU94" s="471">
        <f t="shared" si="23"/>
        <v>9.090909091</v>
      </c>
      <c r="AV94" s="271"/>
      <c r="AW94" s="272"/>
    </row>
    <row r="95">
      <c r="A95" s="94"/>
      <c r="B95" s="95"/>
      <c r="C95" s="95"/>
      <c r="D95" s="47"/>
      <c r="E95" s="112">
        <v>21.0</v>
      </c>
      <c r="F95" s="113">
        <f>X70</f>
        <v>5</v>
      </c>
      <c r="G95" s="265">
        <f t="shared" si="19"/>
        <v>22.72727273</v>
      </c>
      <c r="H95" s="266" t="s">
        <v>128</v>
      </c>
      <c r="I95" s="267"/>
      <c r="J95" s="267"/>
      <c r="K95" s="267"/>
      <c r="L95" s="267"/>
      <c r="M95" s="267"/>
      <c r="N95" s="267"/>
      <c r="O95" s="267"/>
      <c r="P95" s="267"/>
      <c r="Q95" s="267"/>
      <c r="R95" s="267"/>
      <c r="S95" s="267"/>
      <c r="T95" s="267"/>
      <c r="U95" s="267"/>
      <c r="V95" s="267"/>
      <c r="W95" s="267"/>
      <c r="X95" s="267"/>
      <c r="Y95" s="267"/>
      <c r="Z95" s="267"/>
      <c r="AA95" s="267"/>
      <c r="AB95" s="267"/>
      <c r="AC95" s="267"/>
      <c r="AD95" s="267"/>
      <c r="AE95" s="267"/>
      <c r="AF95" s="267"/>
      <c r="AG95" s="267"/>
      <c r="AH95" s="267"/>
      <c r="AI95" s="267"/>
      <c r="AJ95" s="268"/>
      <c r="AK95" s="111"/>
      <c r="AM95" s="469">
        <v>21.0</v>
      </c>
      <c r="AN95" s="113">
        <f>COUNTIF(X30:X69,"A")</f>
        <v>5</v>
      </c>
      <c r="AO95" s="470">
        <f t="shared" si="20"/>
        <v>22.72727273</v>
      </c>
      <c r="AP95" s="208">
        <f>COUNTIF(X30:X69,"B")</f>
        <v>3</v>
      </c>
      <c r="AQ95" s="471">
        <f t="shared" si="21"/>
        <v>13.63636364</v>
      </c>
      <c r="AR95" s="208">
        <f>COUNTIF(X30:X69,"C")</f>
        <v>5</v>
      </c>
      <c r="AS95" s="471">
        <f t="shared" si="22"/>
        <v>22.72727273</v>
      </c>
      <c r="AT95" s="208">
        <f>COUNTIF(X30:X69,"D")</f>
        <v>4</v>
      </c>
      <c r="AU95" s="471">
        <f t="shared" si="23"/>
        <v>18.18181818</v>
      </c>
      <c r="AV95" s="271"/>
      <c r="AW95" s="272"/>
    </row>
    <row r="96">
      <c r="A96" s="94"/>
      <c r="B96" s="95"/>
      <c r="C96" s="95"/>
      <c r="D96" s="47"/>
      <c r="E96" s="112">
        <v>22.0</v>
      </c>
      <c r="F96" s="113">
        <f>Y70</f>
        <v>7</v>
      </c>
      <c r="G96" s="265">
        <f t="shared" si="19"/>
        <v>31.81818182</v>
      </c>
      <c r="H96" s="266" t="s">
        <v>123</v>
      </c>
      <c r="I96" s="267"/>
      <c r="J96" s="267"/>
      <c r="K96" s="267"/>
      <c r="L96" s="267"/>
      <c r="M96" s="267"/>
      <c r="N96" s="267"/>
      <c r="O96" s="267"/>
      <c r="P96" s="267"/>
      <c r="Q96" s="267"/>
      <c r="R96" s="267"/>
      <c r="S96" s="267"/>
      <c r="T96" s="267"/>
      <c r="U96" s="267"/>
      <c r="V96" s="267"/>
      <c r="W96" s="267"/>
      <c r="X96" s="267"/>
      <c r="Y96" s="267"/>
      <c r="Z96" s="267"/>
      <c r="AA96" s="267"/>
      <c r="AB96" s="267"/>
      <c r="AC96" s="267"/>
      <c r="AD96" s="267"/>
      <c r="AE96" s="267"/>
      <c r="AF96" s="267"/>
      <c r="AG96" s="267"/>
      <c r="AH96" s="267"/>
      <c r="AI96" s="267"/>
      <c r="AJ96" s="268"/>
      <c r="AK96" s="111"/>
      <c r="AM96" s="469">
        <v>22.0</v>
      </c>
      <c r="AN96" s="113">
        <f>COUNTIF(Y30:Y69,"A")</f>
        <v>6</v>
      </c>
      <c r="AO96" s="470">
        <f t="shared" si="20"/>
        <v>27.27272727</v>
      </c>
      <c r="AP96" s="208">
        <f>COUNTIF(Y30:Y69,"B")</f>
        <v>1</v>
      </c>
      <c r="AQ96" s="471">
        <f t="shared" si="21"/>
        <v>4.545454545</v>
      </c>
      <c r="AR96" s="208">
        <f>COUNTIF(Y30:Y69,"C")</f>
        <v>7</v>
      </c>
      <c r="AS96" s="471">
        <f t="shared" si="22"/>
        <v>31.81818182</v>
      </c>
      <c r="AT96" s="208">
        <f>COUNTIF(Y30:Y69,"D")</f>
        <v>3</v>
      </c>
      <c r="AU96" s="471">
        <f t="shared" si="23"/>
        <v>13.63636364</v>
      </c>
      <c r="AV96" s="271"/>
      <c r="AW96" s="272"/>
      <c r="BI96" s="287"/>
    </row>
    <row r="97">
      <c r="A97" s="94"/>
      <c r="B97" s="95"/>
      <c r="C97" s="95"/>
      <c r="D97" s="47"/>
      <c r="E97" s="112">
        <v>23.0</v>
      </c>
      <c r="F97" s="113">
        <f>Z70</f>
        <v>4</v>
      </c>
      <c r="G97" s="265">
        <f t="shared" si="19"/>
        <v>18.18181818</v>
      </c>
      <c r="H97" s="266" t="s">
        <v>133</v>
      </c>
      <c r="I97" s="267"/>
      <c r="J97" s="267"/>
      <c r="K97" s="267"/>
      <c r="L97" s="267"/>
      <c r="M97" s="267"/>
      <c r="N97" s="267"/>
      <c r="O97" s="267"/>
      <c r="P97" s="267"/>
      <c r="Q97" s="267"/>
      <c r="R97" s="267"/>
      <c r="S97" s="267"/>
      <c r="T97" s="267"/>
      <c r="U97" s="267"/>
      <c r="V97" s="267"/>
      <c r="W97" s="267"/>
      <c r="X97" s="267"/>
      <c r="Y97" s="267"/>
      <c r="Z97" s="267"/>
      <c r="AA97" s="267"/>
      <c r="AB97" s="267"/>
      <c r="AC97" s="267"/>
      <c r="AD97" s="267"/>
      <c r="AE97" s="267"/>
      <c r="AF97" s="267"/>
      <c r="AG97" s="267"/>
      <c r="AH97" s="267"/>
      <c r="AI97" s="267"/>
      <c r="AJ97" s="268"/>
      <c r="AK97" s="111"/>
      <c r="AM97" s="469">
        <v>23.0</v>
      </c>
      <c r="AN97" s="113">
        <f>COUNTIF(Z30:Z69,"A")</f>
        <v>4</v>
      </c>
      <c r="AO97" s="470">
        <f t="shared" si="20"/>
        <v>18.18181818</v>
      </c>
      <c r="AP97" s="208">
        <f>COUNTIF(Z30:Z69,"B")</f>
        <v>4</v>
      </c>
      <c r="AQ97" s="471">
        <f t="shared" si="21"/>
        <v>18.18181818</v>
      </c>
      <c r="AR97" s="208">
        <f>COUNTIF(Z30:Z69,"C")</f>
        <v>5</v>
      </c>
      <c r="AS97" s="471">
        <f t="shared" si="22"/>
        <v>22.72727273</v>
      </c>
      <c r="AT97" s="208">
        <f>COUNTIF(Z30:Z69,"D")</f>
        <v>4</v>
      </c>
      <c r="AU97" s="471">
        <f t="shared" si="23"/>
        <v>18.18181818</v>
      </c>
      <c r="AV97" s="271"/>
      <c r="AW97" s="272"/>
    </row>
    <row r="98">
      <c r="A98" s="94"/>
      <c r="B98" s="95"/>
      <c r="C98" s="95"/>
      <c r="D98" s="47"/>
      <c r="E98" s="112">
        <v>24.0</v>
      </c>
      <c r="F98" s="113">
        <f>AA70</f>
        <v>1</v>
      </c>
      <c r="G98" s="265">
        <f t="shared" si="19"/>
        <v>4.545454545</v>
      </c>
      <c r="H98" s="266" t="s">
        <v>123</v>
      </c>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267"/>
      <c r="AH98" s="267"/>
      <c r="AI98" s="267"/>
      <c r="AJ98" s="268"/>
      <c r="AK98" s="111"/>
      <c r="AM98" s="469">
        <v>24.0</v>
      </c>
      <c r="AN98" s="113">
        <f>COUNTIF(AA30:AA69,"A")</f>
        <v>5</v>
      </c>
      <c r="AO98" s="470">
        <f t="shared" si="20"/>
        <v>22.72727273</v>
      </c>
      <c r="AP98" s="208">
        <f>COUNTIF(AA30:AA69,"B")</f>
        <v>9</v>
      </c>
      <c r="AQ98" s="471">
        <f t="shared" si="21"/>
        <v>40.90909091</v>
      </c>
      <c r="AR98" s="208">
        <f>COUNTIF(AA30:AA69,"C")</f>
        <v>2</v>
      </c>
      <c r="AS98" s="471">
        <f t="shared" si="22"/>
        <v>9.090909091</v>
      </c>
      <c r="AT98" s="208">
        <f>COUNTIF(AA30:AA69,"D")</f>
        <v>1</v>
      </c>
      <c r="AU98" s="471">
        <f t="shared" si="23"/>
        <v>4.545454545</v>
      </c>
      <c r="AV98" s="271"/>
      <c r="AW98" s="272"/>
    </row>
    <row r="99">
      <c r="A99" s="94"/>
      <c r="B99" s="95"/>
      <c r="C99" s="95"/>
      <c r="D99" s="117"/>
      <c r="E99" s="118">
        <v>25.0</v>
      </c>
      <c r="F99" s="119">
        <f>AB70</f>
        <v>3</v>
      </c>
      <c r="G99" s="288">
        <f t="shared" si="19"/>
        <v>13.63636364</v>
      </c>
      <c r="H99" s="289" t="s">
        <v>134</v>
      </c>
      <c r="I99" s="290"/>
      <c r="J99" s="290"/>
      <c r="K99" s="290"/>
      <c r="L99" s="290"/>
      <c r="M99" s="290"/>
      <c r="N99" s="290"/>
      <c r="O99" s="290"/>
      <c r="P99" s="290"/>
      <c r="Q99" s="290"/>
      <c r="R99" s="290"/>
      <c r="S99" s="290"/>
      <c r="T99" s="290"/>
      <c r="U99" s="290"/>
      <c r="V99" s="290"/>
      <c r="W99" s="290"/>
      <c r="X99" s="290"/>
      <c r="Y99" s="290"/>
      <c r="Z99" s="290"/>
      <c r="AA99" s="290"/>
      <c r="AB99" s="290"/>
      <c r="AC99" s="290"/>
      <c r="AD99" s="290"/>
      <c r="AE99" s="290"/>
      <c r="AF99" s="290"/>
      <c r="AG99" s="290"/>
      <c r="AH99" s="290"/>
      <c r="AI99" s="290"/>
      <c r="AJ99" s="291"/>
      <c r="AK99" s="111"/>
      <c r="AM99" s="469">
        <v>25.0</v>
      </c>
      <c r="AN99" s="113">
        <f>COUNTIF(AB30:AB69,"A")</f>
        <v>2</v>
      </c>
      <c r="AO99" s="470">
        <f t="shared" si="20"/>
        <v>9.090909091</v>
      </c>
      <c r="AP99" s="208">
        <f>COUNTIF(AB30:AB69,"B")</f>
        <v>6</v>
      </c>
      <c r="AQ99" s="471">
        <f t="shared" si="21"/>
        <v>27.27272727</v>
      </c>
      <c r="AR99" s="208">
        <f>COUNTIF(AB30:AB69,"C")</f>
        <v>3</v>
      </c>
      <c r="AS99" s="471">
        <f t="shared" si="22"/>
        <v>13.63636364</v>
      </c>
      <c r="AT99" s="208">
        <f>COUNTIF(AB30:AB69,"D")</f>
        <v>5</v>
      </c>
      <c r="AU99" s="471">
        <f t="shared" si="23"/>
        <v>22.72727273</v>
      </c>
      <c r="AV99" s="271"/>
      <c r="AW99" s="272"/>
    </row>
    <row r="100">
      <c r="A100" s="94"/>
      <c r="B100" s="95"/>
      <c r="C100" s="95"/>
      <c r="D100" s="124" t="s">
        <v>17</v>
      </c>
      <c r="E100" s="125">
        <v>1.0</v>
      </c>
      <c r="F100" s="106">
        <f>AC70</f>
        <v>5</v>
      </c>
      <c r="G100" s="107">
        <f t="shared" si="19"/>
        <v>22.72727273</v>
      </c>
      <c r="H100" s="292" t="s">
        <v>135</v>
      </c>
      <c r="I100" s="293"/>
      <c r="J100" s="293"/>
      <c r="K100" s="293"/>
      <c r="L100" s="293"/>
      <c r="M100" s="293"/>
      <c r="N100" s="293"/>
      <c r="O100" s="293"/>
      <c r="P100" s="293"/>
      <c r="Q100" s="293"/>
      <c r="R100" s="293"/>
      <c r="S100" s="293"/>
      <c r="T100" s="293"/>
      <c r="U100" s="293"/>
      <c r="V100" s="293"/>
      <c r="W100" s="293"/>
      <c r="X100" s="293"/>
      <c r="Y100" s="293"/>
      <c r="Z100" s="293"/>
      <c r="AA100" s="293"/>
      <c r="AB100" s="293"/>
      <c r="AC100" s="293"/>
      <c r="AD100" s="293"/>
      <c r="AE100" s="293"/>
      <c r="AF100" s="293"/>
      <c r="AG100" s="293"/>
      <c r="AH100" s="293"/>
      <c r="AI100" s="293"/>
      <c r="AJ100" s="294"/>
      <c r="AK100" s="134"/>
      <c r="AL100" s="164" t="s">
        <v>17</v>
      </c>
      <c r="AM100" s="309">
        <v>1.0</v>
      </c>
      <c r="AN100" s="113">
        <f>COUNTIF(AC30:AC69,"A")</f>
        <v>6</v>
      </c>
      <c r="AO100" s="470">
        <f t="shared" si="20"/>
        <v>27.27272727</v>
      </c>
      <c r="AP100" s="208">
        <f>COUNTIF(AC30:AC69,"B")</f>
        <v>4</v>
      </c>
      <c r="AQ100" s="471">
        <f t="shared" si="21"/>
        <v>18.18181818</v>
      </c>
      <c r="AR100" s="208">
        <f>COUNTIF(AC30:AC69,"C")</f>
        <v>5</v>
      </c>
      <c r="AS100" s="471">
        <f t="shared" si="22"/>
        <v>22.72727273</v>
      </c>
      <c r="AT100" s="208">
        <f>COUNTIF(AC30:AC69,"D")</f>
        <v>2</v>
      </c>
      <c r="AU100" s="471">
        <f t="shared" si="23"/>
        <v>9.090909091</v>
      </c>
      <c r="AV100" s="271"/>
      <c r="AW100" s="272"/>
    </row>
    <row r="101">
      <c r="A101" s="94"/>
      <c r="B101" s="95"/>
      <c r="C101" s="95"/>
      <c r="D101" s="47"/>
      <c r="E101" s="130">
        <v>2.0</v>
      </c>
      <c r="F101" s="113">
        <f>AD70</f>
        <v>3</v>
      </c>
      <c r="G101" s="265">
        <f t="shared" si="19"/>
        <v>13.63636364</v>
      </c>
      <c r="H101" s="296" t="s">
        <v>136</v>
      </c>
      <c r="I101" s="298"/>
      <c r="J101" s="298"/>
      <c r="K101" s="298"/>
      <c r="L101" s="298"/>
      <c r="M101" s="298"/>
      <c r="N101" s="298"/>
      <c r="O101" s="298"/>
      <c r="P101" s="298"/>
      <c r="Q101" s="298"/>
      <c r="R101" s="298"/>
      <c r="S101" s="298"/>
      <c r="T101" s="298"/>
      <c r="U101" s="298"/>
      <c r="V101" s="298"/>
      <c r="W101" s="298"/>
      <c r="X101" s="298"/>
      <c r="Y101" s="298"/>
      <c r="Z101" s="298"/>
      <c r="AA101" s="298"/>
      <c r="AB101" s="298"/>
      <c r="AC101" s="298"/>
      <c r="AD101" s="298"/>
      <c r="AE101" s="298"/>
      <c r="AF101" s="298"/>
      <c r="AG101" s="298"/>
      <c r="AH101" s="298"/>
      <c r="AI101" s="298"/>
      <c r="AJ101" s="299"/>
      <c r="AK101" s="300"/>
      <c r="AM101" s="309">
        <v>2.0</v>
      </c>
      <c r="AN101" s="113">
        <f>COUNTIF(AD30:AD69,"A")</f>
        <v>3</v>
      </c>
      <c r="AO101" s="470">
        <f t="shared" si="20"/>
        <v>13.63636364</v>
      </c>
      <c r="AP101" s="208">
        <f>COUNTIF(AD30:AD69,"B")</f>
        <v>3</v>
      </c>
      <c r="AQ101" s="471">
        <f t="shared" si="21"/>
        <v>13.63636364</v>
      </c>
      <c r="AR101" s="208">
        <f>COUNTIF(AD30:AD69,"C")</f>
        <v>7</v>
      </c>
      <c r="AS101" s="471">
        <f t="shared" si="22"/>
        <v>31.81818182</v>
      </c>
      <c r="AT101" s="208">
        <f>COUNTIF(AD30:AD69,"D")</f>
        <v>4</v>
      </c>
      <c r="AU101" s="471">
        <f t="shared" si="23"/>
        <v>18.18181818</v>
      </c>
      <c r="AV101" s="271"/>
      <c r="AW101" s="272"/>
    </row>
    <row r="102">
      <c r="A102" s="94"/>
      <c r="B102" s="95"/>
      <c r="C102" s="95"/>
      <c r="D102" s="47"/>
      <c r="E102" s="130">
        <v>3.0</v>
      </c>
      <c r="F102" s="113">
        <f>AE70</f>
        <v>2</v>
      </c>
      <c r="G102" s="265">
        <f t="shared" si="19"/>
        <v>9.090909091</v>
      </c>
      <c r="H102" s="296" t="s">
        <v>136</v>
      </c>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2"/>
      <c r="AK102" s="129"/>
      <c r="AM102" s="309">
        <v>3.0</v>
      </c>
      <c r="AN102" s="113">
        <f>COUNTIF(AE30:AE69,"A")</f>
        <v>2</v>
      </c>
      <c r="AO102" s="470">
        <f t="shared" si="20"/>
        <v>9.090909091</v>
      </c>
      <c r="AP102" s="208">
        <f>COUNTIF(AE30:AE69,"B")</f>
        <v>4</v>
      </c>
      <c r="AQ102" s="471">
        <f t="shared" si="21"/>
        <v>18.18181818</v>
      </c>
      <c r="AR102" s="208">
        <f>COUNTIF(AE30:AE69,"C")</f>
        <v>3</v>
      </c>
      <c r="AS102" s="471">
        <f t="shared" si="22"/>
        <v>13.63636364</v>
      </c>
      <c r="AT102" s="208">
        <f>COUNTIF(AE30:AE69,"D")</f>
        <v>8</v>
      </c>
      <c r="AU102" s="471">
        <f t="shared" si="23"/>
        <v>36.36363636</v>
      </c>
      <c r="AV102" s="271"/>
      <c r="AW102" s="272"/>
    </row>
    <row r="103">
      <c r="A103" s="94"/>
      <c r="B103" s="95"/>
      <c r="C103" s="95"/>
      <c r="D103" s="47"/>
      <c r="E103" s="130">
        <v>4.0</v>
      </c>
      <c r="F103" s="113">
        <f>AF70</f>
        <v>4</v>
      </c>
      <c r="G103" s="265">
        <f t="shared" si="19"/>
        <v>18.18181818</v>
      </c>
      <c r="H103" s="296" t="s">
        <v>137</v>
      </c>
      <c r="I103" s="303"/>
      <c r="J103" s="303"/>
      <c r="K103" s="303"/>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c r="AH103" s="303"/>
      <c r="AI103" s="303"/>
      <c r="AJ103" s="304"/>
      <c r="AK103" s="134"/>
      <c r="AM103" s="309">
        <v>4.0</v>
      </c>
      <c r="AN103" s="113">
        <f>COUNTIF(AF30:AF69,"A")</f>
        <v>4</v>
      </c>
      <c r="AO103" s="470">
        <f t="shared" si="20"/>
        <v>18.18181818</v>
      </c>
      <c r="AP103" s="208">
        <f>COUNTIF(AF30:AF69,"B")</f>
        <v>6</v>
      </c>
      <c r="AQ103" s="471">
        <f t="shared" si="21"/>
        <v>27.27272727</v>
      </c>
      <c r="AR103" s="208">
        <f>COUNTIF(AF30:AF69,"C")</f>
        <v>6</v>
      </c>
      <c r="AS103" s="471">
        <f t="shared" si="22"/>
        <v>27.27272727</v>
      </c>
      <c r="AT103" s="208">
        <f>COUNTIF(AF30:AF69,"D")</f>
        <v>1</v>
      </c>
      <c r="AU103" s="471">
        <f t="shared" si="23"/>
        <v>4.545454545</v>
      </c>
      <c r="AV103" s="271"/>
      <c r="AW103" s="272"/>
    </row>
    <row r="104">
      <c r="A104" s="94"/>
      <c r="B104" s="95"/>
      <c r="C104" s="95"/>
      <c r="D104" s="47"/>
      <c r="E104" s="130">
        <v>5.0</v>
      </c>
      <c r="F104" s="113">
        <f>AG70</f>
        <v>5</v>
      </c>
      <c r="G104" s="265">
        <f t="shared" si="19"/>
        <v>22.72727273</v>
      </c>
      <c r="H104" s="296" t="s">
        <v>137</v>
      </c>
      <c r="I104" s="303"/>
      <c r="J104" s="303"/>
      <c r="K104" s="303"/>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c r="AH104" s="303"/>
      <c r="AI104" s="303"/>
      <c r="AJ104" s="304"/>
      <c r="AK104" s="134"/>
      <c r="AM104" s="309">
        <v>5.0</v>
      </c>
      <c r="AN104" s="113">
        <f>COUNTIF(AG30:AG69,"A")</f>
        <v>6</v>
      </c>
      <c r="AO104" s="470">
        <f t="shared" si="20"/>
        <v>27.27272727</v>
      </c>
      <c r="AP104" s="208">
        <f>COUNTIF(AG30:AG69,"B")</f>
        <v>3</v>
      </c>
      <c r="AQ104" s="471">
        <f t="shared" si="21"/>
        <v>13.63636364</v>
      </c>
      <c r="AR104" s="208">
        <f>COUNTIF(AG30:AG69,"C")</f>
        <v>3</v>
      </c>
      <c r="AS104" s="471">
        <f t="shared" si="22"/>
        <v>13.63636364</v>
      </c>
      <c r="AT104" s="208">
        <f>COUNTIF(AG30:AG69,"D")</f>
        <v>5</v>
      </c>
      <c r="AU104" s="471">
        <f t="shared" si="23"/>
        <v>22.72727273</v>
      </c>
      <c r="AV104" s="271"/>
      <c r="AW104" s="272"/>
    </row>
    <row r="105">
      <c r="A105" s="94"/>
      <c r="B105" s="95"/>
      <c r="C105" s="95"/>
      <c r="D105" s="47"/>
      <c r="E105" s="130">
        <v>6.0</v>
      </c>
      <c r="F105" s="113">
        <f>AH70</f>
        <v>4</v>
      </c>
      <c r="G105" s="265">
        <f t="shared" si="19"/>
        <v>18.18181818</v>
      </c>
      <c r="H105" s="296" t="s">
        <v>136</v>
      </c>
      <c r="I105" s="303"/>
      <c r="J105" s="303"/>
      <c r="K105" s="303"/>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c r="AH105" s="303"/>
      <c r="AI105" s="303"/>
      <c r="AJ105" s="304"/>
      <c r="AK105" s="134"/>
      <c r="AM105" s="309">
        <v>6.0</v>
      </c>
      <c r="AN105" s="113">
        <f>COUNTIF(AH30:AH69,"A")</f>
        <v>4</v>
      </c>
      <c r="AO105" s="470">
        <f t="shared" si="20"/>
        <v>18.18181818</v>
      </c>
      <c r="AP105" s="208">
        <f>COUNTIF(AH30:AH69,"B")</f>
        <v>6</v>
      </c>
      <c r="AQ105" s="471">
        <f t="shared" si="21"/>
        <v>27.27272727</v>
      </c>
      <c r="AR105" s="208">
        <f>COUNTIF(AH30:AH69,"C")</f>
        <v>4</v>
      </c>
      <c r="AS105" s="471">
        <f t="shared" si="22"/>
        <v>18.18181818</v>
      </c>
      <c r="AT105" s="208">
        <f>COUNTIF(AH30:AH69,"D")</f>
        <v>3</v>
      </c>
      <c r="AU105" s="471">
        <f t="shared" si="23"/>
        <v>13.63636364</v>
      </c>
      <c r="AV105" s="271"/>
      <c r="AW105" s="272"/>
    </row>
    <row r="106">
      <c r="A106" s="94"/>
      <c r="B106" s="95"/>
      <c r="C106" s="95"/>
      <c r="D106" s="47"/>
      <c r="E106" s="130">
        <v>7.0</v>
      </c>
      <c r="F106" s="113">
        <f>AI70</f>
        <v>2</v>
      </c>
      <c r="G106" s="265">
        <f t="shared" si="19"/>
        <v>9.090909091</v>
      </c>
      <c r="H106" s="296" t="s">
        <v>138</v>
      </c>
      <c r="I106" s="303"/>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c r="AH106" s="303"/>
      <c r="AI106" s="303"/>
      <c r="AJ106" s="304"/>
      <c r="AK106" s="134"/>
      <c r="AM106" s="309">
        <v>7.0</v>
      </c>
      <c r="AN106" s="113">
        <f>COUNTIF(AI30:AI69,"A")</f>
        <v>2</v>
      </c>
      <c r="AO106" s="470">
        <f t="shared" si="20"/>
        <v>9.090909091</v>
      </c>
      <c r="AP106" s="208">
        <f>COUNTIF(AI30:AI69,"B")</f>
        <v>8</v>
      </c>
      <c r="AQ106" s="471">
        <f t="shared" si="21"/>
        <v>36.36363636</v>
      </c>
      <c r="AR106" s="208">
        <f>COUNTIF(AI30:AI69,"C")</f>
        <v>4</v>
      </c>
      <c r="AS106" s="471">
        <f t="shared" si="22"/>
        <v>18.18181818</v>
      </c>
      <c r="AT106" s="208">
        <f>COUNTIF(AI30:AI69,"D")</f>
        <v>3</v>
      </c>
      <c r="AU106" s="471">
        <f t="shared" si="23"/>
        <v>13.63636364</v>
      </c>
      <c r="AV106" s="271"/>
      <c r="AW106" s="272"/>
    </row>
    <row r="107">
      <c r="A107" s="94"/>
      <c r="B107" s="95"/>
      <c r="C107" s="95"/>
      <c r="D107" s="47"/>
      <c r="E107" s="130">
        <v>8.0</v>
      </c>
      <c r="F107" s="113">
        <f>AJ70</f>
        <v>5</v>
      </c>
      <c r="G107" s="265">
        <f t="shared" si="19"/>
        <v>22.72727273</v>
      </c>
      <c r="H107" s="296" t="s">
        <v>138</v>
      </c>
      <c r="I107" s="298"/>
      <c r="J107" s="298"/>
      <c r="K107" s="298"/>
      <c r="L107" s="298"/>
      <c r="M107" s="298"/>
      <c r="N107" s="298"/>
      <c r="O107" s="298"/>
      <c r="P107" s="298"/>
      <c r="Q107" s="298"/>
      <c r="R107" s="298"/>
      <c r="S107" s="298"/>
      <c r="T107" s="298"/>
      <c r="U107" s="298"/>
      <c r="V107" s="298"/>
      <c r="W107" s="298"/>
      <c r="X107" s="298"/>
      <c r="Y107" s="298"/>
      <c r="Z107" s="298"/>
      <c r="AA107" s="298"/>
      <c r="AB107" s="298"/>
      <c r="AC107" s="298"/>
      <c r="AD107" s="298"/>
      <c r="AE107" s="298"/>
      <c r="AF107" s="298"/>
      <c r="AG107" s="298"/>
      <c r="AH107" s="298"/>
      <c r="AI107" s="298"/>
      <c r="AJ107" s="299"/>
      <c r="AK107" s="300"/>
      <c r="AM107" s="309">
        <v>8.0</v>
      </c>
      <c r="AN107" s="113">
        <f>COUNTIF(AJ30:AJ69,"A")</f>
        <v>5</v>
      </c>
      <c r="AO107" s="470">
        <f t="shared" si="20"/>
        <v>22.72727273</v>
      </c>
      <c r="AP107" s="208">
        <f>COUNTIF(AJ30:AJ69,"B")</f>
        <v>4</v>
      </c>
      <c r="AQ107" s="471">
        <f t="shared" si="21"/>
        <v>18.18181818</v>
      </c>
      <c r="AR107" s="208">
        <f>COUNTIF(AJ30:AJ69,"C")</f>
        <v>4</v>
      </c>
      <c r="AS107" s="471">
        <f t="shared" si="22"/>
        <v>18.18181818</v>
      </c>
      <c r="AT107" s="208">
        <f>COUNTIF(AJ30:AJ69,"D")</f>
        <v>3</v>
      </c>
      <c r="AU107" s="471">
        <f t="shared" si="23"/>
        <v>13.63636364</v>
      </c>
      <c r="AV107" s="271"/>
      <c r="AW107" s="272"/>
    </row>
    <row r="108">
      <c r="A108" s="94"/>
      <c r="B108" s="95"/>
      <c r="C108" s="95"/>
      <c r="D108" s="47"/>
      <c r="E108" s="130">
        <v>9.0</v>
      </c>
      <c r="F108" s="113">
        <f>AK70</f>
        <v>7</v>
      </c>
      <c r="G108" s="265">
        <f t="shared" si="19"/>
        <v>31.81818182</v>
      </c>
      <c r="H108" s="305" t="s">
        <v>138</v>
      </c>
      <c r="I108" s="306"/>
      <c r="J108" s="306"/>
      <c r="K108" s="306"/>
      <c r="L108" s="306"/>
      <c r="M108" s="306"/>
      <c r="N108" s="306"/>
      <c r="O108" s="306"/>
      <c r="P108" s="306"/>
      <c r="Q108" s="306"/>
      <c r="R108" s="306"/>
      <c r="S108" s="306"/>
      <c r="T108" s="306"/>
      <c r="U108" s="306"/>
      <c r="V108" s="306"/>
      <c r="W108" s="306"/>
      <c r="X108" s="306"/>
      <c r="Y108" s="306"/>
      <c r="Z108" s="306"/>
      <c r="AA108" s="306"/>
      <c r="AB108" s="306"/>
      <c r="AC108" s="306"/>
      <c r="AD108" s="306"/>
      <c r="AE108" s="306"/>
      <c r="AF108" s="306"/>
      <c r="AG108" s="306"/>
      <c r="AH108" s="306"/>
      <c r="AI108" s="306"/>
      <c r="AJ108" s="307"/>
      <c r="AK108" s="134"/>
      <c r="AM108" s="309">
        <v>9.0</v>
      </c>
      <c r="AN108" s="113">
        <f>COUNTIF(AK30:AK69,"A")</f>
        <v>7</v>
      </c>
      <c r="AO108" s="470">
        <f t="shared" si="20"/>
        <v>31.81818182</v>
      </c>
      <c r="AP108" s="208">
        <f>COUNTIF(AK30:AK69,"B")</f>
        <v>2</v>
      </c>
      <c r="AQ108" s="471">
        <f t="shared" si="21"/>
        <v>9.090909091</v>
      </c>
      <c r="AR108" s="208">
        <f>COUNTIF(AK30:AK69,"C")</f>
        <v>5</v>
      </c>
      <c r="AS108" s="471">
        <f t="shared" si="22"/>
        <v>22.72727273</v>
      </c>
      <c r="AT108" s="208">
        <f>COUNTIF(AK30:AK69,"D")</f>
        <v>3</v>
      </c>
      <c r="AU108" s="471">
        <f t="shared" si="23"/>
        <v>13.63636364</v>
      </c>
      <c r="AV108" s="271"/>
      <c r="AW108" s="272"/>
    </row>
    <row r="109" ht="15.75" customHeight="1">
      <c r="A109" s="94"/>
      <c r="B109" s="95"/>
      <c r="C109" s="95"/>
      <c r="D109" s="47"/>
      <c r="E109" s="130">
        <v>10.0</v>
      </c>
      <c r="F109" s="113">
        <f>AL70</f>
        <v>1</v>
      </c>
      <c r="G109" s="265">
        <f t="shared" si="19"/>
        <v>4.545454545</v>
      </c>
      <c r="H109" s="305" t="s">
        <v>138</v>
      </c>
      <c r="I109" s="306"/>
      <c r="J109" s="306"/>
      <c r="K109" s="306"/>
      <c r="L109" s="306"/>
      <c r="M109" s="306"/>
      <c r="N109" s="306"/>
      <c r="O109" s="306"/>
      <c r="P109" s="306"/>
      <c r="Q109" s="306"/>
      <c r="R109" s="306"/>
      <c r="S109" s="306"/>
      <c r="T109" s="306"/>
      <c r="U109" s="306"/>
      <c r="V109" s="306"/>
      <c r="W109" s="306"/>
      <c r="X109" s="306"/>
      <c r="Y109" s="306"/>
      <c r="Z109" s="306"/>
      <c r="AA109" s="306"/>
      <c r="AB109" s="306"/>
      <c r="AC109" s="306"/>
      <c r="AD109" s="306"/>
      <c r="AE109" s="306"/>
      <c r="AF109" s="306"/>
      <c r="AG109" s="306"/>
      <c r="AH109" s="306"/>
      <c r="AI109" s="306"/>
      <c r="AJ109" s="307"/>
      <c r="AK109" s="134"/>
      <c r="AM109" s="309">
        <v>10.0</v>
      </c>
      <c r="AN109" s="113">
        <f>COUNTIF(AL30:AL69,"A")</f>
        <v>4</v>
      </c>
      <c r="AO109" s="470">
        <f t="shared" si="20"/>
        <v>18.18181818</v>
      </c>
      <c r="AP109" s="208">
        <f>COUNTIF(AL30:AL69,"B")</f>
        <v>8</v>
      </c>
      <c r="AQ109" s="471">
        <f t="shared" si="21"/>
        <v>36.36363636</v>
      </c>
      <c r="AR109" s="208">
        <f>COUNTIF(AL30:AL69,"C")</f>
        <v>4</v>
      </c>
      <c r="AS109" s="471">
        <f t="shared" si="22"/>
        <v>18.18181818</v>
      </c>
      <c r="AT109" s="208">
        <f>COUNTIF(AL30:AL69,"D")</f>
        <v>1</v>
      </c>
      <c r="AU109" s="471">
        <f t="shared" si="23"/>
        <v>4.545454545</v>
      </c>
      <c r="AV109" s="271"/>
      <c r="AW109" s="272"/>
    </row>
    <row r="110">
      <c r="A110" s="94"/>
      <c r="B110" s="95"/>
      <c r="C110" s="95"/>
      <c r="D110" s="47"/>
      <c r="E110" s="130">
        <v>11.0</v>
      </c>
      <c r="F110" s="113">
        <f>AM70</f>
        <v>1</v>
      </c>
      <c r="G110" s="265">
        <f t="shared" si="19"/>
        <v>4.545454545</v>
      </c>
      <c r="H110" s="305" t="s">
        <v>138</v>
      </c>
      <c r="I110" s="306"/>
      <c r="J110" s="306"/>
      <c r="K110" s="306"/>
      <c r="L110" s="306"/>
      <c r="M110" s="306"/>
      <c r="N110" s="306"/>
      <c r="O110" s="306"/>
      <c r="P110" s="306"/>
      <c r="Q110" s="306"/>
      <c r="R110" s="306"/>
      <c r="S110" s="306"/>
      <c r="T110" s="306"/>
      <c r="U110" s="306"/>
      <c r="V110" s="306"/>
      <c r="W110" s="306"/>
      <c r="X110" s="306"/>
      <c r="Y110" s="306"/>
      <c r="Z110" s="306"/>
      <c r="AA110" s="306"/>
      <c r="AB110" s="306"/>
      <c r="AC110" s="306"/>
      <c r="AD110" s="306"/>
      <c r="AE110" s="306"/>
      <c r="AF110" s="306"/>
      <c r="AG110" s="306"/>
      <c r="AH110" s="306"/>
      <c r="AI110" s="306"/>
      <c r="AJ110" s="307"/>
      <c r="AK110" s="134"/>
      <c r="AM110" s="309">
        <v>11.0</v>
      </c>
      <c r="AN110" s="113">
        <f>COUNTIF(AM30:AM69,"A")</f>
        <v>4</v>
      </c>
      <c r="AO110" s="470">
        <f t="shared" si="20"/>
        <v>18.18181818</v>
      </c>
      <c r="AP110" s="208">
        <f>COUNTIF(AM30:AM69,"B")</f>
        <v>1</v>
      </c>
      <c r="AQ110" s="471">
        <f t="shared" si="21"/>
        <v>4.545454545</v>
      </c>
      <c r="AR110" s="208">
        <f>COUNTIF(AM30:AM69,"C")</f>
        <v>10</v>
      </c>
      <c r="AS110" s="471">
        <f t="shared" si="22"/>
        <v>45.45454545</v>
      </c>
      <c r="AT110" s="208">
        <f>COUNTIF(AM30:AM69,"D")</f>
        <v>2</v>
      </c>
      <c r="AU110" s="471">
        <f t="shared" si="23"/>
        <v>9.090909091</v>
      </c>
      <c r="AV110" s="271"/>
      <c r="AW110" s="272"/>
    </row>
    <row r="111">
      <c r="A111" s="94"/>
      <c r="B111" s="95"/>
      <c r="C111" s="95"/>
      <c r="D111" s="47"/>
      <c r="E111" s="130">
        <v>12.0</v>
      </c>
      <c r="F111" s="114">
        <f>AN70</f>
        <v>3</v>
      </c>
      <c r="G111" s="265">
        <f t="shared" si="19"/>
        <v>13.63636364</v>
      </c>
      <c r="H111" s="308" t="s">
        <v>139</v>
      </c>
      <c r="I111" s="472"/>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2"/>
      <c r="AK111" s="129"/>
      <c r="AM111" s="309">
        <v>12.0</v>
      </c>
      <c r="AN111" s="113">
        <f>COUNTIF(AN30:AN69,"A")</f>
        <v>3</v>
      </c>
      <c r="AO111" s="470">
        <f t="shared" si="20"/>
        <v>13.63636364</v>
      </c>
      <c r="AP111" s="208">
        <f>COUNTIF(AN30:AN69,"B")</f>
        <v>5</v>
      </c>
      <c r="AQ111" s="471">
        <f t="shared" si="21"/>
        <v>22.72727273</v>
      </c>
      <c r="AR111" s="208">
        <f>COUNTIF(AN30:AN69,"C")</f>
        <v>6</v>
      </c>
      <c r="AS111" s="471">
        <f t="shared" si="22"/>
        <v>27.27272727</v>
      </c>
      <c r="AT111" s="208">
        <f>COUNTIF(AN30:AN69,"D")</f>
        <v>3</v>
      </c>
      <c r="AU111" s="471">
        <f t="shared" si="23"/>
        <v>13.63636364</v>
      </c>
      <c r="AV111" s="271"/>
      <c r="AW111" s="272"/>
    </row>
    <row r="112">
      <c r="A112" s="94"/>
      <c r="B112" s="95"/>
      <c r="C112" s="95"/>
      <c r="D112" s="47"/>
      <c r="E112" s="130">
        <v>13.0</v>
      </c>
      <c r="F112" s="113">
        <f>AO70</f>
        <v>5</v>
      </c>
      <c r="G112" s="265">
        <f t="shared" si="19"/>
        <v>22.72727273</v>
      </c>
      <c r="H112" s="308" t="s">
        <v>140</v>
      </c>
      <c r="I112" s="472"/>
      <c r="J112" s="298"/>
      <c r="K112" s="298"/>
      <c r="L112" s="298"/>
      <c r="M112" s="298"/>
      <c r="N112" s="298"/>
      <c r="O112" s="298"/>
      <c r="P112" s="298"/>
      <c r="Q112" s="298"/>
      <c r="R112" s="298"/>
      <c r="S112" s="298"/>
      <c r="T112" s="298"/>
      <c r="U112" s="298"/>
      <c r="V112" s="298"/>
      <c r="W112" s="298"/>
      <c r="X112" s="298"/>
      <c r="Y112" s="298"/>
      <c r="Z112" s="298"/>
      <c r="AA112" s="298"/>
      <c r="AB112" s="298"/>
      <c r="AC112" s="298"/>
      <c r="AD112" s="298"/>
      <c r="AE112" s="298"/>
      <c r="AF112" s="298"/>
      <c r="AG112" s="298"/>
      <c r="AH112" s="298"/>
      <c r="AI112" s="298"/>
      <c r="AJ112" s="299"/>
      <c r="AK112" s="300"/>
      <c r="AM112" s="309">
        <v>13.0</v>
      </c>
      <c r="AN112" s="113">
        <f>COUNTIF(AO30:AO69,"A")</f>
        <v>3</v>
      </c>
      <c r="AO112" s="470">
        <f t="shared" si="20"/>
        <v>13.63636364</v>
      </c>
      <c r="AP112" s="208">
        <f>COUNTIF(AO30:AO69,"B")</f>
        <v>5</v>
      </c>
      <c r="AQ112" s="471">
        <f t="shared" si="21"/>
        <v>22.72727273</v>
      </c>
      <c r="AR112" s="208">
        <f>COUNTIF(AO30:AO69,"C")</f>
        <v>4</v>
      </c>
      <c r="AS112" s="471">
        <f t="shared" si="22"/>
        <v>18.18181818</v>
      </c>
      <c r="AT112" s="208">
        <f>COUNTIF(AO30:AO69,"D")</f>
        <v>5</v>
      </c>
      <c r="AU112" s="471">
        <f t="shared" si="23"/>
        <v>22.72727273</v>
      </c>
      <c r="AV112" s="271"/>
      <c r="AW112" s="272"/>
    </row>
    <row r="113">
      <c r="A113" s="94"/>
      <c r="B113" s="95"/>
      <c r="C113" s="95"/>
      <c r="D113" s="47"/>
      <c r="E113" s="130">
        <v>14.0</v>
      </c>
      <c r="F113" s="113">
        <f>AP70</f>
        <v>4</v>
      </c>
      <c r="G113" s="265">
        <f t="shared" si="19"/>
        <v>18.18181818</v>
      </c>
      <c r="H113" s="308" t="s">
        <v>141</v>
      </c>
      <c r="I113" s="472"/>
      <c r="J113" s="306"/>
      <c r="K113" s="306"/>
      <c r="L113" s="306"/>
      <c r="M113" s="306"/>
      <c r="N113" s="306"/>
      <c r="O113" s="306"/>
      <c r="P113" s="306"/>
      <c r="Q113" s="306"/>
      <c r="R113" s="306"/>
      <c r="S113" s="306"/>
      <c r="T113" s="306"/>
      <c r="U113" s="306"/>
      <c r="V113" s="306"/>
      <c r="W113" s="306"/>
      <c r="X113" s="306"/>
      <c r="Y113" s="306"/>
      <c r="Z113" s="306"/>
      <c r="AA113" s="306"/>
      <c r="AB113" s="306"/>
      <c r="AC113" s="306"/>
      <c r="AD113" s="306"/>
      <c r="AE113" s="306"/>
      <c r="AF113" s="306"/>
      <c r="AG113" s="306"/>
      <c r="AH113" s="306"/>
      <c r="AI113" s="306"/>
      <c r="AJ113" s="307"/>
      <c r="AK113" s="134"/>
      <c r="AM113" s="309">
        <v>14.0</v>
      </c>
      <c r="AN113" s="113">
        <f>COUNTIF(AP30:AP69,"A")</f>
        <v>2</v>
      </c>
      <c r="AO113" s="470">
        <f t="shared" si="20"/>
        <v>9.090909091</v>
      </c>
      <c r="AP113" s="208">
        <f>COUNTIF(AP30:AP69,"B")</f>
        <v>4</v>
      </c>
      <c r="AQ113" s="471">
        <f t="shared" si="21"/>
        <v>18.18181818</v>
      </c>
      <c r="AR113" s="208">
        <f>COUNTIF(AP30:AP69,"C")</f>
        <v>6</v>
      </c>
      <c r="AS113" s="471">
        <f t="shared" si="22"/>
        <v>27.27272727</v>
      </c>
      <c r="AT113" s="208">
        <f>COUNTIF(AP30:AP69,"D")</f>
        <v>5</v>
      </c>
      <c r="AU113" s="471">
        <f t="shared" si="23"/>
        <v>22.72727273</v>
      </c>
      <c r="AV113" s="271"/>
      <c r="AW113" s="272"/>
    </row>
    <row r="114">
      <c r="A114" s="94"/>
      <c r="B114" s="95"/>
      <c r="C114" s="95"/>
      <c r="D114" s="47"/>
      <c r="E114" s="130">
        <v>15.0</v>
      </c>
      <c r="F114" s="113">
        <f>AQ70</f>
        <v>2</v>
      </c>
      <c r="G114" s="265">
        <f t="shared" si="19"/>
        <v>9.090909091</v>
      </c>
      <c r="H114" s="308" t="s">
        <v>141</v>
      </c>
      <c r="I114" s="472"/>
      <c r="J114" s="306"/>
      <c r="K114" s="306"/>
      <c r="L114" s="306"/>
      <c r="M114" s="306"/>
      <c r="N114" s="306"/>
      <c r="O114" s="306"/>
      <c r="P114" s="306"/>
      <c r="Q114" s="306"/>
      <c r="R114" s="306"/>
      <c r="S114" s="306"/>
      <c r="T114" s="306"/>
      <c r="U114" s="306"/>
      <c r="V114" s="306"/>
      <c r="W114" s="306"/>
      <c r="X114" s="306"/>
      <c r="Y114" s="306"/>
      <c r="Z114" s="306"/>
      <c r="AA114" s="306"/>
      <c r="AB114" s="306"/>
      <c r="AC114" s="306"/>
      <c r="AD114" s="306"/>
      <c r="AE114" s="306"/>
      <c r="AF114" s="306"/>
      <c r="AG114" s="306"/>
      <c r="AH114" s="306"/>
      <c r="AI114" s="306"/>
      <c r="AJ114" s="307"/>
      <c r="AK114" s="134"/>
      <c r="AM114" s="309">
        <v>15.0</v>
      </c>
      <c r="AN114" s="113">
        <f>COUNTIF(AQ30:AQ69,"A")</f>
        <v>1</v>
      </c>
      <c r="AO114" s="470">
        <f t="shared" si="20"/>
        <v>4.545454545</v>
      </c>
      <c r="AP114" s="208">
        <f>COUNTIF(AQ30:AQ69,"B")</f>
        <v>10</v>
      </c>
      <c r="AQ114" s="471">
        <f t="shared" si="21"/>
        <v>45.45454545</v>
      </c>
      <c r="AR114" s="208">
        <f>COUNTIF(AQ30:AQ69,"C")</f>
        <v>4</v>
      </c>
      <c r="AS114" s="471">
        <f t="shared" si="22"/>
        <v>18.18181818</v>
      </c>
      <c r="AT114" s="208">
        <f>COUNTIF(AQ30:AQ69,"D")</f>
        <v>2</v>
      </c>
      <c r="AU114" s="471">
        <f t="shared" si="23"/>
        <v>9.090909091</v>
      </c>
      <c r="AV114" s="271"/>
      <c r="AW114" s="272"/>
    </row>
    <row r="115">
      <c r="A115" s="94"/>
      <c r="B115" s="95"/>
      <c r="C115" s="95"/>
      <c r="D115" s="47"/>
      <c r="E115" s="130">
        <v>16.0</v>
      </c>
      <c r="F115" s="113">
        <f>AR70</f>
        <v>3</v>
      </c>
      <c r="G115" s="265">
        <f t="shared" si="19"/>
        <v>13.63636364</v>
      </c>
      <c r="H115" s="308" t="s">
        <v>141</v>
      </c>
      <c r="I115" s="472"/>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2"/>
      <c r="AK115" s="129"/>
      <c r="AM115" s="309">
        <v>16.0</v>
      </c>
      <c r="AN115" s="113">
        <f>COUNTIF(AR30:AR69,"A")</f>
        <v>5</v>
      </c>
      <c r="AO115" s="470">
        <f t="shared" si="20"/>
        <v>22.72727273</v>
      </c>
      <c r="AP115" s="208">
        <f>COUNTIF(AR30:AR69,"B")</f>
        <v>3</v>
      </c>
      <c r="AQ115" s="471">
        <f t="shared" si="21"/>
        <v>13.63636364</v>
      </c>
      <c r="AR115" s="208">
        <f>COUNTIF(AR30:AR69,"C")</f>
        <v>3</v>
      </c>
      <c r="AS115" s="471">
        <f t="shared" si="22"/>
        <v>13.63636364</v>
      </c>
      <c r="AT115" s="208">
        <f>COUNTIF(AR30:AR69,"D")</f>
        <v>6</v>
      </c>
      <c r="AU115" s="471">
        <f t="shared" si="23"/>
        <v>27.27272727</v>
      </c>
      <c r="AV115" s="271"/>
      <c r="AW115" s="272"/>
    </row>
    <row r="116" ht="15.75" customHeight="1">
      <c r="A116" s="94"/>
      <c r="B116" s="95"/>
      <c r="C116" s="95"/>
      <c r="D116" s="47"/>
      <c r="E116" s="130">
        <v>17.0</v>
      </c>
      <c r="F116" s="113">
        <f>AS70</f>
        <v>6</v>
      </c>
      <c r="G116" s="265">
        <f t="shared" si="19"/>
        <v>27.27272727</v>
      </c>
      <c r="H116" s="308" t="s">
        <v>142</v>
      </c>
      <c r="I116" s="472"/>
      <c r="J116" s="306"/>
      <c r="K116" s="306"/>
      <c r="L116" s="306"/>
      <c r="M116" s="306"/>
      <c r="N116" s="306"/>
      <c r="O116" s="306"/>
      <c r="P116" s="306"/>
      <c r="Q116" s="306"/>
      <c r="R116" s="306"/>
      <c r="S116" s="306"/>
      <c r="T116" s="306"/>
      <c r="U116" s="306"/>
      <c r="V116" s="306"/>
      <c r="W116" s="306"/>
      <c r="X116" s="306"/>
      <c r="Y116" s="306"/>
      <c r="Z116" s="306"/>
      <c r="AA116" s="306"/>
      <c r="AB116" s="306"/>
      <c r="AC116" s="306"/>
      <c r="AD116" s="306"/>
      <c r="AE116" s="306"/>
      <c r="AF116" s="306"/>
      <c r="AG116" s="306"/>
      <c r="AH116" s="306"/>
      <c r="AI116" s="306"/>
      <c r="AJ116" s="307"/>
      <c r="AK116" s="134"/>
      <c r="AM116" s="309">
        <v>17.0</v>
      </c>
      <c r="AN116" s="113">
        <f>COUNTIF(AS30:AS69,"A")</f>
        <v>6</v>
      </c>
      <c r="AO116" s="470">
        <f t="shared" si="20"/>
        <v>27.27272727</v>
      </c>
      <c r="AP116" s="208">
        <f>COUNTIF(AS30:AS69,"B")</f>
        <v>6</v>
      </c>
      <c r="AQ116" s="471">
        <f t="shared" si="21"/>
        <v>27.27272727</v>
      </c>
      <c r="AR116" s="208">
        <f>COUNTIF(AS30:AS69,"C")</f>
        <v>4</v>
      </c>
      <c r="AS116" s="471">
        <f t="shared" si="22"/>
        <v>18.18181818</v>
      </c>
      <c r="AT116" s="208">
        <f>COUNTIF(AS30:AS69,"D")</f>
        <v>1</v>
      </c>
      <c r="AU116" s="471">
        <f t="shared" si="23"/>
        <v>4.545454545</v>
      </c>
      <c r="AV116" s="271"/>
      <c r="AW116" s="272"/>
    </row>
    <row r="117" ht="15.75" customHeight="1">
      <c r="A117" s="94"/>
      <c r="B117" s="95"/>
      <c r="C117" s="95"/>
      <c r="D117" s="47"/>
      <c r="E117" s="130">
        <v>18.0</v>
      </c>
      <c r="F117" s="113">
        <f>AT70</f>
        <v>6</v>
      </c>
      <c r="G117" s="265">
        <f t="shared" si="19"/>
        <v>27.27272727</v>
      </c>
      <c r="H117" s="308" t="s">
        <v>142</v>
      </c>
      <c r="I117" s="472"/>
      <c r="J117" s="306"/>
      <c r="K117" s="306"/>
      <c r="L117" s="306"/>
      <c r="M117" s="306"/>
      <c r="N117" s="306"/>
      <c r="O117" s="306"/>
      <c r="P117" s="306"/>
      <c r="Q117" s="306"/>
      <c r="R117" s="306"/>
      <c r="S117" s="306"/>
      <c r="T117" s="306"/>
      <c r="U117" s="306"/>
      <c r="V117" s="306"/>
      <c r="W117" s="306"/>
      <c r="X117" s="306"/>
      <c r="Y117" s="306"/>
      <c r="Z117" s="306"/>
      <c r="AA117" s="306"/>
      <c r="AB117" s="306"/>
      <c r="AC117" s="306"/>
      <c r="AD117" s="306"/>
      <c r="AE117" s="306"/>
      <c r="AF117" s="306"/>
      <c r="AG117" s="306"/>
      <c r="AH117" s="306"/>
      <c r="AI117" s="306"/>
      <c r="AJ117" s="307"/>
      <c r="AK117" s="134"/>
      <c r="AM117" s="309">
        <v>18.0</v>
      </c>
      <c r="AN117" s="113">
        <f>COUNTIF(AT30:AT69,"A")</f>
        <v>6</v>
      </c>
      <c r="AO117" s="470">
        <f t="shared" si="20"/>
        <v>27.27272727</v>
      </c>
      <c r="AP117" s="208">
        <f>COUNTIF(AT30:AT69,"B")</f>
        <v>6</v>
      </c>
      <c r="AQ117" s="471">
        <f t="shared" si="21"/>
        <v>27.27272727</v>
      </c>
      <c r="AR117" s="208">
        <f>COUNTIF(AT30:AT69,"C")</f>
        <v>3</v>
      </c>
      <c r="AS117" s="471">
        <f t="shared" si="22"/>
        <v>13.63636364</v>
      </c>
      <c r="AT117" s="208">
        <f>COUNTIF(AT30:AT69,"D")</f>
        <v>2</v>
      </c>
      <c r="AU117" s="471">
        <f t="shared" si="23"/>
        <v>9.090909091</v>
      </c>
      <c r="AV117" s="271"/>
      <c r="AW117" s="272"/>
    </row>
    <row r="118" ht="15.75" customHeight="1">
      <c r="A118" s="94"/>
      <c r="B118" s="95"/>
      <c r="C118" s="95"/>
      <c r="D118" s="47"/>
      <c r="E118" s="130">
        <v>19.0</v>
      </c>
      <c r="F118" s="113">
        <f>AU70</f>
        <v>4</v>
      </c>
      <c r="G118" s="265">
        <f t="shared" si="19"/>
        <v>18.18181818</v>
      </c>
      <c r="H118" s="308" t="s">
        <v>141</v>
      </c>
      <c r="I118" s="472"/>
      <c r="J118" s="306"/>
      <c r="K118" s="306"/>
      <c r="L118" s="306"/>
      <c r="M118" s="306"/>
      <c r="N118" s="306"/>
      <c r="O118" s="306"/>
      <c r="P118" s="306"/>
      <c r="Q118" s="306"/>
      <c r="R118" s="306"/>
      <c r="S118" s="306"/>
      <c r="T118" s="306"/>
      <c r="U118" s="306"/>
      <c r="V118" s="306"/>
      <c r="W118" s="306"/>
      <c r="X118" s="306"/>
      <c r="Y118" s="306"/>
      <c r="Z118" s="306"/>
      <c r="AA118" s="306"/>
      <c r="AB118" s="306"/>
      <c r="AC118" s="306"/>
      <c r="AD118" s="306"/>
      <c r="AE118" s="306"/>
      <c r="AF118" s="306"/>
      <c r="AG118" s="306"/>
      <c r="AH118" s="306"/>
      <c r="AI118" s="306"/>
      <c r="AJ118" s="307"/>
      <c r="AK118" s="134"/>
      <c r="AM118" s="309">
        <v>19.0</v>
      </c>
      <c r="AN118" s="113">
        <f>COUNTIF(AU30:AU69,"A")</f>
        <v>5</v>
      </c>
      <c r="AO118" s="470">
        <f t="shared" si="20"/>
        <v>22.72727273</v>
      </c>
      <c r="AP118" s="208">
        <f>COUNTIF(AU30:AU69,"B")</f>
        <v>2</v>
      </c>
      <c r="AQ118" s="471">
        <f t="shared" si="21"/>
        <v>9.090909091</v>
      </c>
      <c r="AR118" s="208">
        <f>COUNTIF(AU30:AU69,"C")</f>
        <v>6</v>
      </c>
      <c r="AS118" s="471">
        <f t="shared" si="22"/>
        <v>27.27272727</v>
      </c>
      <c r="AT118" s="208">
        <f>COUNTIF(AU30:AU69,"D")</f>
        <v>4</v>
      </c>
      <c r="AU118" s="471">
        <f t="shared" si="23"/>
        <v>18.18181818</v>
      </c>
      <c r="AV118" s="271"/>
      <c r="AW118" s="272"/>
    </row>
    <row r="119" ht="15.75" customHeight="1">
      <c r="A119" s="94"/>
      <c r="B119" s="95"/>
      <c r="C119" s="95"/>
      <c r="D119" s="47"/>
      <c r="E119" s="130">
        <v>20.0</v>
      </c>
      <c r="F119" s="113">
        <f>AV70</f>
        <v>3</v>
      </c>
      <c r="G119" s="265">
        <f t="shared" si="19"/>
        <v>13.63636364</v>
      </c>
      <c r="H119" s="308" t="s">
        <v>141</v>
      </c>
      <c r="I119" s="472"/>
      <c r="J119" s="306"/>
      <c r="K119" s="306"/>
      <c r="L119" s="306"/>
      <c r="M119" s="306"/>
      <c r="N119" s="306"/>
      <c r="O119" s="306"/>
      <c r="P119" s="306"/>
      <c r="Q119" s="306"/>
      <c r="R119" s="306"/>
      <c r="S119" s="306"/>
      <c r="T119" s="306"/>
      <c r="U119" s="306"/>
      <c r="V119" s="306"/>
      <c r="W119" s="306"/>
      <c r="X119" s="306"/>
      <c r="Y119" s="306"/>
      <c r="Z119" s="306"/>
      <c r="AA119" s="306"/>
      <c r="AB119" s="306"/>
      <c r="AC119" s="306"/>
      <c r="AD119" s="306"/>
      <c r="AE119" s="306"/>
      <c r="AF119" s="306"/>
      <c r="AG119" s="306"/>
      <c r="AH119" s="306"/>
      <c r="AI119" s="306"/>
      <c r="AJ119" s="307"/>
      <c r="AK119" s="134"/>
      <c r="AM119" s="309">
        <v>20.0</v>
      </c>
      <c r="AN119" s="113">
        <f>COUNTIF(AV30:AV69,"A")</f>
        <v>4</v>
      </c>
      <c r="AO119" s="470">
        <f t="shared" si="20"/>
        <v>18.18181818</v>
      </c>
      <c r="AP119" s="208">
        <f>COUNTIF(AV30:AV69,"B")</f>
        <v>5</v>
      </c>
      <c r="AQ119" s="471">
        <f t="shared" si="21"/>
        <v>22.72727273</v>
      </c>
      <c r="AR119" s="208">
        <f>COUNTIF(AV30:AV69,"C")</f>
        <v>5</v>
      </c>
      <c r="AS119" s="471">
        <f t="shared" si="22"/>
        <v>22.72727273</v>
      </c>
      <c r="AT119" s="208">
        <f>COUNTIF(AV30:AV69,"D")</f>
        <v>3</v>
      </c>
      <c r="AU119" s="471">
        <f t="shared" si="23"/>
        <v>13.63636364</v>
      </c>
      <c r="AV119" s="271"/>
      <c r="AW119" s="272"/>
    </row>
    <row r="120" ht="15.75" customHeight="1">
      <c r="A120" s="94"/>
      <c r="B120" s="95"/>
      <c r="C120" s="95"/>
      <c r="D120" s="47"/>
      <c r="E120" s="130">
        <v>21.0</v>
      </c>
      <c r="F120" s="113">
        <f>AW70</f>
        <v>4</v>
      </c>
      <c r="G120" s="265">
        <f t="shared" si="19"/>
        <v>18.18181818</v>
      </c>
      <c r="H120" s="305" t="s">
        <v>143</v>
      </c>
      <c r="I120" s="306"/>
      <c r="J120" s="306"/>
      <c r="K120" s="306"/>
      <c r="L120" s="306"/>
      <c r="M120" s="306"/>
      <c r="N120" s="306"/>
      <c r="O120" s="306"/>
      <c r="P120" s="306"/>
      <c r="Q120" s="306"/>
      <c r="R120" s="306"/>
      <c r="S120" s="306"/>
      <c r="T120" s="306"/>
      <c r="U120" s="306"/>
      <c r="V120" s="306"/>
      <c r="W120" s="306"/>
      <c r="X120" s="306"/>
      <c r="Y120" s="306"/>
      <c r="Z120" s="306"/>
      <c r="AA120" s="306"/>
      <c r="AB120" s="306"/>
      <c r="AC120" s="306"/>
      <c r="AD120" s="306"/>
      <c r="AE120" s="306"/>
      <c r="AF120" s="306"/>
      <c r="AG120" s="306"/>
      <c r="AH120" s="306"/>
      <c r="AI120" s="306"/>
      <c r="AJ120" s="307"/>
      <c r="AK120" s="134"/>
      <c r="AM120" s="309">
        <v>21.0</v>
      </c>
      <c r="AN120" s="113">
        <f>COUNTIF(AW30:AW69,"A")</f>
        <v>6</v>
      </c>
      <c r="AO120" s="470">
        <f t="shared" si="20"/>
        <v>27.27272727</v>
      </c>
      <c r="AP120" s="208">
        <f>COUNTIF(AW30:AW69,"B")</f>
        <v>4</v>
      </c>
      <c r="AQ120" s="471">
        <f t="shared" si="21"/>
        <v>18.18181818</v>
      </c>
      <c r="AR120" s="208">
        <f>COUNTIF(AW30:AW69,"C")</f>
        <v>4</v>
      </c>
      <c r="AS120" s="471">
        <f t="shared" si="22"/>
        <v>18.18181818</v>
      </c>
      <c r="AT120" s="208">
        <f>COUNTIF(AW30:AW69,"D")</f>
        <v>3</v>
      </c>
      <c r="AU120" s="471">
        <f t="shared" si="23"/>
        <v>13.63636364</v>
      </c>
      <c r="AV120" s="271"/>
      <c r="AW120" s="272"/>
    </row>
    <row r="121" ht="15.75" customHeight="1">
      <c r="A121" s="94"/>
      <c r="B121" s="95"/>
      <c r="C121" s="95"/>
      <c r="D121" s="47"/>
      <c r="E121" s="130">
        <v>22.0</v>
      </c>
      <c r="F121" s="113">
        <f>AX70</f>
        <v>6</v>
      </c>
      <c r="G121" s="265">
        <f t="shared" si="19"/>
        <v>27.27272727</v>
      </c>
      <c r="H121" s="305" t="s">
        <v>144</v>
      </c>
      <c r="I121" s="306"/>
      <c r="J121" s="306"/>
      <c r="K121" s="306"/>
      <c r="L121" s="306"/>
      <c r="M121" s="306"/>
      <c r="N121" s="306"/>
      <c r="O121" s="306"/>
      <c r="P121" s="306"/>
      <c r="Q121" s="306"/>
      <c r="R121" s="306"/>
      <c r="S121" s="306"/>
      <c r="T121" s="306"/>
      <c r="U121" s="306"/>
      <c r="V121" s="306"/>
      <c r="W121" s="306"/>
      <c r="X121" s="306"/>
      <c r="Y121" s="306"/>
      <c r="Z121" s="306"/>
      <c r="AA121" s="306"/>
      <c r="AB121" s="306"/>
      <c r="AC121" s="306"/>
      <c r="AD121" s="306"/>
      <c r="AE121" s="306"/>
      <c r="AF121" s="306"/>
      <c r="AG121" s="306"/>
      <c r="AH121" s="306"/>
      <c r="AI121" s="306"/>
      <c r="AJ121" s="307"/>
      <c r="AK121" s="134"/>
      <c r="AM121" s="309">
        <v>22.0</v>
      </c>
      <c r="AN121" s="113">
        <f>COUNTIF(AX30:AX69,"A")</f>
        <v>2</v>
      </c>
      <c r="AO121" s="470">
        <f t="shared" si="20"/>
        <v>9.090909091</v>
      </c>
      <c r="AP121" s="208">
        <f>COUNTIF(AX30:AX69,"B")</f>
        <v>3</v>
      </c>
      <c r="AQ121" s="471">
        <f t="shared" si="21"/>
        <v>13.63636364</v>
      </c>
      <c r="AR121" s="208">
        <f>COUNTIF(AX30:AX69,"C")</f>
        <v>6</v>
      </c>
      <c r="AS121" s="471">
        <f t="shared" si="22"/>
        <v>27.27272727</v>
      </c>
      <c r="AT121" s="208">
        <f>COUNTIF(AX30:AX69,"D")</f>
        <v>6</v>
      </c>
      <c r="AU121" s="471">
        <f t="shared" si="23"/>
        <v>27.27272727</v>
      </c>
      <c r="AV121" s="271"/>
      <c r="AW121" s="272"/>
    </row>
    <row r="122" ht="15.75" customHeight="1">
      <c r="A122" s="94"/>
      <c r="B122" s="95"/>
      <c r="C122" s="95"/>
      <c r="D122" s="47"/>
      <c r="E122" s="130">
        <v>23.0</v>
      </c>
      <c r="F122" s="113">
        <f>AY70</f>
        <v>5</v>
      </c>
      <c r="G122" s="265">
        <f t="shared" si="19"/>
        <v>22.72727273</v>
      </c>
      <c r="H122" s="305" t="s">
        <v>144</v>
      </c>
      <c r="I122" s="306"/>
      <c r="J122" s="306"/>
      <c r="K122" s="306"/>
      <c r="L122" s="306"/>
      <c r="M122" s="306"/>
      <c r="N122" s="306"/>
      <c r="O122" s="306"/>
      <c r="P122" s="306"/>
      <c r="Q122" s="306"/>
      <c r="R122" s="306"/>
      <c r="S122" s="306"/>
      <c r="T122" s="306"/>
      <c r="U122" s="306"/>
      <c r="V122" s="306"/>
      <c r="W122" s="306"/>
      <c r="X122" s="306"/>
      <c r="Y122" s="306"/>
      <c r="Z122" s="306"/>
      <c r="AA122" s="306"/>
      <c r="AB122" s="306"/>
      <c r="AC122" s="306"/>
      <c r="AD122" s="306"/>
      <c r="AE122" s="306"/>
      <c r="AF122" s="306"/>
      <c r="AG122" s="306"/>
      <c r="AH122" s="306"/>
      <c r="AI122" s="306"/>
      <c r="AJ122" s="307"/>
      <c r="AK122" s="134"/>
      <c r="AM122" s="309">
        <v>23.0</v>
      </c>
      <c r="AN122" s="113">
        <f>COUNTIF(AY30:AY69,"A")</f>
        <v>2</v>
      </c>
      <c r="AO122" s="470">
        <f t="shared" si="20"/>
        <v>9.090909091</v>
      </c>
      <c r="AP122" s="208">
        <f>COUNTIF(AY30:AY69,"B")</f>
        <v>7</v>
      </c>
      <c r="AQ122" s="471">
        <f t="shared" si="21"/>
        <v>31.81818182</v>
      </c>
      <c r="AR122" s="208">
        <f>COUNTIF(AY30:AY69,"C")</f>
        <v>3</v>
      </c>
      <c r="AS122" s="471">
        <f t="shared" si="22"/>
        <v>13.63636364</v>
      </c>
      <c r="AT122" s="208">
        <f>COUNTIF(AY30:AY69,"D")</f>
        <v>5</v>
      </c>
      <c r="AU122" s="471">
        <f t="shared" si="23"/>
        <v>22.72727273</v>
      </c>
      <c r="AV122" s="271"/>
      <c r="AW122" s="272"/>
    </row>
    <row r="123" ht="15.75" customHeight="1">
      <c r="A123" s="94"/>
      <c r="B123" s="95"/>
      <c r="C123" s="95"/>
      <c r="D123" s="47"/>
      <c r="E123" s="130">
        <v>24.0</v>
      </c>
      <c r="F123" s="113">
        <f>AZ70</f>
        <v>5</v>
      </c>
      <c r="G123" s="265">
        <f t="shared" si="19"/>
        <v>22.72727273</v>
      </c>
      <c r="H123" s="305" t="s">
        <v>144</v>
      </c>
      <c r="I123" s="306"/>
      <c r="J123" s="306"/>
      <c r="K123" s="306"/>
      <c r="L123" s="306"/>
      <c r="M123" s="306"/>
      <c r="N123" s="306"/>
      <c r="O123" s="306"/>
      <c r="P123" s="306"/>
      <c r="Q123" s="306"/>
      <c r="R123" s="306"/>
      <c r="S123" s="306"/>
      <c r="T123" s="306"/>
      <c r="U123" s="306"/>
      <c r="V123" s="306"/>
      <c r="W123" s="306"/>
      <c r="X123" s="306"/>
      <c r="Y123" s="306"/>
      <c r="Z123" s="306"/>
      <c r="AA123" s="306"/>
      <c r="AB123" s="306"/>
      <c r="AC123" s="306"/>
      <c r="AD123" s="306"/>
      <c r="AE123" s="306"/>
      <c r="AF123" s="306"/>
      <c r="AG123" s="306"/>
      <c r="AH123" s="306"/>
      <c r="AI123" s="306"/>
      <c r="AJ123" s="307"/>
      <c r="AK123" s="134"/>
      <c r="AM123" s="309">
        <v>24.0</v>
      </c>
      <c r="AN123" s="113">
        <f>COUNTIF(AZ30:AZ69,"A")</f>
        <v>3</v>
      </c>
      <c r="AO123" s="470">
        <f t="shared" si="20"/>
        <v>13.63636364</v>
      </c>
      <c r="AP123" s="208">
        <f>COUNTIF(AZ30:AZ69,"B")</f>
        <v>4</v>
      </c>
      <c r="AQ123" s="471">
        <f t="shared" si="21"/>
        <v>18.18181818</v>
      </c>
      <c r="AR123" s="208">
        <f>COUNTIF(AZ30:AZ69,"C")</f>
        <v>5</v>
      </c>
      <c r="AS123" s="471">
        <f t="shared" si="22"/>
        <v>22.72727273</v>
      </c>
      <c r="AT123" s="208">
        <f>COUNTIF(AZ30:AZ69,"D")</f>
        <v>5</v>
      </c>
      <c r="AU123" s="471">
        <f t="shared" si="23"/>
        <v>22.72727273</v>
      </c>
      <c r="AV123" s="271"/>
      <c r="AW123" s="272"/>
    </row>
    <row r="124" ht="15.75" customHeight="1">
      <c r="A124" s="94"/>
      <c r="B124" s="95"/>
      <c r="C124" s="95"/>
      <c r="D124" s="47"/>
      <c r="E124" s="130">
        <v>25.0</v>
      </c>
      <c r="F124" s="113">
        <f>BA70</f>
        <v>3</v>
      </c>
      <c r="G124" s="265">
        <f t="shared" si="19"/>
        <v>13.63636364</v>
      </c>
      <c r="H124" s="305" t="s">
        <v>144</v>
      </c>
      <c r="I124" s="306"/>
      <c r="J124" s="306"/>
      <c r="K124" s="306"/>
      <c r="L124" s="306"/>
      <c r="M124" s="306"/>
      <c r="N124" s="306"/>
      <c r="O124" s="306"/>
      <c r="P124" s="306"/>
      <c r="Q124" s="306"/>
      <c r="R124" s="306"/>
      <c r="S124" s="306"/>
      <c r="T124" s="306"/>
      <c r="U124" s="306"/>
      <c r="V124" s="306"/>
      <c r="W124" s="306"/>
      <c r="X124" s="306"/>
      <c r="Y124" s="306"/>
      <c r="Z124" s="306"/>
      <c r="AA124" s="306"/>
      <c r="AB124" s="306"/>
      <c r="AC124" s="306"/>
      <c r="AD124" s="306"/>
      <c r="AE124" s="306"/>
      <c r="AF124" s="306"/>
      <c r="AG124" s="306"/>
      <c r="AH124" s="306"/>
      <c r="AI124" s="306"/>
      <c r="AJ124" s="307"/>
      <c r="AK124" s="134"/>
      <c r="AM124" s="309">
        <v>25.0</v>
      </c>
      <c r="AN124" s="113">
        <f>COUNTIF(BA30:BA69,"A")</f>
        <v>3</v>
      </c>
      <c r="AO124" s="470">
        <f t="shared" si="20"/>
        <v>13.63636364</v>
      </c>
      <c r="AP124" s="208">
        <f>COUNTIF(BA30:BA69,"B")</f>
        <v>4</v>
      </c>
      <c r="AQ124" s="471">
        <f t="shared" si="21"/>
        <v>18.18181818</v>
      </c>
      <c r="AR124" s="208">
        <f>COUNTIF(BA30:BA69,"C")</f>
        <v>10</v>
      </c>
      <c r="AS124" s="471">
        <f t="shared" si="22"/>
        <v>45.45454545</v>
      </c>
      <c r="AT124" s="208">
        <f>COUNTIF(BA30:BA69,"D")</f>
        <v>0</v>
      </c>
      <c r="AU124" s="471">
        <f t="shared" si="23"/>
        <v>0</v>
      </c>
      <c r="AV124" s="271"/>
      <c r="AW124" s="272"/>
    </row>
    <row r="125" ht="15.75" customHeight="1">
      <c r="A125" s="84"/>
      <c r="B125" s="85"/>
      <c r="C125" s="85"/>
      <c r="D125" s="65"/>
      <c r="E125" s="309">
        <v>26.0</v>
      </c>
      <c r="F125" s="113">
        <f>BB70</f>
        <v>4</v>
      </c>
      <c r="G125" s="265">
        <f t="shared" si="19"/>
        <v>18.18181818</v>
      </c>
      <c r="H125" s="305" t="s">
        <v>144</v>
      </c>
      <c r="I125" s="306"/>
      <c r="J125" s="306"/>
      <c r="K125" s="306"/>
      <c r="L125" s="306"/>
      <c r="M125" s="306"/>
      <c r="N125" s="306"/>
      <c r="O125" s="306"/>
      <c r="P125" s="306"/>
      <c r="Q125" s="306"/>
      <c r="R125" s="306"/>
      <c r="S125" s="306"/>
      <c r="T125" s="306"/>
      <c r="U125" s="306"/>
      <c r="V125" s="306"/>
      <c r="W125" s="306"/>
      <c r="X125" s="306"/>
      <c r="Y125" s="306"/>
      <c r="Z125" s="306"/>
      <c r="AA125" s="306"/>
      <c r="AB125" s="306"/>
      <c r="AC125" s="306"/>
      <c r="AD125" s="306"/>
      <c r="AE125" s="306"/>
      <c r="AF125" s="306"/>
      <c r="AG125" s="306"/>
      <c r="AH125" s="306"/>
      <c r="AI125" s="306"/>
      <c r="AJ125" s="307"/>
      <c r="AK125" s="134"/>
      <c r="AM125" s="309">
        <v>26.0</v>
      </c>
      <c r="AN125" s="113">
        <f>COUNTIF(BB30:BB69,"A")</f>
        <v>4</v>
      </c>
      <c r="AO125" s="470">
        <f t="shared" si="20"/>
        <v>18.18181818</v>
      </c>
      <c r="AP125" s="208">
        <f>COUNTIF(BB30:BB60,"B")</f>
        <v>7</v>
      </c>
      <c r="AQ125" s="471">
        <f t="shared" si="21"/>
        <v>31.81818182</v>
      </c>
      <c r="AR125" s="208">
        <f>COUNTIF(BB30:BB69,"C")</f>
        <v>2</v>
      </c>
      <c r="AS125" s="471">
        <f t="shared" si="22"/>
        <v>9.090909091</v>
      </c>
      <c r="AT125" s="208">
        <f>COUNTIF(BB30:BB69,"D")</f>
        <v>4</v>
      </c>
      <c r="AU125" s="471">
        <f t="shared" si="23"/>
        <v>18.18181818</v>
      </c>
      <c r="AV125" s="271"/>
      <c r="AW125" s="272"/>
    </row>
    <row r="126" ht="112.5" customHeight="1"/>
    <row r="127" ht="15.75" customHeight="1">
      <c r="A127" s="89"/>
      <c r="B127" s="90"/>
      <c r="C127" s="91"/>
      <c r="D127" s="473" t="s">
        <v>89</v>
      </c>
      <c r="E127" s="474"/>
      <c r="F127" s="474"/>
      <c r="G127" s="474"/>
      <c r="H127" s="474"/>
      <c r="I127" s="475"/>
      <c r="K127" s="170"/>
      <c r="L127" s="171"/>
      <c r="M127" s="171"/>
      <c r="N127" s="171"/>
      <c r="O127" s="171"/>
      <c r="P127" s="171"/>
      <c r="Q127" s="171"/>
      <c r="R127" s="171"/>
      <c r="S127" s="171"/>
      <c r="T127" s="171"/>
      <c r="U127" s="171"/>
      <c r="V127" s="171"/>
      <c r="W127" s="171"/>
      <c r="X127" s="171"/>
      <c r="Y127" s="171"/>
      <c r="Z127" s="171"/>
      <c r="AA127" s="171"/>
      <c r="AB127" s="171"/>
      <c r="AC127" s="171"/>
      <c r="AD127" s="171"/>
      <c r="AE127" s="171"/>
      <c r="AF127" s="171"/>
      <c r="AG127" s="171"/>
      <c r="AH127" s="171"/>
      <c r="AI127" s="171"/>
      <c r="AJ127" s="171"/>
      <c r="AK127" s="171"/>
      <c r="AL127" s="171"/>
      <c r="AM127" s="171"/>
      <c r="AN127" s="171"/>
      <c r="AO127" s="171"/>
      <c r="AP127" s="171"/>
      <c r="AQ127" s="171"/>
      <c r="AR127" s="171"/>
      <c r="AS127" s="171"/>
      <c r="AT127" s="171"/>
      <c r="AU127" s="171"/>
      <c r="AV127" s="171"/>
      <c r="AW127" s="171"/>
      <c r="AX127" s="171"/>
      <c r="AY127" s="171"/>
      <c r="AZ127" s="171"/>
      <c r="BA127" s="171"/>
      <c r="BB127" s="171"/>
      <c r="BC127" s="171"/>
      <c r="BD127" s="171"/>
      <c r="BE127" s="171"/>
      <c r="BF127" s="171"/>
      <c r="BG127" s="171"/>
      <c r="BH127" s="171"/>
      <c r="BI127" s="171"/>
      <c r="BJ127" s="171"/>
      <c r="BK127" s="171"/>
      <c r="BL127" s="171"/>
      <c r="BM127" s="171"/>
      <c r="BN127" s="171"/>
      <c r="BO127" s="171"/>
      <c r="BP127" s="171"/>
      <c r="BQ127" s="337"/>
    </row>
    <row r="128" ht="15.75" customHeight="1">
      <c r="A128" s="94"/>
      <c r="B128" s="95"/>
      <c r="C128" s="103"/>
      <c r="D128" s="476" t="s">
        <v>10</v>
      </c>
      <c r="E128" s="477" t="s">
        <v>54</v>
      </c>
      <c r="F128" s="478" t="s">
        <v>90</v>
      </c>
      <c r="G128" s="29"/>
      <c r="H128" s="29"/>
      <c r="I128" s="41"/>
      <c r="K128" s="178"/>
      <c r="BQ128" s="338"/>
    </row>
    <row r="129" ht="15.75" customHeight="1">
      <c r="A129" s="94"/>
      <c r="B129" s="95"/>
      <c r="C129" s="103"/>
      <c r="D129" s="189">
        <f>COUNTIF(BJ30:BJ69,"ABAIXO DO BÁSICO")</f>
        <v>6</v>
      </c>
      <c r="E129" s="479">
        <f>SUM(D129/C17*100)</f>
        <v>27.27272727</v>
      </c>
      <c r="F129" s="426" t="s">
        <v>91</v>
      </c>
      <c r="G129" s="480"/>
      <c r="H129" s="480"/>
      <c r="I129" s="481"/>
      <c r="K129" s="178"/>
      <c r="BQ129" s="338"/>
    </row>
    <row r="130" ht="15.75" customHeight="1">
      <c r="A130" s="94"/>
      <c r="B130" s="95"/>
      <c r="C130" s="103"/>
      <c r="D130" s="189">
        <f>COUNTIF(BJ30:BJ69,"BÁSICO")</f>
        <v>1</v>
      </c>
      <c r="E130" s="479">
        <f>SUM(D130/C17*100)</f>
        <v>4.545454545</v>
      </c>
      <c r="F130" s="429" t="s">
        <v>92</v>
      </c>
      <c r="G130" s="480"/>
      <c r="H130" s="480"/>
      <c r="I130" s="481"/>
      <c r="K130" s="178"/>
      <c r="L130" s="192" t="s">
        <v>93</v>
      </c>
      <c r="U130" s="179"/>
      <c r="V130" s="179"/>
      <c r="W130" s="179"/>
      <c r="X130" s="179"/>
      <c r="Y130" s="179"/>
      <c r="Z130" s="179"/>
      <c r="AA130" s="179"/>
      <c r="AB130" s="179"/>
      <c r="AC130" s="179"/>
      <c r="AD130" s="179"/>
      <c r="AE130" s="179"/>
      <c r="AF130" s="179"/>
      <c r="AG130" s="179"/>
      <c r="AH130" s="179"/>
      <c r="AI130" s="179"/>
      <c r="AJ130" s="179"/>
      <c r="AK130" s="179"/>
      <c r="AL130" s="179"/>
      <c r="AM130" s="179"/>
      <c r="AN130" s="179"/>
      <c r="AO130" s="179"/>
      <c r="AP130" s="179"/>
      <c r="AQ130" s="179"/>
      <c r="AR130" s="179"/>
      <c r="AS130" s="179"/>
      <c r="AT130" s="179"/>
      <c r="AU130" s="179"/>
      <c r="AV130" s="179"/>
      <c r="AW130" s="179"/>
      <c r="AX130" s="179"/>
      <c r="AY130" s="179"/>
      <c r="AZ130" s="179"/>
      <c r="BA130" s="179"/>
      <c r="BB130" s="179"/>
      <c r="BC130" s="179"/>
      <c r="BD130" s="179"/>
      <c r="BE130" s="179"/>
      <c r="BF130" s="179"/>
      <c r="BG130" s="179"/>
      <c r="BH130" s="179"/>
      <c r="BI130" s="179"/>
      <c r="BQ130" s="338"/>
    </row>
    <row r="131" ht="15.75" customHeight="1">
      <c r="A131" s="94"/>
      <c r="B131" s="95"/>
      <c r="C131" s="103"/>
      <c r="D131" s="189">
        <f>COUNTIF(BJ30:BJ69,"ADEQUADO")</f>
        <v>10</v>
      </c>
      <c r="E131" s="479">
        <f>SUM(D131/C17*100)</f>
        <v>45.45454545</v>
      </c>
      <c r="F131" s="430" t="s">
        <v>94</v>
      </c>
      <c r="G131" s="480"/>
      <c r="H131" s="480"/>
      <c r="I131" s="481"/>
      <c r="K131" s="178"/>
      <c r="L131" s="179"/>
      <c r="M131" s="179"/>
      <c r="N131" s="179"/>
      <c r="O131" s="179"/>
      <c r="P131" s="179"/>
      <c r="Q131" s="179"/>
      <c r="R131" s="179"/>
      <c r="S131" s="179"/>
      <c r="T131" s="179"/>
      <c r="U131" s="179"/>
      <c r="V131" s="179"/>
      <c r="W131" s="179"/>
      <c r="X131" s="179"/>
      <c r="Y131" s="179"/>
      <c r="Z131" s="179"/>
      <c r="AA131" s="179"/>
      <c r="AB131" s="179"/>
      <c r="AC131" s="179"/>
      <c r="AD131" s="179"/>
      <c r="AE131" s="179"/>
      <c r="AF131" s="179"/>
      <c r="AG131" s="179"/>
      <c r="AH131" s="179"/>
      <c r="AI131" s="179"/>
      <c r="AJ131" s="179"/>
      <c r="AK131" s="179"/>
      <c r="AL131" s="179"/>
      <c r="AM131" s="179"/>
      <c r="AN131" s="179"/>
      <c r="AO131" s="179"/>
      <c r="AP131" s="179"/>
      <c r="AQ131" s="179"/>
      <c r="AR131" s="179"/>
      <c r="AS131" s="179"/>
      <c r="AT131" s="179"/>
      <c r="AU131" s="179"/>
      <c r="AV131" s="179"/>
      <c r="AW131" s="179"/>
      <c r="AX131" s="179"/>
      <c r="AY131" s="179"/>
      <c r="AZ131" s="179"/>
      <c r="BA131" s="179"/>
      <c r="BB131" s="179"/>
      <c r="BC131" s="179"/>
      <c r="BD131" s="179"/>
      <c r="BE131" s="179"/>
      <c r="BF131" s="179"/>
      <c r="BG131" s="179"/>
      <c r="BH131" s="179"/>
      <c r="BI131" s="179"/>
      <c r="BQ131" s="338"/>
    </row>
    <row r="132" ht="15.75" customHeight="1">
      <c r="A132" s="94"/>
      <c r="B132" s="95"/>
      <c r="C132" s="103"/>
      <c r="D132" s="189">
        <f>COUNTIF(BJ30:BJ69,"AVANÇADO")</f>
        <v>5</v>
      </c>
      <c r="E132" s="479">
        <f>SUM(D132/C17*100)</f>
        <v>22.72727273</v>
      </c>
      <c r="F132" s="431" t="s">
        <v>95</v>
      </c>
      <c r="G132" s="480"/>
      <c r="H132" s="480"/>
      <c r="I132" s="481"/>
      <c r="K132" s="178"/>
      <c r="L132" s="179" t="s">
        <v>515</v>
      </c>
      <c r="BQ132" s="338"/>
    </row>
    <row r="133" ht="15.75" customHeight="1">
      <c r="A133" s="94"/>
      <c r="B133" s="95"/>
      <c r="C133" s="103"/>
      <c r="D133" s="482"/>
      <c r="E133" s="483"/>
      <c r="F133" s="482"/>
      <c r="G133" s="482"/>
      <c r="H133" s="484"/>
      <c r="I133" s="482"/>
      <c r="K133" s="178"/>
      <c r="L133" s="179" t="s">
        <v>516</v>
      </c>
      <c r="BQ133" s="338"/>
    </row>
    <row r="134" ht="15.75" customHeight="1">
      <c r="A134" s="94"/>
      <c r="B134" s="95"/>
      <c r="C134" s="103"/>
      <c r="D134" s="485" t="s">
        <v>16</v>
      </c>
      <c r="E134" s="486"/>
      <c r="F134" s="200"/>
      <c r="G134" s="200"/>
      <c r="H134" s="200"/>
      <c r="I134" s="487"/>
      <c r="K134" s="178"/>
      <c r="L134" s="179" t="s">
        <v>517</v>
      </c>
      <c r="BQ134" s="338"/>
    </row>
    <row r="135" ht="15.75" customHeight="1">
      <c r="A135" s="94"/>
      <c r="B135" s="95"/>
      <c r="C135" s="103"/>
      <c r="D135" s="476" t="s">
        <v>10</v>
      </c>
      <c r="E135" s="488" t="s">
        <v>54</v>
      </c>
      <c r="F135" s="478" t="s">
        <v>90</v>
      </c>
      <c r="G135" s="29"/>
      <c r="H135" s="29"/>
      <c r="I135" s="41"/>
      <c r="K135" s="178"/>
      <c r="L135" s="179" t="s">
        <v>518</v>
      </c>
      <c r="BQ135" s="338"/>
    </row>
    <row r="136" ht="15.75" customHeight="1">
      <c r="A136" s="94"/>
      <c r="B136" s="95"/>
      <c r="C136" s="103"/>
      <c r="D136" s="189">
        <f>COUNTIF(BN30:BN69,"ABAIXO DO BÁSICO")</f>
        <v>8</v>
      </c>
      <c r="E136" s="479">
        <f>SUM(D136/C17*100)</f>
        <v>36.36363636</v>
      </c>
      <c r="F136" s="426" t="s">
        <v>91</v>
      </c>
      <c r="G136" s="480"/>
      <c r="H136" s="480"/>
      <c r="I136" s="481"/>
      <c r="K136" s="178"/>
      <c r="L136" s="179"/>
      <c r="BQ136" s="338"/>
    </row>
    <row r="137" ht="15.75" customHeight="1">
      <c r="A137" s="94"/>
      <c r="B137" s="95"/>
      <c r="C137" s="103"/>
      <c r="D137" s="189">
        <f>COUNTIF(BN30:BN69,"BÁSICO")</f>
        <v>10</v>
      </c>
      <c r="E137" s="479">
        <f>SUM(D137/C17*100)</f>
        <v>45.45454545</v>
      </c>
      <c r="F137" s="429" t="s">
        <v>92</v>
      </c>
      <c r="G137" s="480"/>
      <c r="H137" s="480"/>
      <c r="I137" s="481"/>
      <c r="K137" s="178"/>
      <c r="L137" s="179" t="s">
        <v>519</v>
      </c>
      <c r="BQ137" s="338"/>
    </row>
    <row r="138" ht="15.75" customHeight="1">
      <c r="A138" s="94"/>
      <c r="B138" s="95"/>
      <c r="C138" s="103"/>
      <c r="D138" s="189">
        <f>COUNTIF(BN30:BN69,"ADEQUADO")</f>
        <v>4</v>
      </c>
      <c r="E138" s="479">
        <f>SUM(D138/C17*100)</f>
        <v>18.18181818</v>
      </c>
      <c r="F138" s="430" t="s">
        <v>94</v>
      </c>
      <c r="G138" s="480"/>
      <c r="H138" s="480"/>
      <c r="I138" s="481"/>
      <c r="K138" s="178"/>
      <c r="L138" s="179" t="s">
        <v>520</v>
      </c>
      <c r="BQ138" s="338"/>
    </row>
    <row r="139" ht="15.75" customHeight="1">
      <c r="A139" s="94"/>
      <c r="B139" s="95"/>
      <c r="C139" s="103"/>
      <c r="D139" s="189">
        <f>COUNTIF(BN30:BN69,"AVANÇADO")</f>
        <v>0</v>
      </c>
      <c r="E139" s="479">
        <f>SUM(D139/C17*100)</f>
        <v>0</v>
      </c>
      <c r="F139" s="431" t="s">
        <v>95</v>
      </c>
      <c r="G139" s="480"/>
      <c r="H139" s="480"/>
      <c r="I139" s="481"/>
      <c r="K139" s="178"/>
      <c r="L139" s="179" t="s">
        <v>521</v>
      </c>
      <c r="BQ139" s="338"/>
    </row>
    <row r="140" ht="15.75" customHeight="1">
      <c r="A140" s="94"/>
      <c r="B140" s="95"/>
      <c r="C140" s="103"/>
      <c r="D140" s="482"/>
      <c r="E140" s="483"/>
      <c r="F140" s="482"/>
      <c r="G140" s="482"/>
      <c r="H140" s="482"/>
      <c r="I140" s="482"/>
      <c r="K140" s="178"/>
      <c r="L140" s="179"/>
      <c r="BQ140" s="338"/>
    </row>
    <row r="141" ht="15.75" customHeight="1">
      <c r="A141" s="94"/>
      <c r="B141" s="95"/>
      <c r="C141" s="103"/>
      <c r="D141" s="489" t="s">
        <v>17</v>
      </c>
      <c r="E141" s="490"/>
      <c r="F141" s="491"/>
      <c r="G141" s="491"/>
      <c r="H141" s="491"/>
      <c r="I141" s="492"/>
      <c r="K141" s="178"/>
      <c r="L141" s="179" t="s">
        <v>522</v>
      </c>
      <c r="BQ141" s="338"/>
    </row>
    <row r="142" ht="15.75" customHeight="1">
      <c r="A142" s="94"/>
      <c r="B142" s="95"/>
      <c r="C142" s="103"/>
      <c r="D142" s="476" t="s">
        <v>10</v>
      </c>
      <c r="E142" s="488" t="s">
        <v>54</v>
      </c>
      <c r="F142" s="478" t="s">
        <v>90</v>
      </c>
      <c r="G142" s="29"/>
      <c r="H142" s="29"/>
      <c r="I142" s="41"/>
      <c r="K142" s="178"/>
      <c r="L142" s="179" t="s">
        <v>523</v>
      </c>
      <c r="BQ142" s="338"/>
    </row>
    <row r="143" ht="15.75" customHeight="1">
      <c r="A143" s="94"/>
      <c r="B143" s="95"/>
      <c r="C143" s="103"/>
      <c r="D143" s="189">
        <f>COUNTIF(BQ30:BQ69,"ABAIXO DO BÁSICO")</f>
        <v>13</v>
      </c>
      <c r="E143" s="479">
        <f>SUM(D143/C17*100)</f>
        <v>59.09090909</v>
      </c>
      <c r="F143" s="426" t="s">
        <v>91</v>
      </c>
      <c r="G143" s="480"/>
      <c r="H143" s="480"/>
      <c r="I143" s="481"/>
      <c r="K143" s="178"/>
      <c r="L143" s="179" t="s">
        <v>524</v>
      </c>
      <c r="BQ143" s="338"/>
    </row>
    <row r="144" ht="15.75" customHeight="1">
      <c r="A144" s="94"/>
      <c r="B144" s="95"/>
      <c r="C144" s="103"/>
      <c r="D144" s="189">
        <f>COUNTIF(BQ30:BQ69,"BÁSICO")</f>
        <v>9</v>
      </c>
      <c r="E144" s="479">
        <f>SUM(D144/C17*100)</f>
        <v>40.90909091</v>
      </c>
      <c r="F144" s="429" t="s">
        <v>92</v>
      </c>
      <c r="G144" s="480"/>
      <c r="H144" s="480"/>
      <c r="I144" s="481"/>
      <c r="K144" s="178"/>
      <c r="BQ144" s="338"/>
    </row>
    <row r="145" ht="15.75" customHeight="1">
      <c r="A145" s="94"/>
      <c r="B145" s="95"/>
      <c r="C145" s="103"/>
      <c r="D145" s="189">
        <f>COUNTIF(BQ30:BQ69,"ADEQUADO")</f>
        <v>0</v>
      </c>
      <c r="E145" s="479">
        <f>SUM(D145/C17*100)</f>
        <v>0</v>
      </c>
      <c r="F145" s="430" t="s">
        <v>94</v>
      </c>
      <c r="G145" s="480"/>
      <c r="H145" s="480"/>
      <c r="I145" s="481"/>
      <c r="K145" s="178"/>
      <c r="BQ145" s="338"/>
    </row>
    <row r="146" ht="15.75" customHeight="1">
      <c r="A146" s="84"/>
      <c r="B146" s="85"/>
      <c r="C146" s="146"/>
      <c r="D146" s="189">
        <f>COUNTIF(BQ30:BQ69,"AVANÇADO")</f>
        <v>0</v>
      </c>
      <c r="E146" s="479">
        <f>SUM(D146/C17*100)</f>
        <v>0</v>
      </c>
      <c r="F146" s="431" t="s">
        <v>95</v>
      </c>
      <c r="G146" s="480"/>
      <c r="H146" s="480"/>
      <c r="I146" s="481"/>
      <c r="K146" s="223"/>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224"/>
      <c r="BL146" s="224"/>
      <c r="BM146" s="224"/>
      <c r="BN146" s="224"/>
      <c r="BO146" s="224"/>
      <c r="BP146" s="224"/>
      <c r="BQ146" s="340"/>
    </row>
    <row r="147" ht="15.75" customHeight="1"/>
    <row r="148" ht="15.75" customHeight="1"/>
    <row r="149" ht="15.75" customHeight="1"/>
    <row r="150" ht="15.75" customHeight="1"/>
    <row r="151" ht="15.75" customHeight="1"/>
    <row r="152" ht="15.75" customHeight="1"/>
    <row r="153" ht="15.75" customHeight="1"/>
    <row r="154" ht="15.75" customHeight="1">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24"/>
      <c r="AO154" s="224"/>
      <c r="AP154" s="224"/>
      <c r="AQ154" s="224"/>
      <c r="AR154" s="224"/>
      <c r="AS154" s="224"/>
      <c r="AT154" s="224"/>
      <c r="AU154" s="224"/>
      <c r="AV154" s="224"/>
      <c r="AW154" s="224"/>
      <c r="AX154" s="224"/>
      <c r="AY154" s="224"/>
      <c r="AZ154" s="224"/>
      <c r="BA154" s="224"/>
      <c r="BB154" s="224"/>
      <c r="BC154" s="224"/>
      <c r="BD154" s="224"/>
      <c r="BE154" s="224"/>
      <c r="BF154" s="224"/>
      <c r="BG154" s="224"/>
      <c r="BH154" s="224"/>
      <c r="BI154" s="224"/>
      <c r="BJ154" s="224"/>
      <c r="BK154" s="224"/>
      <c r="BL154" s="224"/>
      <c r="BM154" s="224"/>
      <c r="BN154" s="224"/>
      <c r="BO154" s="224"/>
      <c r="BP154" s="224"/>
      <c r="BQ154" s="224"/>
    </row>
    <row r="155" ht="15.75" customHeight="1"/>
    <row r="156" ht="15.75" customHeight="1">
      <c r="BH156" s="226" t="s">
        <v>107</v>
      </c>
    </row>
    <row r="157" ht="15.75" customHeight="1">
      <c r="AL157" s="227"/>
      <c r="AM157" s="227"/>
      <c r="AN157" s="227"/>
      <c r="AO157" s="227"/>
      <c r="AP157" s="227"/>
      <c r="AQ157" s="227"/>
      <c r="AR157" s="227"/>
      <c r="AS157" s="227"/>
      <c r="AT157" s="227"/>
      <c r="AU157" s="227"/>
      <c r="AV157" s="227"/>
      <c r="AW157" s="227"/>
      <c r="AX157" s="227"/>
      <c r="BH157" s="227" t="s">
        <v>108</v>
      </c>
    </row>
    <row r="158" ht="15.75" customHeight="1"/>
  </sheetData>
  <mergeCells count="62">
    <mergeCell ref="D25:BJ25"/>
    <mergeCell ref="D26:AB26"/>
    <mergeCell ref="AC26:BB26"/>
    <mergeCell ref="BD26:BJ26"/>
    <mergeCell ref="BO27:BO29"/>
    <mergeCell ref="BP27:BP29"/>
    <mergeCell ref="A19:B19"/>
    <mergeCell ref="A20:B20"/>
    <mergeCell ref="A22:C22"/>
    <mergeCell ref="BL25:BQ25"/>
    <mergeCell ref="A26:A29"/>
    <mergeCell ref="B26:B29"/>
    <mergeCell ref="C26:C29"/>
    <mergeCell ref="BQ27:BQ29"/>
    <mergeCell ref="BD27:BD29"/>
    <mergeCell ref="BE27:BE29"/>
    <mergeCell ref="A70:C70"/>
    <mergeCell ref="D72:AJ72"/>
    <mergeCell ref="AL72:AU73"/>
    <mergeCell ref="D73:E74"/>
    <mergeCell ref="F73:F74"/>
    <mergeCell ref="G73:G74"/>
    <mergeCell ref="H73:AJ74"/>
    <mergeCell ref="D75:D99"/>
    <mergeCell ref="AL75:AL99"/>
    <mergeCell ref="D100:D125"/>
    <mergeCell ref="AL100:AL125"/>
    <mergeCell ref="F128:I128"/>
    <mergeCell ref="L130:T130"/>
    <mergeCell ref="L132:BI132"/>
    <mergeCell ref="L133:BI133"/>
    <mergeCell ref="L134:BI134"/>
    <mergeCell ref="F135:I135"/>
    <mergeCell ref="L135:BI135"/>
    <mergeCell ref="L136:BI136"/>
    <mergeCell ref="L137:BI137"/>
    <mergeCell ref="L138:BI138"/>
    <mergeCell ref="L139:BI139"/>
    <mergeCell ref="L140:BI140"/>
    <mergeCell ref="L141:BI141"/>
    <mergeCell ref="F142:I142"/>
    <mergeCell ref="L142:BI142"/>
    <mergeCell ref="D6:BE8"/>
    <mergeCell ref="D9:BE10"/>
    <mergeCell ref="D12:BE12"/>
    <mergeCell ref="A15:C15"/>
    <mergeCell ref="A16:C16"/>
    <mergeCell ref="A17:B17"/>
    <mergeCell ref="A18:B18"/>
    <mergeCell ref="BL26:BN26"/>
    <mergeCell ref="BO26:BQ26"/>
    <mergeCell ref="BF27:BF29"/>
    <mergeCell ref="BG27:BG29"/>
    <mergeCell ref="BH27:BH29"/>
    <mergeCell ref="BI27:BI29"/>
    <mergeCell ref="BJ27:BJ29"/>
    <mergeCell ref="BL27:BL29"/>
    <mergeCell ref="BM27:BM29"/>
    <mergeCell ref="BN27:BN29"/>
    <mergeCell ref="L143:BI143"/>
    <mergeCell ref="L144:BI144"/>
    <mergeCell ref="L145:BI145"/>
  </mergeCells>
  <conditionalFormatting sqref="C30:C69">
    <cfRule type="containsText" dxfId="6" priority="1" operator="containsText" text="NÃO">
      <formula>NOT(ISERROR(SEARCH(("NÃO"),(C30))))</formula>
    </cfRule>
  </conditionalFormatting>
  <conditionalFormatting sqref="C30:C69">
    <cfRule type="containsText" dxfId="0" priority="2" operator="containsText" text="NÃO">
      <formula>NOT(ISERROR(SEARCH(("NÃO"),(C30))))</formula>
    </cfRule>
  </conditionalFormatting>
  <conditionalFormatting sqref="C30:C69">
    <cfRule type="containsText" dxfId="1" priority="3" operator="containsText" text="SIM">
      <formula>NOT(ISERROR(SEARCH(("SIM"),(C30))))</formula>
    </cfRule>
  </conditionalFormatting>
  <conditionalFormatting sqref="BD30:BD69 BG30:BH69 BE31:BF69">
    <cfRule type="containsText" dxfId="6" priority="4" operator="containsText" text="F">
      <formula>NOT(ISERROR(SEARCH(("F"),(BD30))))</formula>
    </cfRule>
  </conditionalFormatting>
  <conditionalFormatting sqref="D30:BB69">
    <cfRule type="containsText" dxfId="6" priority="5" operator="containsText" text="F">
      <formula>NOT(ISERROR(SEARCH(("F"),(D30))))</formula>
    </cfRule>
  </conditionalFormatting>
  <conditionalFormatting sqref="BD30:BD69">
    <cfRule type="containsText" dxfId="4" priority="6" operator="containsText" text="A">
      <formula>NOT(ISERROR(SEARCH(("A"),(BD30))))</formula>
    </cfRule>
  </conditionalFormatting>
  <conditionalFormatting sqref="BD30:BD69">
    <cfRule type="containsText" dxfId="5" priority="7" operator="containsText" text="B">
      <formula>NOT(ISERROR(SEARCH(("B"),(BD30))))</formula>
    </cfRule>
  </conditionalFormatting>
  <conditionalFormatting sqref="BD30:BD69">
    <cfRule type="containsText" dxfId="5" priority="8" operator="containsText" text="C">
      <formula>NOT(ISERROR(SEARCH(("C"),(BD30))))</formula>
    </cfRule>
  </conditionalFormatting>
  <conditionalFormatting sqref="BD30:BD69">
    <cfRule type="containsText" dxfId="5" priority="9" operator="containsText" text="X">
      <formula>NOT(ISERROR(SEARCH(("X"),(BD30))))</formula>
    </cfRule>
  </conditionalFormatting>
  <conditionalFormatting sqref="BI30:BI69">
    <cfRule type="containsText" dxfId="6" priority="10" operator="containsText" text="F">
      <formula>NOT(ISERROR(SEARCH(("F"),(BI30))))</formula>
    </cfRule>
  </conditionalFormatting>
  <conditionalFormatting sqref="BJ30:BJ69 BN30:BN69 BQ30:BQ69">
    <cfRule type="containsText" dxfId="17" priority="11" operator="containsText" text="Abaixo do Básico">
      <formula>NOT(ISERROR(SEARCH(("Abaixo do Básico"),(BJ30))))</formula>
    </cfRule>
  </conditionalFormatting>
  <conditionalFormatting sqref="BJ30:BJ69 BN30:BN69 BQ30:BQ69">
    <cfRule type="containsText" dxfId="18" priority="12" operator="containsText" text="Básico">
      <formula>NOT(ISERROR(SEARCH(("Básico"),(BJ30))))</formula>
    </cfRule>
  </conditionalFormatting>
  <conditionalFormatting sqref="BJ30:BJ69 BN30:BN69 BQ30:BQ69">
    <cfRule type="containsText" dxfId="19" priority="13" operator="containsText" text="Adequado">
      <formula>NOT(ISERROR(SEARCH(("Adequado"),(BJ30))))</formula>
    </cfRule>
  </conditionalFormatting>
  <conditionalFormatting sqref="BJ30:BJ69 BN30:BN69 BQ30:BQ69">
    <cfRule type="containsText" dxfId="16" priority="14" operator="containsText" text="Avançado">
      <formula>NOT(ISERROR(SEARCH(("Avançado"),(BJ30))))</formula>
    </cfRule>
  </conditionalFormatting>
  <conditionalFormatting sqref="A30:BB70">
    <cfRule type="containsBlanks" dxfId="6" priority="15">
      <formula>LEN(TRIM(A30))=0</formula>
    </cfRule>
  </conditionalFormatting>
  <conditionalFormatting sqref="B30:B69 BL30:BQ69">
    <cfRule type="containsBlanks" dxfId="6" priority="16">
      <formula>LEN(TRIM(B30))=0</formula>
    </cfRule>
  </conditionalFormatting>
  <conditionalFormatting sqref="D30:BB69">
    <cfRule type="containsText" dxfId="5" priority="17" operator="containsText" text="X">
      <formula>NOT(ISERROR(SEARCH(("X"),(D30))))</formula>
    </cfRule>
  </conditionalFormatting>
  <conditionalFormatting sqref="F30:F69">
    <cfRule type="containsText" dxfId="5" priority="18" operator="containsText" text="A">
      <formula>NOT(ISERROR(SEARCH(("A"),(F30))))</formula>
    </cfRule>
  </conditionalFormatting>
  <conditionalFormatting sqref="F30:F69">
    <cfRule type="containsText" dxfId="5" priority="19" operator="containsText" text="B">
      <formula>NOT(ISERROR(SEARCH(("B"),(F30))))</formula>
    </cfRule>
  </conditionalFormatting>
  <conditionalFormatting sqref="F30:F69">
    <cfRule type="containsText" dxfId="12" priority="20" operator="containsText" text="C">
      <formula>NOT(ISERROR(SEARCH(("C"),(F30))))</formula>
    </cfRule>
  </conditionalFormatting>
  <conditionalFormatting sqref="F30:F69">
    <cfRule type="containsText" dxfId="5" priority="21" operator="containsText" text="D">
      <formula>NOT(ISERROR(SEARCH(("D"),(F30))))</formula>
    </cfRule>
  </conditionalFormatting>
  <conditionalFormatting sqref="G30:G69">
    <cfRule type="containsText" dxfId="5" priority="22" operator="containsText" text="A">
      <formula>NOT(ISERROR(SEARCH(("A"),(G30))))</formula>
    </cfRule>
  </conditionalFormatting>
  <conditionalFormatting sqref="G30:G69">
    <cfRule type="containsText" dxfId="4" priority="23" operator="containsText" text="B">
      <formula>NOT(ISERROR(SEARCH(("B"),(G30))))</formula>
    </cfRule>
  </conditionalFormatting>
  <conditionalFormatting sqref="G30:G69">
    <cfRule type="containsText" dxfId="5" priority="24" operator="containsText" text="C">
      <formula>NOT(ISERROR(SEARCH(("C"),(G30))))</formula>
    </cfRule>
  </conditionalFormatting>
  <conditionalFormatting sqref="G30:G69">
    <cfRule type="containsText" dxfId="5" priority="25" operator="containsText" text="D">
      <formula>NOT(ISERROR(SEARCH(("D"),(G30))))</formula>
    </cfRule>
  </conditionalFormatting>
  <conditionalFormatting sqref="H30:H69">
    <cfRule type="containsText" dxfId="5" priority="26" operator="containsText" text="A">
      <formula>NOT(ISERROR(SEARCH(("A"),(H30))))</formula>
    </cfRule>
  </conditionalFormatting>
  <conditionalFormatting sqref="H30:H69">
    <cfRule type="containsText" dxfId="5" priority="27" operator="containsText" text="B">
      <formula>NOT(ISERROR(SEARCH(("B"),(H30))))</formula>
    </cfRule>
  </conditionalFormatting>
  <conditionalFormatting sqref="H30:H69">
    <cfRule type="containsText" dxfId="5" priority="28" operator="containsText" text="C">
      <formula>NOT(ISERROR(SEARCH(("C"),(H30))))</formula>
    </cfRule>
  </conditionalFormatting>
  <conditionalFormatting sqref="H30:H69">
    <cfRule type="containsText" dxfId="4" priority="29" operator="containsText" text="D">
      <formula>NOT(ISERROR(SEARCH(("D"),(H30))))</formula>
    </cfRule>
  </conditionalFormatting>
  <conditionalFormatting sqref="I30:I69">
    <cfRule type="containsText" dxfId="5" priority="30" operator="containsText" text="A">
      <formula>NOT(ISERROR(SEARCH(("A"),(I30))))</formula>
    </cfRule>
  </conditionalFormatting>
  <conditionalFormatting sqref="I30:I69">
    <cfRule type="containsText" dxfId="4" priority="31" operator="containsText" text="B">
      <formula>NOT(ISERROR(SEARCH(("B"),(I30))))</formula>
    </cfRule>
  </conditionalFormatting>
  <conditionalFormatting sqref="I30:I69">
    <cfRule type="containsText" dxfId="5" priority="32" operator="containsText" text="C">
      <formula>NOT(ISERROR(SEARCH(("C"),(I30))))</formula>
    </cfRule>
  </conditionalFormatting>
  <conditionalFormatting sqref="I30:I69">
    <cfRule type="containsText" dxfId="5" priority="33" operator="containsText" text="D">
      <formula>NOT(ISERROR(SEARCH(("D"),(I30))))</formula>
    </cfRule>
  </conditionalFormatting>
  <conditionalFormatting sqref="J30:J69">
    <cfRule type="containsText" dxfId="5" priority="34" operator="containsText" text="A">
      <formula>NOT(ISERROR(SEARCH(("A"),(J30))))</formula>
    </cfRule>
  </conditionalFormatting>
  <conditionalFormatting sqref="J30:J69">
    <cfRule type="containsText" dxfId="5" priority="35" operator="containsText" text="B">
      <formula>NOT(ISERROR(SEARCH(("B"),(J30))))</formula>
    </cfRule>
  </conditionalFormatting>
  <conditionalFormatting sqref="J30:J69">
    <cfRule type="containsText" dxfId="4" priority="36" operator="containsText" text="C">
      <formula>NOT(ISERROR(SEARCH(("C"),(J30))))</formula>
    </cfRule>
  </conditionalFormatting>
  <conditionalFormatting sqref="J30:J69">
    <cfRule type="containsText" dxfId="5" priority="37" operator="containsText" text="D">
      <formula>NOT(ISERROR(SEARCH(("D"),(J30))))</formula>
    </cfRule>
  </conditionalFormatting>
  <conditionalFormatting sqref="L30:L69">
    <cfRule type="containsText" dxfId="5" priority="38" operator="containsText" text="A">
      <formula>NOT(ISERROR(SEARCH(("A"),(L30))))</formula>
    </cfRule>
  </conditionalFormatting>
  <conditionalFormatting sqref="L30:L69">
    <cfRule type="beginsWith" dxfId="5" priority="39" operator="beginsWith" text="B">
      <formula>LEFT((L30),LEN("B"))=("B")</formula>
    </cfRule>
  </conditionalFormatting>
  <conditionalFormatting sqref="L30:L69">
    <cfRule type="containsText" dxfId="5" priority="40" operator="containsText" text="C">
      <formula>NOT(ISERROR(SEARCH(("C"),(L30))))</formula>
    </cfRule>
  </conditionalFormatting>
  <conditionalFormatting sqref="L30:L69">
    <cfRule type="containsText" dxfId="4" priority="41" operator="containsText" text="D">
      <formula>NOT(ISERROR(SEARCH(("D"),(L30))))</formula>
    </cfRule>
  </conditionalFormatting>
  <conditionalFormatting sqref="M30:M69">
    <cfRule type="containsText" dxfId="5" priority="42" operator="containsText" text="A">
      <formula>NOT(ISERROR(SEARCH(("A"),(M30))))</formula>
    </cfRule>
  </conditionalFormatting>
  <conditionalFormatting sqref="M30:M69">
    <cfRule type="containsText" dxfId="4" priority="43" operator="containsText" text="B">
      <formula>NOT(ISERROR(SEARCH(("B"),(M30))))</formula>
    </cfRule>
  </conditionalFormatting>
  <conditionalFormatting sqref="M30:M69">
    <cfRule type="containsText" dxfId="5" priority="44" operator="containsText" text="C">
      <formula>NOT(ISERROR(SEARCH(("C"),(M30))))</formula>
    </cfRule>
  </conditionalFormatting>
  <conditionalFormatting sqref="M30:M69">
    <cfRule type="containsText" dxfId="5" priority="45" operator="containsText" text="D">
      <formula>NOT(ISERROR(SEARCH(("D"),(M30))))</formula>
    </cfRule>
  </conditionalFormatting>
  <conditionalFormatting sqref="N30:N69">
    <cfRule type="containsText" dxfId="4" priority="46" operator="containsText" text="A">
      <formula>NOT(ISERROR(SEARCH(("A"),(N30))))</formula>
    </cfRule>
  </conditionalFormatting>
  <conditionalFormatting sqref="N30:N69">
    <cfRule type="containsText" dxfId="5" priority="47" operator="containsText" text="B">
      <formula>NOT(ISERROR(SEARCH(("B"),(N30))))</formula>
    </cfRule>
  </conditionalFormatting>
  <conditionalFormatting sqref="N30:N69">
    <cfRule type="containsText" dxfId="5" priority="48" operator="containsText" text="C">
      <formula>NOT(ISERROR(SEARCH(("C"),(N30))))</formula>
    </cfRule>
  </conditionalFormatting>
  <conditionalFormatting sqref="N30:N69">
    <cfRule type="containsText" dxfId="5" priority="49" operator="containsText" text="D">
      <formula>NOT(ISERROR(SEARCH(("D"),(N30))))</formula>
    </cfRule>
  </conditionalFormatting>
  <conditionalFormatting sqref="O30:O69">
    <cfRule type="containsText" dxfId="5" priority="50" operator="containsText" text="A">
      <formula>NOT(ISERROR(SEARCH(("A"),(O30))))</formula>
    </cfRule>
  </conditionalFormatting>
  <conditionalFormatting sqref="O30:O69">
    <cfRule type="containsText" dxfId="4" priority="51" operator="containsText" text="B">
      <formula>NOT(ISERROR(SEARCH(("B"),(O30))))</formula>
    </cfRule>
  </conditionalFormatting>
  <conditionalFormatting sqref="O30:O69">
    <cfRule type="containsText" dxfId="5" priority="52" operator="containsText" text="C">
      <formula>NOT(ISERROR(SEARCH(("C"),(O30))))</formula>
    </cfRule>
  </conditionalFormatting>
  <conditionalFormatting sqref="O30:O69">
    <cfRule type="containsText" dxfId="5" priority="53" operator="containsText" text="D">
      <formula>NOT(ISERROR(SEARCH(("D"),(O30))))</formula>
    </cfRule>
  </conditionalFormatting>
  <conditionalFormatting sqref="P30:P69">
    <cfRule type="containsText" dxfId="5" priority="54" operator="containsText" text="A">
      <formula>NOT(ISERROR(SEARCH(("A"),(P30))))</formula>
    </cfRule>
  </conditionalFormatting>
  <conditionalFormatting sqref="P30:P69">
    <cfRule type="containsText" dxfId="4" priority="55" operator="containsText" text="B">
      <formula>NOT(ISERROR(SEARCH(("B"),(P30))))</formula>
    </cfRule>
  </conditionalFormatting>
  <conditionalFormatting sqref="P30:P69">
    <cfRule type="containsText" dxfId="5" priority="56" operator="containsText" text="C">
      <formula>NOT(ISERROR(SEARCH(("C"),(P30))))</formula>
    </cfRule>
  </conditionalFormatting>
  <conditionalFormatting sqref="P30:P69">
    <cfRule type="containsText" dxfId="5" priority="57" operator="containsText" text="D">
      <formula>NOT(ISERROR(SEARCH(("D"),(P30))))</formula>
    </cfRule>
  </conditionalFormatting>
  <conditionalFormatting sqref="Q30:Q69">
    <cfRule type="containsText" dxfId="4" priority="58" operator="containsText" text="A">
      <formula>NOT(ISERROR(SEARCH(("A"),(Q30))))</formula>
    </cfRule>
  </conditionalFormatting>
  <conditionalFormatting sqref="Q30:Q69">
    <cfRule type="containsText" dxfId="5" priority="59" operator="containsText" text="B">
      <formula>NOT(ISERROR(SEARCH(("B"),(Q30))))</formula>
    </cfRule>
  </conditionalFormatting>
  <conditionalFormatting sqref="Q30:Q69">
    <cfRule type="containsText" dxfId="5" priority="60" operator="containsText" text="C">
      <formula>NOT(ISERROR(SEARCH(("C"),(Q30))))</formula>
    </cfRule>
  </conditionalFormatting>
  <conditionalFormatting sqref="Q30:Q69">
    <cfRule type="containsText" dxfId="5" priority="61" operator="containsText" text="D">
      <formula>NOT(ISERROR(SEARCH(("D"),(Q30))))</formula>
    </cfRule>
  </conditionalFormatting>
  <conditionalFormatting sqref="R30:R69">
    <cfRule type="containsText" dxfId="4" priority="62" operator="containsText" text="A">
      <formula>NOT(ISERROR(SEARCH(("A"),(R30))))</formula>
    </cfRule>
  </conditionalFormatting>
  <conditionalFormatting sqref="R30:R69">
    <cfRule type="containsText" dxfId="5" priority="63" operator="containsText" text="B">
      <formula>NOT(ISERROR(SEARCH(("B"),(R30))))</formula>
    </cfRule>
  </conditionalFormatting>
  <conditionalFormatting sqref="R30:R69">
    <cfRule type="containsText" dxfId="5" priority="64" operator="containsText" text="C">
      <formula>NOT(ISERROR(SEARCH(("C"),(R30))))</formula>
    </cfRule>
  </conditionalFormatting>
  <conditionalFormatting sqref="R30:R69">
    <cfRule type="containsText" dxfId="5" priority="65" operator="containsText" text="D">
      <formula>NOT(ISERROR(SEARCH(("D"),(R30))))</formula>
    </cfRule>
  </conditionalFormatting>
  <conditionalFormatting sqref="S30:S69">
    <cfRule type="containsText" dxfId="5" priority="66" operator="containsText" text="A">
      <formula>NOT(ISERROR(SEARCH(("A"),(S30))))</formula>
    </cfRule>
  </conditionalFormatting>
  <conditionalFormatting sqref="S30:S69">
    <cfRule type="containsText" dxfId="5" priority="67" operator="containsText" text="B">
      <formula>NOT(ISERROR(SEARCH(("B"),(S30))))</formula>
    </cfRule>
  </conditionalFormatting>
  <conditionalFormatting sqref="S30:S69">
    <cfRule type="containsText" dxfId="4" priority="68" operator="containsText" text="C">
      <formula>NOT(ISERROR(SEARCH(("C"),(S30))))</formula>
    </cfRule>
  </conditionalFormatting>
  <conditionalFormatting sqref="S30:S69">
    <cfRule type="containsText" dxfId="5" priority="69" operator="containsText" text="D">
      <formula>NOT(ISERROR(SEARCH(("D"),(S30))))</formula>
    </cfRule>
  </conditionalFormatting>
  <conditionalFormatting sqref="T30:T69">
    <cfRule type="containsText" dxfId="5" priority="70" operator="containsText" text="A">
      <formula>NOT(ISERROR(SEARCH(("A"),(T30))))</formula>
    </cfRule>
  </conditionalFormatting>
  <conditionalFormatting sqref="T30:T69">
    <cfRule type="containsText" dxfId="4" priority="71" operator="containsText" text="B">
      <formula>NOT(ISERROR(SEARCH(("B"),(T30))))</formula>
    </cfRule>
  </conditionalFormatting>
  <conditionalFormatting sqref="T30:T69">
    <cfRule type="containsText" dxfId="5" priority="72" operator="containsText" text="C">
      <formula>NOT(ISERROR(SEARCH(("C"),(T30))))</formula>
    </cfRule>
  </conditionalFormatting>
  <conditionalFormatting sqref="T30:T69">
    <cfRule type="containsText" dxfId="5" priority="73" operator="containsText" text="D">
      <formula>NOT(ISERROR(SEARCH(("D"),(T30))))</formula>
    </cfRule>
  </conditionalFormatting>
  <conditionalFormatting sqref="U30:U69">
    <cfRule type="containsText" dxfId="4" priority="74" operator="containsText" text="A">
      <formula>NOT(ISERROR(SEARCH(("A"),(U30))))</formula>
    </cfRule>
  </conditionalFormatting>
  <conditionalFormatting sqref="U30:U69">
    <cfRule type="containsText" dxfId="5" priority="75" operator="containsText" text="B">
      <formula>NOT(ISERROR(SEARCH(("B"),(U30))))</formula>
    </cfRule>
  </conditionalFormatting>
  <conditionalFormatting sqref="U30:U69">
    <cfRule type="containsText" dxfId="5" priority="76" operator="containsText" text="C">
      <formula>NOT(ISERROR(SEARCH(("C"),(U30))))</formula>
    </cfRule>
  </conditionalFormatting>
  <conditionalFormatting sqref="U30:U69">
    <cfRule type="containsText" dxfId="5" priority="77" operator="containsText" text="D">
      <formula>NOT(ISERROR(SEARCH(("D"),(U30))))</formula>
    </cfRule>
  </conditionalFormatting>
  <conditionalFormatting sqref="V30:V69">
    <cfRule type="containsText" dxfId="5" priority="78" operator="containsText" text="A">
      <formula>NOT(ISERROR(SEARCH(("A"),(V30))))</formula>
    </cfRule>
  </conditionalFormatting>
  <conditionalFormatting sqref="V30:V69">
    <cfRule type="containsText" dxfId="4" priority="79" operator="containsText" text="B">
      <formula>NOT(ISERROR(SEARCH(("B"),(V30))))</formula>
    </cfRule>
  </conditionalFormatting>
  <conditionalFormatting sqref="V30:V69">
    <cfRule type="containsText" dxfId="5" priority="80" operator="containsText" text="C">
      <formula>NOT(ISERROR(SEARCH(("C"),(V30))))</formula>
    </cfRule>
  </conditionalFormatting>
  <conditionalFormatting sqref="V30:V69">
    <cfRule type="containsText" dxfId="5" priority="81" operator="containsText" text="D">
      <formula>NOT(ISERROR(SEARCH(("D"),(V30))))</formula>
    </cfRule>
  </conditionalFormatting>
  <conditionalFormatting sqref="W30:W69">
    <cfRule type="containsText" dxfId="5" priority="82" operator="containsText" text="A">
      <formula>NOT(ISERROR(SEARCH(("A"),(W30))))</formula>
    </cfRule>
  </conditionalFormatting>
  <conditionalFormatting sqref="W30:W69">
    <cfRule type="containsText" dxfId="5" priority="83" operator="containsText" text="B">
      <formula>NOT(ISERROR(SEARCH(("B"),(W30))))</formula>
    </cfRule>
  </conditionalFormatting>
  <conditionalFormatting sqref="W30:W69">
    <cfRule type="containsText" dxfId="4" priority="84" operator="containsText" text="C">
      <formula>NOT(ISERROR(SEARCH(("C"),(W30))))</formula>
    </cfRule>
  </conditionalFormatting>
  <conditionalFormatting sqref="W30:W69">
    <cfRule type="containsText" dxfId="5" priority="85" operator="containsText" text="D">
      <formula>NOT(ISERROR(SEARCH(("D"),(W30))))</formula>
    </cfRule>
  </conditionalFormatting>
  <conditionalFormatting sqref="X30:X69">
    <cfRule type="containsText" dxfId="4" priority="86" operator="containsText" text="A">
      <formula>NOT(ISERROR(SEARCH(("A"),(X30))))</formula>
    </cfRule>
  </conditionalFormatting>
  <conditionalFormatting sqref="X30:X69">
    <cfRule type="containsText" dxfId="5" priority="87" operator="containsText" text="B">
      <formula>NOT(ISERROR(SEARCH(("B"),(X30))))</formula>
    </cfRule>
  </conditionalFormatting>
  <conditionalFormatting sqref="X30:X69">
    <cfRule type="containsText" dxfId="5" priority="88" operator="containsText" text="C">
      <formula>NOT(ISERROR(SEARCH(("C"),(X30))))</formula>
    </cfRule>
  </conditionalFormatting>
  <conditionalFormatting sqref="X30:X69">
    <cfRule type="containsText" dxfId="5" priority="89" operator="containsText" text="D">
      <formula>NOT(ISERROR(SEARCH(("D"),(X30))))</formula>
    </cfRule>
  </conditionalFormatting>
  <conditionalFormatting sqref="Y30:Y69">
    <cfRule type="containsText" dxfId="4" priority="90" operator="containsText" text="A">
      <formula>NOT(ISERROR(SEARCH(("A"),(Y30))))</formula>
    </cfRule>
  </conditionalFormatting>
  <conditionalFormatting sqref="Y30:Y69">
    <cfRule type="containsText" dxfId="5" priority="91" operator="containsText" text="B">
      <formula>NOT(ISERROR(SEARCH(("B"),(Y30))))</formula>
    </cfRule>
  </conditionalFormatting>
  <conditionalFormatting sqref="Y30:Y69">
    <cfRule type="containsText" dxfId="5" priority="92" operator="containsText" text="C">
      <formula>NOT(ISERROR(SEARCH(("C"),(Y30))))</formula>
    </cfRule>
  </conditionalFormatting>
  <conditionalFormatting sqref="Y30:Y69">
    <cfRule type="containsText" dxfId="5" priority="93" operator="containsText" text="D">
      <formula>NOT(ISERROR(SEARCH(("D"),(Y30))))</formula>
    </cfRule>
  </conditionalFormatting>
  <conditionalFormatting sqref="Z30:Z69">
    <cfRule type="containsText" dxfId="5" priority="94" operator="containsText" text="A">
      <formula>NOT(ISERROR(SEARCH(("A"),(Z30))))</formula>
    </cfRule>
  </conditionalFormatting>
  <conditionalFormatting sqref="Z30:Z69">
    <cfRule type="containsText" dxfId="4" priority="95" operator="containsText" text="B">
      <formula>NOT(ISERROR(SEARCH(("B"),(Z30))))</formula>
    </cfRule>
  </conditionalFormatting>
  <conditionalFormatting sqref="Z30:Z69">
    <cfRule type="containsText" dxfId="5" priority="96" operator="containsText" text="C">
      <formula>NOT(ISERROR(SEARCH(("C"),(Z30))))</formula>
    </cfRule>
  </conditionalFormatting>
  <conditionalFormatting sqref="Z30:Z69">
    <cfRule type="containsText" dxfId="5" priority="97" operator="containsText" text="D">
      <formula>NOT(ISERROR(SEARCH(("D"),(Z30))))</formula>
    </cfRule>
  </conditionalFormatting>
  <conditionalFormatting sqref="AA30:AA69">
    <cfRule type="containsText" dxfId="5" priority="98" operator="containsText" text="A">
      <formula>NOT(ISERROR(SEARCH(("A"),(AA30))))</formula>
    </cfRule>
  </conditionalFormatting>
  <conditionalFormatting sqref="AA30:AA69">
    <cfRule type="containsText" dxfId="4" priority="99" operator="containsText" text="B">
      <formula>NOT(ISERROR(SEARCH(("B"),(AA30))))</formula>
    </cfRule>
  </conditionalFormatting>
  <conditionalFormatting sqref="AA30:AA69">
    <cfRule type="containsText" dxfId="5" priority="100" operator="containsText" text="C">
      <formula>NOT(ISERROR(SEARCH(("C"),(AA30))))</formula>
    </cfRule>
  </conditionalFormatting>
  <conditionalFormatting sqref="AA30:AA69">
    <cfRule type="containsText" dxfId="5" priority="101" operator="containsText" text="D">
      <formula>NOT(ISERROR(SEARCH(("D"),(AA30))))</formula>
    </cfRule>
  </conditionalFormatting>
  <conditionalFormatting sqref="AB30:AB69">
    <cfRule type="containsText" dxfId="5" priority="102" operator="containsText" text="A">
      <formula>NOT(ISERROR(SEARCH(("A"),(AB30))))</formula>
    </cfRule>
  </conditionalFormatting>
  <conditionalFormatting sqref="AB30:AB69">
    <cfRule type="containsText" dxfId="4" priority="103" operator="containsText" text="B">
      <formula>NOT(ISERROR(SEARCH(("B"),(AB30))))</formula>
    </cfRule>
  </conditionalFormatting>
  <conditionalFormatting sqref="AB30:AB69">
    <cfRule type="containsText" dxfId="5" priority="104" operator="containsText" text="C">
      <formula>NOT(ISERROR(SEARCH(("C"),(AB30))))</formula>
    </cfRule>
  </conditionalFormatting>
  <conditionalFormatting sqref="AB30:AB69">
    <cfRule type="containsText" dxfId="5" priority="105" operator="containsText" text="D">
      <formula>NOT(ISERROR(SEARCH(("D"),(AB30))))</formula>
    </cfRule>
  </conditionalFormatting>
  <conditionalFormatting sqref="AC30:AC69">
    <cfRule type="containsText" dxfId="5" priority="106" operator="containsText" text="A">
      <formula>NOT(ISERROR(SEARCH(("A"),(AC30))))</formula>
    </cfRule>
  </conditionalFormatting>
  <conditionalFormatting sqref="AC30:AC69">
    <cfRule type="containsText" dxfId="5" priority="107" operator="containsText" text="B">
      <formula>NOT(ISERROR(SEARCH(("B"),(AC30))))</formula>
    </cfRule>
  </conditionalFormatting>
  <conditionalFormatting sqref="AC30:AC69">
    <cfRule type="containsText" dxfId="4" priority="108" operator="containsText" text="C">
      <formula>NOT(ISERROR(SEARCH(("C"),(AC30))))</formula>
    </cfRule>
  </conditionalFormatting>
  <conditionalFormatting sqref="AC30:AC69">
    <cfRule type="containsText" dxfId="5" priority="109" operator="containsText" text="D">
      <formula>NOT(ISERROR(SEARCH(("D"),(AC30))))</formula>
    </cfRule>
  </conditionalFormatting>
  <conditionalFormatting sqref="AD30:AD69">
    <cfRule type="containsText" dxfId="5" priority="110" operator="containsText" text="A">
      <formula>NOT(ISERROR(SEARCH(("A"),(AD30))))</formula>
    </cfRule>
  </conditionalFormatting>
  <conditionalFormatting sqref="AD30:AD69">
    <cfRule type="containsText" dxfId="4" priority="111" operator="containsText" text="B">
      <formula>NOT(ISERROR(SEARCH(("B"),(AD30))))</formula>
    </cfRule>
  </conditionalFormatting>
  <conditionalFormatting sqref="AD30:AD69">
    <cfRule type="containsText" dxfId="5" priority="112" operator="containsText" text="C">
      <formula>NOT(ISERROR(SEARCH(("C"),(AD30))))</formula>
    </cfRule>
  </conditionalFormatting>
  <conditionalFormatting sqref="AD30:AD69">
    <cfRule type="containsText" dxfId="5" priority="113" operator="containsText" text="D">
      <formula>NOT(ISERROR(SEARCH(("D"),(AD30))))</formula>
    </cfRule>
  </conditionalFormatting>
  <conditionalFormatting sqref="AE30:AE69">
    <cfRule type="containsText" dxfId="5" priority="114" operator="containsText" text="A">
      <formula>NOT(ISERROR(SEARCH(("A"),(AE30))))</formula>
    </cfRule>
  </conditionalFormatting>
  <conditionalFormatting sqref="AE30:AE69">
    <cfRule type="containsText" dxfId="4" priority="115" operator="containsText" text="B">
      <formula>NOT(ISERROR(SEARCH(("B"),(AE30))))</formula>
    </cfRule>
  </conditionalFormatting>
  <conditionalFormatting sqref="AE30:AE69">
    <cfRule type="containsText" dxfId="5" priority="116" operator="containsText" text="C">
      <formula>NOT(ISERROR(SEARCH(("C"),(AE30))))</formula>
    </cfRule>
  </conditionalFormatting>
  <conditionalFormatting sqref="AE30:AE69">
    <cfRule type="containsText" dxfId="5" priority="117" operator="containsText" text="D">
      <formula>NOT(ISERROR(SEARCH(("D"),(AE30))))</formula>
    </cfRule>
  </conditionalFormatting>
  <conditionalFormatting sqref="AF30:AF69">
    <cfRule type="containsText" dxfId="5" priority="118" operator="containsText" text="A">
      <formula>NOT(ISERROR(SEARCH(("A"),(AF30))))</formula>
    </cfRule>
  </conditionalFormatting>
  <conditionalFormatting sqref="AF30:AF69">
    <cfRule type="containsText" dxfId="5" priority="119" operator="containsText" text="B">
      <formula>NOT(ISERROR(SEARCH(("B"),(AF30))))</formula>
    </cfRule>
  </conditionalFormatting>
  <conditionalFormatting sqref="AF30:AF69">
    <cfRule type="containsText" dxfId="4" priority="120" operator="containsText" text="C">
      <formula>NOT(ISERROR(SEARCH(("C"),(AF30))))</formula>
    </cfRule>
  </conditionalFormatting>
  <conditionalFormatting sqref="AF30:AF69">
    <cfRule type="containsText" dxfId="5" priority="121" operator="containsText" text="D">
      <formula>NOT(ISERROR(SEARCH(("D"),(AF30))))</formula>
    </cfRule>
  </conditionalFormatting>
  <conditionalFormatting sqref="AG30:AG69">
    <cfRule type="containsText" dxfId="5" priority="122" operator="containsText" text="A">
      <formula>NOT(ISERROR(SEARCH(("A"),(AG30))))</formula>
    </cfRule>
  </conditionalFormatting>
  <conditionalFormatting sqref="AG30:AG69">
    <cfRule type="containsText" dxfId="5" priority="123" operator="containsText" text="B">
      <formula>NOT(ISERROR(SEARCH(("B"),(AG30))))</formula>
    </cfRule>
  </conditionalFormatting>
  <conditionalFormatting sqref="AG30:AG69">
    <cfRule type="containsText" dxfId="4" priority="124" operator="containsText" text="C">
      <formula>NOT(ISERROR(SEARCH(("C"),(AG30))))</formula>
    </cfRule>
  </conditionalFormatting>
  <conditionalFormatting sqref="AG30:AG69">
    <cfRule type="containsText" dxfId="5" priority="125" operator="containsText" text="D">
      <formula>NOT(ISERROR(SEARCH(("D"),(AG30))))</formula>
    </cfRule>
  </conditionalFormatting>
  <conditionalFormatting sqref="AH30:AH69">
    <cfRule type="containsText" dxfId="5" priority="126" operator="containsText" text="A">
      <formula>NOT(ISERROR(SEARCH(("A"),(AH30))))</formula>
    </cfRule>
  </conditionalFormatting>
  <conditionalFormatting sqref="AH30:AH69">
    <cfRule type="containsText" dxfId="5" priority="127" operator="containsText" text="B">
      <formula>NOT(ISERROR(SEARCH(("B"),(AH30))))</formula>
    </cfRule>
  </conditionalFormatting>
  <conditionalFormatting sqref="AH30:AH69">
    <cfRule type="containsText" dxfId="4" priority="128" operator="containsText" text="C">
      <formula>NOT(ISERROR(SEARCH(("C"),(AH30))))</formula>
    </cfRule>
  </conditionalFormatting>
  <conditionalFormatting sqref="AH30:AH69">
    <cfRule type="containsText" dxfId="5" priority="129" operator="containsText" text="D">
      <formula>NOT(ISERROR(SEARCH(("D"),(AH30))))</formula>
    </cfRule>
  </conditionalFormatting>
  <conditionalFormatting sqref="AI30:AI69">
    <cfRule type="containsText" dxfId="5" priority="130" operator="containsText" text="A">
      <formula>NOT(ISERROR(SEARCH(("A"),(AI30))))</formula>
    </cfRule>
  </conditionalFormatting>
  <conditionalFormatting sqref="AI30:AI69">
    <cfRule type="containsText" dxfId="5" priority="131" operator="containsText" text="B">
      <formula>NOT(ISERROR(SEARCH(("B"),(AI30))))</formula>
    </cfRule>
  </conditionalFormatting>
  <conditionalFormatting sqref="AI30:AI69">
    <cfRule type="containsText" dxfId="5" priority="132" operator="containsText" text="C">
      <formula>NOT(ISERROR(SEARCH(("C"),(AI30))))</formula>
    </cfRule>
  </conditionalFormatting>
  <conditionalFormatting sqref="AI30:AI69">
    <cfRule type="containsText" dxfId="4" priority="133" operator="containsText" text="D">
      <formula>NOT(ISERROR(SEARCH(("D"),(AI30))))</formula>
    </cfRule>
  </conditionalFormatting>
  <conditionalFormatting sqref="AJ30:AJ69">
    <cfRule type="containsText" dxfId="5" priority="134" operator="containsText" text="A">
      <formula>NOT(ISERROR(SEARCH(("A"),(AJ30))))</formula>
    </cfRule>
  </conditionalFormatting>
  <conditionalFormatting sqref="AJ30:AJ69">
    <cfRule type="containsText" dxfId="4" priority="135" operator="containsText" text="B">
      <formula>NOT(ISERROR(SEARCH(("B"),(AJ30))))</formula>
    </cfRule>
  </conditionalFormatting>
  <conditionalFormatting sqref="AJ30:AJ69">
    <cfRule type="containsText" dxfId="5" priority="136" operator="containsText" text="C">
      <formula>NOT(ISERROR(SEARCH(("C"),(AJ30))))</formula>
    </cfRule>
  </conditionalFormatting>
  <conditionalFormatting sqref="AJ30:AJ69">
    <cfRule type="containsText" dxfId="5" priority="137" operator="containsText" text="D">
      <formula>NOT(ISERROR(SEARCH(("D"),(AJ30))))</formula>
    </cfRule>
  </conditionalFormatting>
  <conditionalFormatting sqref="AK30:AK69">
    <cfRule type="containsText" dxfId="5" priority="138" operator="containsText" text="A">
      <formula>NOT(ISERROR(SEARCH(("A"),(AK30))))</formula>
    </cfRule>
  </conditionalFormatting>
  <conditionalFormatting sqref="AK30:AK69">
    <cfRule type="containsText" dxfId="5" priority="139" operator="containsText" text="B">
      <formula>NOT(ISERROR(SEARCH(("B"),(AK30))))</formula>
    </cfRule>
  </conditionalFormatting>
  <conditionalFormatting sqref="AK30:AK69">
    <cfRule type="containsText" dxfId="5" priority="140" operator="containsText" text="C">
      <formula>NOT(ISERROR(SEARCH(("C"),(AK30))))</formula>
    </cfRule>
  </conditionalFormatting>
  <conditionalFormatting sqref="AK30:AK69">
    <cfRule type="containsText" dxfId="4" priority="141" operator="containsText" text="D">
      <formula>NOT(ISERROR(SEARCH(("D"),(AK30))))</formula>
    </cfRule>
  </conditionalFormatting>
  <conditionalFormatting sqref="AL30:AL69">
    <cfRule type="containsText" dxfId="4" priority="142" operator="containsText" text="A">
      <formula>NOT(ISERROR(SEARCH(("A"),(AL30))))</formula>
    </cfRule>
  </conditionalFormatting>
  <conditionalFormatting sqref="AL30:AL69">
    <cfRule type="containsText" dxfId="5" priority="143" operator="containsText" text="B">
      <formula>NOT(ISERROR(SEARCH(("B"),(AL30))))</formula>
    </cfRule>
  </conditionalFormatting>
  <conditionalFormatting sqref="AL30:AL69">
    <cfRule type="containsText" dxfId="5" priority="144" operator="containsText" text="C">
      <formula>NOT(ISERROR(SEARCH(("C"),(AL30))))</formula>
    </cfRule>
  </conditionalFormatting>
  <conditionalFormatting sqref="AL30:AL69">
    <cfRule type="containsText" dxfId="5" priority="145" operator="containsText" text="D">
      <formula>NOT(ISERROR(SEARCH(("D"),(AL30))))</formula>
    </cfRule>
  </conditionalFormatting>
  <conditionalFormatting sqref="AM30:AM69">
    <cfRule type="containsText" dxfId="5" priority="146" operator="containsText" text="A">
      <formula>NOT(ISERROR(SEARCH(("A"),(AM30))))</formula>
    </cfRule>
  </conditionalFormatting>
  <conditionalFormatting sqref="AM30:AM69">
    <cfRule type="containsText" dxfId="5" priority="147" operator="containsText" text="B">
      <formula>NOT(ISERROR(SEARCH(("B"),(AM30))))</formula>
    </cfRule>
  </conditionalFormatting>
  <conditionalFormatting sqref="AM30:AM69">
    <cfRule type="containsText" dxfId="4" priority="148" operator="containsText" text="C">
      <formula>NOT(ISERROR(SEARCH(("C"),(AM30))))</formula>
    </cfRule>
  </conditionalFormatting>
  <conditionalFormatting sqref="AM30:AM69">
    <cfRule type="containsText" dxfId="5" priority="149" operator="containsText" text="D">
      <formula>NOT(ISERROR(SEARCH(("D"),(AM30))))</formula>
    </cfRule>
  </conditionalFormatting>
  <conditionalFormatting sqref="AN30:AN69">
    <cfRule type="containsText" dxfId="5" priority="150" operator="containsText" text="A">
      <formula>NOT(ISERROR(SEARCH(("A"),(AN30))))</formula>
    </cfRule>
  </conditionalFormatting>
  <conditionalFormatting sqref="AN30:AN69">
    <cfRule type="containsText" dxfId="4" priority="151" operator="containsText" text="B">
      <formula>NOT(ISERROR(SEARCH(("B"),(AN30))))</formula>
    </cfRule>
  </conditionalFormatting>
  <conditionalFormatting sqref="AN30:AN69">
    <cfRule type="containsText" dxfId="5" priority="152" operator="containsText" text="C">
      <formula>NOT(ISERROR(SEARCH(("C"),(AN30))))</formula>
    </cfRule>
  </conditionalFormatting>
  <conditionalFormatting sqref="AN30:AN69">
    <cfRule type="containsText" dxfId="5" priority="153" operator="containsText" text="D">
      <formula>NOT(ISERROR(SEARCH(("D"),(AN30))))</formula>
    </cfRule>
  </conditionalFormatting>
  <conditionalFormatting sqref="AO30:AO69">
    <cfRule type="containsText" dxfId="5" priority="154" operator="containsText" text="A">
      <formula>NOT(ISERROR(SEARCH(("A"),(AO30))))</formula>
    </cfRule>
  </conditionalFormatting>
  <conditionalFormatting sqref="AO30:AO69">
    <cfRule type="containsText" dxfId="5" priority="155" operator="containsText" text="B">
      <formula>NOT(ISERROR(SEARCH(("B"),(AO30))))</formula>
    </cfRule>
  </conditionalFormatting>
  <conditionalFormatting sqref="AO30:AO69">
    <cfRule type="containsText" dxfId="5" priority="156" operator="containsText" text="C">
      <formula>NOT(ISERROR(SEARCH(("C"),(AO30))))</formula>
    </cfRule>
  </conditionalFormatting>
  <conditionalFormatting sqref="AO30:AO69">
    <cfRule type="containsText" dxfId="4" priority="157" operator="containsText" text="D">
      <formula>NOT(ISERROR(SEARCH(("D"),(AO30))))</formula>
    </cfRule>
  </conditionalFormatting>
  <conditionalFormatting sqref="AP30:AP69">
    <cfRule type="containsText" dxfId="5" priority="158" operator="containsText" text="A">
      <formula>NOT(ISERROR(SEARCH(("A"),(AP30))))</formula>
    </cfRule>
  </conditionalFormatting>
  <conditionalFormatting sqref="AP30:AP69">
    <cfRule type="containsText" dxfId="4" priority="159" operator="containsText" text="B">
      <formula>NOT(ISERROR(SEARCH(("B"),(AP30))))</formula>
    </cfRule>
  </conditionalFormatting>
  <conditionalFormatting sqref="AP30:AP69">
    <cfRule type="containsText" dxfId="5" priority="160" operator="containsText" text="C">
      <formula>NOT(ISERROR(SEARCH(("C"),(AP30))))</formula>
    </cfRule>
  </conditionalFormatting>
  <conditionalFormatting sqref="AP30:AP69">
    <cfRule type="containsText" dxfId="5" priority="161" operator="containsText" text="D">
      <formula>NOT(ISERROR(SEARCH(("D"),(AP30))))</formula>
    </cfRule>
  </conditionalFormatting>
  <conditionalFormatting sqref="AQ30:AQ69">
    <cfRule type="containsText" dxfId="5" priority="162" operator="containsText" text="A">
      <formula>NOT(ISERROR(SEARCH(("A"),(AQ30))))</formula>
    </cfRule>
  </conditionalFormatting>
  <conditionalFormatting sqref="AQ30:AQ69">
    <cfRule type="containsText" dxfId="5" priority="163" operator="containsText" text="B">
      <formula>NOT(ISERROR(SEARCH(("B"),(AQ30))))</formula>
    </cfRule>
  </conditionalFormatting>
  <conditionalFormatting sqref="AQ30:AQ69">
    <cfRule type="containsText" dxfId="4" priority="164" operator="containsText" text="C">
      <formula>NOT(ISERROR(SEARCH(("C"),(AQ30))))</formula>
    </cfRule>
  </conditionalFormatting>
  <conditionalFormatting sqref="AQ30:AQ69">
    <cfRule type="containsText" dxfId="5" priority="165" operator="containsText" text="D">
      <formula>NOT(ISERROR(SEARCH(("D"),(AQ30))))</formula>
    </cfRule>
  </conditionalFormatting>
  <conditionalFormatting sqref="AR30:AR69">
    <cfRule type="containsText" dxfId="4" priority="166" operator="containsText" text="A">
      <formula>NOT(ISERROR(SEARCH(("A"),(AR30))))</formula>
    </cfRule>
  </conditionalFormatting>
  <conditionalFormatting sqref="AR30:AR69">
    <cfRule type="containsText" dxfId="5" priority="167" operator="containsText" text="B">
      <formula>NOT(ISERROR(SEARCH(("B"),(AR30))))</formula>
    </cfRule>
  </conditionalFormatting>
  <conditionalFormatting sqref="AR30:AR69">
    <cfRule type="containsText" dxfId="5" priority="168" operator="containsText" text="C">
      <formula>NOT(ISERROR(SEARCH(("C"),(AR30))))</formula>
    </cfRule>
  </conditionalFormatting>
  <conditionalFormatting sqref="AR30:AR69">
    <cfRule type="containsText" dxfId="5" priority="169" operator="containsText" text="D">
      <formula>NOT(ISERROR(SEARCH(("D"),(AR30))))</formula>
    </cfRule>
  </conditionalFormatting>
  <conditionalFormatting sqref="AS30:AS69">
    <cfRule type="containsText" dxfId="5" priority="170" operator="containsText" text="A">
      <formula>NOT(ISERROR(SEARCH(("A"),(AS30))))</formula>
    </cfRule>
  </conditionalFormatting>
  <conditionalFormatting sqref="AS30:AS69">
    <cfRule type="containsText" dxfId="4" priority="171" operator="containsText" text="B">
      <formula>NOT(ISERROR(SEARCH(("B"),(AS30))))</formula>
    </cfRule>
  </conditionalFormatting>
  <conditionalFormatting sqref="AS30:AS69">
    <cfRule type="containsText" dxfId="5" priority="172" operator="containsText" text="C">
      <formula>NOT(ISERROR(SEARCH(("C"),(AS30))))</formula>
    </cfRule>
  </conditionalFormatting>
  <conditionalFormatting sqref="AS30:AS69">
    <cfRule type="containsText" dxfId="5" priority="173" operator="containsText" text="D">
      <formula>NOT(ISERROR(SEARCH(("D"),(AS30))))</formula>
    </cfRule>
  </conditionalFormatting>
  <conditionalFormatting sqref="AT30:AT69">
    <cfRule type="containsText" dxfId="5" priority="174" operator="containsText" text="A">
      <formula>NOT(ISERROR(SEARCH(("A"),(AT30))))</formula>
    </cfRule>
  </conditionalFormatting>
  <conditionalFormatting sqref="AT30:AT69">
    <cfRule type="containsText" dxfId="5" priority="175" operator="containsText" text="B">
      <formula>NOT(ISERROR(SEARCH(("B"),(AT30))))</formula>
    </cfRule>
  </conditionalFormatting>
  <conditionalFormatting sqref="AT30:AT69">
    <cfRule type="containsText" dxfId="4" priority="176" operator="containsText" text="C">
      <formula>NOT(ISERROR(SEARCH(("C"),(AT30))))</formula>
    </cfRule>
  </conditionalFormatting>
  <conditionalFormatting sqref="AT30:AT69">
    <cfRule type="containsText" dxfId="5" priority="177" operator="containsText" text="D">
      <formula>NOT(ISERROR(SEARCH(("D"),(AT30))))</formula>
    </cfRule>
  </conditionalFormatting>
  <conditionalFormatting sqref="AU30:AU69">
    <cfRule type="containsText" dxfId="5" priority="178" operator="containsText" text="A">
      <formula>NOT(ISERROR(SEARCH(("A"),(AU30))))</formula>
    </cfRule>
  </conditionalFormatting>
  <conditionalFormatting sqref="AU30:AU69">
    <cfRule type="containsText" dxfId="5" priority="179" operator="containsText" text="B">
      <formula>NOT(ISERROR(SEARCH(("B"),(AU30))))</formula>
    </cfRule>
  </conditionalFormatting>
  <conditionalFormatting sqref="AU30:AU69">
    <cfRule type="containsText" dxfId="5" priority="180" operator="containsText" text="C">
      <formula>NOT(ISERROR(SEARCH(("C"),(AU30))))</formula>
    </cfRule>
  </conditionalFormatting>
  <conditionalFormatting sqref="AU30:AU69">
    <cfRule type="containsText" dxfId="4" priority="181" operator="containsText" text="D">
      <formula>NOT(ISERROR(SEARCH(("D"),(AU30))))</formula>
    </cfRule>
  </conditionalFormatting>
  <conditionalFormatting sqref="AV30:AV69">
    <cfRule type="containsText" dxfId="5" priority="182" operator="containsText" text="A">
      <formula>NOT(ISERROR(SEARCH(("A"),(AV30))))</formula>
    </cfRule>
  </conditionalFormatting>
  <conditionalFormatting sqref="AV30:AV69">
    <cfRule type="containsText" dxfId="5" priority="183" operator="containsText" text="B">
      <formula>NOT(ISERROR(SEARCH(("B"),(AV30))))</formula>
    </cfRule>
  </conditionalFormatting>
  <conditionalFormatting sqref="AV30:AV69">
    <cfRule type="containsText" dxfId="5" priority="184" operator="containsText" text="C">
      <formula>NOT(ISERROR(SEARCH(("C"),(AV30))))</formula>
    </cfRule>
  </conditionalFormatting>
  <conditionalFormatting sqref="AV30:AV69">
    <cfRule type="containsText" dxfId="4" priority="185" operator="containsText" text="D">
      <formula>NOT(ISERROR(SEARCH(("D"),(AV30))))</formula>
    </cfRule>
  </conditionalFormatting>
  <conditionalFormatting sqref="AW30:AW69">
    <cfRule type="containsText" dxfId="5" priority="186" operator="containsText" text="A">
      <formula>NOT(ISERROR(SEARCH(("A"),(AW30))))</formula>
    </cfRule>
  </conditionalFormatting>
  <conditionalFormatting sqref="AW30:AW69">
    <cfRule type="containsText" dxfId="5" priority="187" operator="containsText" text="B">
      <formula>NOT(ISERROR(SEARCH(("B"),(AW30))))</formula>
    </cfRule>
  </conditionalFormatting>
  <conditionalFormatting sqref="AW30:AW69">
    <cfRule type="containsText" dxfId="4" priority="188" operator="containsText" text="C">
      <formula>NOT(ISERROR(SEARCH(("C"),(AW30))))</formula>
    </cfRule>
  </conditionalFormatting>
  <conditionalFormatting sqref="AW30:AW69">
    <cfRule type="containsText" dxfId="5" priority="189" operator="containsText" text="D">
      <formula>NOT(ISERROR(SEARCH(("D"),(AW30))))</formula>
    </cfRule>
  </conditionalFormatting>
  <conditionalFormatting sqref="AX30:AX69">
    <cfRule type="containsText" dxfId="5" priority="190" operator="containsText" text="A">
      <formula>NOT(ISERROR(SEARCH(("A"),(AX30))))</formula>
    </cfRule>
  </conditionalFormatting>
  <conditionalFormatting sqref="AX30:AX69">
    <cfRule type="containsText" dxfId="4" priority="191" operator="containsText" text="B">
      <formula>NOT(ISERROR(SEARCH(("B"),(AX30))))</formula>
    </cfRule>
  </conditionalFormatting>
  <conditionalFormatting sqref="AX30:AX69">
    <cfRule type="containsText" dxfId="5" priority="192" operator="containsText" text="C">
      <formula>NOT(ISERROR(SEARCH(("C"),(AX30))))</formula>
    </cfRule>
  </conditionalFormatting>
  <conditionalFormatting sqref="AX30:AX69">
    <cfRule type="containsText" dxfId="5" priority="193" operator="containsText" text="D">
      <formula>NOT(ISERROR(SEARCH(("D"),(AX30))))</formula>
    </cfRule>
  </conditionalFormatting>
  <conditionalFormatting sqref="AY30:AY68">
    <cfRule type="containsText" dxfId="5" priority="194" operator="containsText" text="A">
      <formula>NOT(ISERROR(SEARCH(("A"),(AY30))))</formula>
    </cfRule>
  </conditionalFormatting>
  <conditionalFormatting sqref="AY30:AY68">
    <cfRule type="containsText" dxfId="4" priority="195" operator="containsText" text="B">
      <formula>NOT(ISERROR(SEARCH(("B"),(AY30))))</formula>
    </cfRule>
  </conditionalFormatting>
  <conditionalFormatting sqref="AY30:AY68">
    <cfRule type="containsText" dxfId="5" priority="196" operator="containsText" text="C">
      <formula>NOT(ISERROR(SEARCH(("C"),(AY30))))</formula>
    </cfRule>
  </conditionalFormatting>
  <conditionalFormatting sqref="AY30:AY68">
    <cfRule type="containsText" dxfId="5" priority="197" operator="containsText" text="D">
      <formula>NOT(ISERROR(SEARCH(("D"),(AY30))))</formula>
    </cfRule>
  </conditionalFormatting>
  <conditionalFormatting sqref="AZ30:AZ69">
    <cfRule type="containsText" dxfId="5" priority="198" operator="containsText" text="A">
      <formula>NOT(ISERROR(SEARCH(("A"),(AZ30))))</formula>
    </cfRule>
  </conditionalFormatting>
  <conditionalFormatting sqref="AZ30:AZ69">
    <cfRule type="containsText" dxfId="5" priority="199" operator="containsText" text="B">
      <formula>NOT(ISERROR(SEARCH(("B"),(AZ30))))</formula>
    </cfRule>
  </conditionalFormatting>
  <conditionalFormatting sqref="AZ30:AZ69">
    <cfRule type="containsText" dxfId="5" priority="200" operator="containsText" text="C">
      <formula>NOT(ISERROR(SEARCH(("C"),(AZ30))))</formula>
    </cfRule>
  </conditionalFormatting>
  <conditionalFormatting sqref="AZ30:AZ69">
    <cfRule type="containsText" dxfId="4" priority="201" operator="containsText" text="D">
      <formula>NOT(ISERROR(SEARCH(("D"),(AZ30))))</formula>
    </cfRule>
  </conditionalFormatting>
  <conditionalFormatting sqref="BA30:BA69">
    <cfRule type="containsText" dxfId="5" priority="202" operator="containsText" text="A">
      <formula>NOT(ISERROR(SEARCH(("A"),(BA30))))</formula>
    </cfRule>
  </conditionalFormatting>
  <conditionalFormatting sqref="BA30:BA69">
    <cfRule type="containsText" dxfId="5" priority="203" operator="containsText" text="B">
      <formula>NOT(ISERROR(SEARCH(("B"),(BA30))))</formula>
    </cfRule>
  </conditionalFormatting>
  <conditionalFormatting sqref="BA30:BA69">
    <cfRule type="containsText" dxfId="4" priority="204" operator="containsText" text="C">
      <formula>NOT(ISERROR(SEARCH(("C"),(BA30))))</formula>
    </cfRule>
  </conditionalFormatting>
  <conditionalFormatting sqref="BA30:BA69">
    <cfRule type="containsText" dxfId="5" priority="205" operator="containsText" text="D">
      <formula>NOT(ISERROR(SEARCH(("D"),(BA30))))</formula>
    </cfRule>
  </conditionalFormatting>
  <conditionalFormatting sqref="BB30:BB69">
    <cfRule type="containsText" dxfId="5" priority="206" operator="containsText" text="A">
      <formula>NOT(ISERROR(SEARCH(("A"),(BB30))))</formula>
    </cfRule>
  </conditionalFormatting>
  <conditionalFormatting sqref="BB30:BB69">
    <cfRule type="containsText" dxfId="5" priority="207" operator="containsText" text="B">
      <formula>NOT(ISERROR(SEARCH(("B"),(BB30))))</formula>
    </cfRule>
  </conditionalFormatting>
  <conditionalFormatting sqref="BB30:BB69">
    <cfRule type="containsText" dxfId="5" priority="208" operator="containsText" text="C">
      <formula>NOT(ISERROR(SEARCH(("C"),(BB30))))</formula>
    </cfRule>
  </conditionalFormatting>
  <conditionalFormatting sqref="BB30:BB69">
    <cfRule type="containsText" dxfId="4" priority="209" operator="containsText" text="D">
      <formula>NOT(ISERROR(SEARCH(("D"),(BB30))))</formula>
    </cfRule>
  </conditionalFormatting>
  <conditionalFormatting sqref="BD30:BH69">
    <cfRule type="containsBlanks" dxfId="6" priority="210">
      <formula>LEN(TRIM(BD30))=0</formula>
    </cfRule>
  </conditionalFormatting>
  <conditionalFormatting sqref="BJ30:BJ69">
    <cfRule type="containsBlanks" dxfId="6" priority="211">
      <formula>LEN(TRIM(BJ30))=0</formula>
    </cfRule>
  </conditionalFormatting>
  <conditionalFormatting sqref="K30:K69">
    <cfRule type="containsText" dxfId="4" priority="212" operator="containsText" text="A">
      <formula>NOT(ISERROR(SEARCH(("A"),(K30))))</formula>
    </cfRule>
  </conditionalFormatting>
  <conditionalFormatting sqref="K30:K69">
    <cfRule type="containsText" dxfId="5" priority="213" operator="containsText" text="B">
      <formula>NOT(ISERROR(SEARCH(("B"),(K30))))</formula>
    </cfRule>
  </conditionalFormatting>
  <conditionalFormatting sqref="K30:K69">
    <cfRule type="containsText" dxfId="5" priority="214" operator="containsText" text="C">
      <formula>NOT(ISERROR(SEARCH(("C"),(K30))))</formula>
    </cfRule>
  </conditionalFormatting>
  <conditionalFormatting sqref="K30:K69">
    <cfRule type="containsText" dxfId="5" priority="215" operator="containsText" text="D">
      <formula>NOT(ISERROR(SEARCH(("D"),(K30))))</formula>
    </cfRule>
  </conditionalFormatting>
  <conditionalFormatting sqref="D30:D69">
    <cfRule type="containsText" dxfId="4" priority="216" operator="containsText" text="A">
      <formula>NOT(ISERROR(SEARCH(("A"),(D30))))</formula>
    </cfRule>
  </conditionalFormatting>
  <conditionalFormatting sqref="D30:D69">
    <cfRule type="containsText" dxfId="5" priority="217" operator="containsText" text="B">
      <formula>NOT(ISERROR(SEARCH(("B"),(D30))))</formula>
    </cfRule>
  </conditionalFormatting>
  <conditionalFormatting sqref="D30:D69">
    <cfRule type="containsText" dxfId="5" priority="218" operator="containsText" text="C">
      <formula>NOT(ISERROR(SEARCH(("C"),(D30))))</formula>
    </cfRule>
  </conditionalFormatting>
  <conditionalFormatting sqref="D30:D69">
    <cfRule type="containsText" dxfId="5" priority="219" operator="containsText" text="D">
      <formula>NOT(ISERROR(SEARCH(("D"),(D30))))</formula>
    </cfRule>
  </conditionalFormatting>
  <conditionalFormatting sqref="E30:E69">
    <cfRule type="containsText" dxfId="4" priority="220" operator="containsText" text="A">
      <formula>NOT(ISERROR(SEARCH(("A"),(E30))))</formula>
    </cfRule>
  </conditionalFormatting>
  <conditionalFormatting sqref="E30:E69">
    <cfRule type="containsText" dxfId="5" priority="221" operator="containsText" text="B">
      <formula>NOT(ISERROR(SEARCH(("B"),(E30))))</formula>
    </cfRule>
  </conditionalFormatting>
  <conditionalFormatting sqref="E30:E69">
    <cfRule type="containsText" dxfId="5" priority="222" operator="containsText" text="C">
      <formula>NOT(ISERROR(SEARCH(("C"),(E30))))</formula>
    </cfRule>
  </conditionalFormatting>
  <conditionalFormatting sqref="E30:E69">
    <cfRule type="containsText" dxfId="5" priority="223" operator="containsText" text="D">
      <formula>NOT(ISERROR(SEARCH(("D"),(E30))))</formula>
    </cfRule>
  </conditionalFormatting>
  <hyperlinks>
    <hyperlink r:id="rId1" ref="A22"/>
  </hyperlinks>
  <printOptions gridLines="1" horizontalCentered="1"/>
  <pageMargins bottom="0.75" footer="0.0" header="0.0" left="0.7" right="0.7" top="0.75"/>
  <pageSetup fitToHeight="0" paperSize="9" cellComments="atEnd" orientation="portrait" pageOrder="overThenDown"/>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166"/>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3.75"/>
    <col customWidth="1" min="2" max="2" width="42.88"/>
    <col customWidth="1" min="3" max="3" width="5.25"/>
    <col customWidth="1" min="4" max="54" width="4.75"/>
    <col customWidth="1" min="55" max="55" width="2.88"/>
    <col customWidth="1" min="56" max="57" width="4.13"/>
    <col customWidth="1" min="58" max="58" width="4.25"/>
    <col customWidth="1" min="59" max="59" width="4.63"/>
    <col customWidth="1" min="60" max="60" width="4.75"/>
    <col customWidth="1" min="61" max="61" width="4.25"/>
    <col customWidth="1" min="62" max="62" width="14.13"/>
    <col customWidth="1" min="63" max="63" width="1.88"/>
    <col customWidth="1" min="64" max="64" width="5.25"/>
    <col customWidth="1" min="65" max="65" width="5.0"/>
    <col customWidth="1" min="66" max="66" width="14.13"/>
    <col customWidth="1" min="67" max="67" width="5.13"/>
    <col customWidth="1" min="68" max="68" width="4.75"/>
    <col customWidth="1" min="69" max="69" width="15.75"/>
    <col customWidth="1" min="70" max="70" width="4.25"/>
  </cols>
  <sheetData>
    <row r="1" ht="25.5" customHeight="1">
      <c r="A1" s="1"/>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3"/>
      <c r="AW1" s="3"/>
      <c r="AX1" s="3"/>
      <c r="AY1" s="3"/>
      <c r="AZ1" s="3"/>
      <c r="BA1" s="3"/>
      <c r="BB1" s="4"/>
      <c r="BC1" s="4"/>
      <c r="BD1" s="4"/>
      <c r="BE1" s="4"/>
      <c r="BF1" s="4"/>
      <c r="BG1" s="4"/>
      <c r="BH1" s="4"/>
      <c r="BI1" s="3"/>
      <c r="BJ1" s="3"/>
      <c r="BK1" s="3"/>
      <c r="BL1" s="3"/>
      <c r="BM1" s="3"/>
      <c r="BN1" s="3"/>
      <c r="BO1" s="3"/>
      <c r="BP1" s="3"/>
      <c r="BQ1" s="3"/>
      <c r="BR1" s="3"/>
    </row>
    <row r="2" ht="25.5" customHeight="1">
      <c r="A2" s="1"/>
      <c r="B2" s="1"/>
      <c r="C2" s="1"/>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V2" s="3"/>
      <c r="AW2" s="3"/>
      <c r="AX2" s="3"/>
      <c r="AY2" s="3"/>
      <c r="AZ2" s="3"/>
      <c r="BA2" s="3"/>
      <c r="BB2" s="4"/>
      <c r="BC2" s="4"/>
      <c r="BD2" s="4"/>
      <c r="BE2" s="4"/>
      <c r="BF2" s="4"/>
      <c r="BG2" s="4"/>
      <c r="BH2" s="4"/>
      <c r="BI2" s="3"/>
      <c r="BJ2" s="3"/>
      <c r="BK2" s="3"/>
      <c r="BL2" s="3"/>
      <c r="BM2" s="3"/>
      <c r="BN2" s="3"/>
      <c r="BO2" s="3"/>
      <c r="BP2" s="3"/>
      <c r="BQ2" s="3"/>
      <c r="BR2" s="3"/>
    </row>
    <row r="3" ht="25.5" customHeight="1">
      <c r="A3" s="1"/>
      <c r="B3" s="1"/>
      <c r="C3" s="1"/>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V3" s="3"/>
      <c r="AW3" s="3"/>
      <c r="AX3" s="3"/>
      <c r="AY3" s="3"/>
      <c r="AZ3" s="3"/>
      <c r="BA3" s="3"/>
      <c r="BB3" s="4"/>
      <c r="BC3" s="4"/>
      <c r="BD3" s="4"/>
      <c r="BE3" s="4"/>
      <c r="BF3" s="4"/>
      <c r="BG3" s="4"/>
      <c r="BH3" s="4"/>
      <c r="BI3" s="3"/>
      <c r="BJ3" s="3"/>
      <c r="BK3" s="3"/>
      <c r="BL3" s="3"/>
      <c r="BM3" s="3"/>
      <c r="BN3" s="3"/>
      <c r="BO3" s="3"/>
      <c r="BP3" s="3"/>
      <c r="BQ3" s="3"/>
      <c r="BR3" s="3"/>
    </row>
    <row r="4" ht="25.5" customHeight="1">
      <c r="A4" s="1"/>
      <c r="B4" s="1"/>
      <c r="C4" s="1"/>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V4" s="3"/>
      <c r="AW4" s="3"/>
      <c r="AX4" s="3"/>
      <c r="AY4" s="3"/>
      <c r="AZ4" s="3"/>
      <c r="BA4" s="3"/>
      <c r="BB4" s="4"/>
      <c r="BC4" s="4"/>
      <c r="BD4" s="4"/>
      <c r="BE4" s="4"/>
      <c r="BF4" s="4"/>
      <c r="BG4" s="4"/>
      <c r="BH4" s="4"/>
      <c r="BI4" s="3"/>
      <c r="BJ4" s="3"/>
      <c r="BK4" s="3"/>
      <c r="BL4" s="3"/>
      <c r="BM4" s="3"/>
      <c r="BN4" s="3"/>
      <c r="BO4" s="3"/>
      <c r="BP4" s="3"/>
      <c r="BQ4" s="3"/>
      <c r="BR4" s="3"/>
    </row>
    <row r="5" ht="25.5" customHeight="1">
      <c r="A5" s="1"/>
      <c r="B5" s="1"/>
      <c r="C5" s="1"/>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V5" s="3"/>
      <c r="AW5" s="3"/>
      <c r="AX5" s="3"/>
      <c r="AY5" s="3"/>
      <c r="AZ5" s="3"/>
      <c r="BA5" s="3"/>
      <c r="BB5" s="4"/>
      <c r="BC5" s="4"/>
      <c r="BD5" s="4"/>
      <c r="BE5" s="4"/>
      <c r="BF5" s="4"/>
      <c r="BG5" s="4"/>
      <c r="BH5" s="4"/>
      <c r="BI5" s="3"/>
      <c r="BJ5" s="3"/>
      <c r="BK5" s="3"/>
      <c r="BL5" s="3"/>
      <c r="BM5" s="3"/>
      <c r="BN5" s="3"/>
      <c r="BO5" s="3"/>
      <c r="BP5" s="3"/>
      <c r="BQ5" s="3"/>
      <c r="BR5" s="3"/>
    </row>
    <row r="6" ht="25.5" customHeight="1">
      <c r="A6" s="1"/>
      <c r="B6" s="1"/>
      <c r="C6" s="1"/>
      <c r="D6" s="5" t="s">
        <v>0</v>
      </c>
      <c r="BF6" s="4"/>
      <c r="BG6" s="4"/>
      <c r="BH6" s="4"/>
      <c r="BI6" s="3"/>
      <c r="BJ6" s="3"/>
      <c r="BK6" s="3"/>
      <c r="BL6" s="3"/>
      <c r="BM6" s="3"/>
      <c r="BN6" s="3"/>
      <c r="BO6" s="3"/>
      <c r="BP6" s="3"/>
      <c r="BQ6" s="3"/>
      <c r="BR6" s="3"/>
    </row>
    <row r="7" ht="25.5" customHeight="1">
      <c r="A7" s="1"/>
      <c r="B7" s="1"/>
      <c r="C7" s="1"/>
      <c r="BF7" s="4"/>
      <c r="BG7" s="4"/>
      <c r="BH7" s="4"/>
      <c r="BI7" s="3"/>
      <c r="BJ7" s="3"/>
      <c r="BK7" s="3"/>
      <c r="BL7" s="3"/>
      <c r="BM7" s="3"/>
      <c r="BN7" s="3"/>
      <c r="BO7" s="3"/>
      <c r="BP7" s="3"/>
      <c r="BQ7" s="3"/>
      <c r="BR7" s="3"/>
    </row>
    <row r="8" ht="25.5" customHeight="1">
      <c r="A8" s="1"/>
      <c r="B8" s="1"/>
      <c r="C8" s="1"/>
      <c r="BF8" s="4"/>
      <c r="BG8" s="4"/>
      <c r="BH8" s="4"/>
      <c r="BI8" s="3"/>
      <c r="BJ8" s="3"/>
      <c r="BK8" s="3"/>
      <c r="BL8" s="3"/>
      <c r="BM8" s="3"/>
      <c r="BN8" s="3"/>
      <c r="BO8" s="3"/>
      <c r="BP8" s="3"/>
      <c r="BQ8" s="3"/>
      <c r="BR8" s="3"/>
    </row>
    <row r="9" ht="25.5" customHeight="1">
      <c r="A9" s="1"/>
      <c r="B9" s="1"/>
      <c r="C9" s="1"/>
      <c r="D9" s="6" t="s">
        <v>1</v>
      </c>
      <c r="BF9" s="4"/>
      <c r="BG9" s="4"/>
      <c r="BH9" s="4"/>
      <c r="BI9" s="3"/>
      <c r="BJ9" s="3"/>
      <c r="BK9" s="3"/>
      <c r="BL9" s="3"/>
      <c r="BM9" s="3"/>
      <c r="BN9" s="3"/>
      <c r="BO9" s="3"/>
      <c r="BP9" s="3"/>
      <c r="BQ9" s="3"/>
      <c r="BR9" s="3"/>
    </row>
    <row r="10" ht="25.5" customHeight="1">
      <c r="A10" s="1"/>
      <c r="B10" s="1"/>
      <c r="C10" s="1"/>
      <c r="BF10" s="4"/>
      <c r="BG10" s="4"/>
      <c r="BH10" s="4"/>
      <c r="BI10" s="3"/>
      <c r="BJ10" s="3"/>
      <c r="BK10" s="3"/>
      <c r="BL10" s="3"/>
      <c r="BM10" s="3"/>
      <c r="BN10" s="3"/>
      <c r="BO10" s="3"/>
      <c r="BP10" s="3"/>
      <c r="BQ10" s="3"/>
      <c r="BR10" s="3"/>
    </row>
    <row r="11" ht="25.5" customHeight="1">
      <c r="A11" s="1"/>
      <c r="B11" s="1"/>
      <c r="C11" s="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V11" s="3"/>
      <c r="AW11" s="3"/>
      <c r="AX11" s="3"/>
      <c r="AY11" s="3"/>
      <c r="AZ11" s="3"/>
      <c r="BA11" s="3"/>
      <c r="BB11" s="4"/>
      <c r="BC11" s="4"/>
      <c r="BD11" s="4"/>
      <c r="BE11" s="4"/>
      <c r="BF11" s="4"/>
      <c r="BG11" s="4"/>
      <c r="BH11" s="4"/>
      <c r="BI11" s="3"/>
      <c r="BJ11" s="3"/>
      <c r="BK11" s="3"/>
      <c r="BL11" s="3"/>
      <c r="BM11" s="3"/>
      <c r="BN11" s="3"/>
      <c r="BO11" s="3"/>
      <c r="BP11" s="3"/>
      <c r="BQ11" s="3"/>
      <c r="BR11" s="3"/>
    </row>
    <row r="12" ht="25.5" customHeight="1">
      <c r="A12" s="1"/>
      <c r="B12" s="1"/>
      <c r="C12" s="1"/>
      <c r="D12" s="8" t="s">
        <v>2</v>
      </c>
      <c r="BF12" s="4"/>
      <c r="BG12" s="4"/>
      <c r="BH12" s="4"/>
      <c r="BI12" s="3"/>
      <c r="BJ12" s="3"/>
      <c r="BK12" s="3"/>
      <c r="BL12" s="3"/>
      <c r="BM12" s="3"/>
      <c r="BN12" s="3"/>
      <c r="BO12" s="3"/>
      <c r="BP12" s="3"/>
      <c r="BQ12" s="3"/>
      <c r="BR12" s="3"/>
    </row>
    <row r="13" ht="25.5" customHeight="1">
      <c r="A13" s="1"/>
      <c r="B13" s="1"/>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D13" s="3"/>
      <c r="BE13" s="3"/>
      <c r="BF13" s="3"/>
      <c r="BG13" s="3"/>
      <c r="BH13" s="3"/>
      <c r="BI13" s="3"/>
      <c r="BJ13" s="4"/>
      <c r="BK13" s="4"/>
      <c r="BL13" s="4"/>
      <c r="BM13" s="4"/>
      <c r="BN13" s="4"/>
      <c r="BO13" s="4"/>
      <c r="BP13" s="4"/>
      <c r="BQ13" s="3"/>
      <c r="BR13" s="3"/>
    </row>
    <row r="14" ht="25.5" customHeight="1">
      <c r="A14" s="10"/>
      <c r="B14" s="11"/>
      <c r="C14" s="1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D14" s="3"/>
      <c r="BE14" s="3"/>
      <c r="BF14" s="3"/>
      <c r="BG14" s="3"/>
      <c r="BH14" s="3"/>
      <c r="BI14" s="3"/>
      <c r="BJ14" s="4"/>
      <c r="BK14" s="4"/>
      <c r="BL14" s="4"/>
      <c r="BM14" s="4"/>
      <c r="BN14" s="4"/>
      <c r="BO14" s="4"/>
      <c r="BP14" s="4"/>
      <c r="BQ14" s="3"/>
      <c r="BR14" s="3"/>
    </row>
    <row r="15" ht="25.5" customHeight="1">
      <c r="A15" s="15" t="s">
        <v>118</v>
      </c>
      <c r="C15" s="14"/>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D15" s="3"/>
      <c r="BE15" s="3"/>
      <c r="BF15" s="3"/>
      <c r="BG15" s="3"/>
      <c r="BH15" s="3"/>
      <c r="BI15" s="3"/>
      <c r="BJ15" s="4"/>
      <c r="BK15" s="4"/>
      <c r="BL15" s="4"/>
      <c r="BM15" s="4"/>
      <c r="BN15" s="4"/>
      <c r="BO15" s="4"/>
      <c r="BP15" s="4"/>
      <c r="BQ15" s="3"/>
      <c r="BR15" s="3"/>
    </row>
    <row r="16" ht="25.5" customHeight="1">
      <c r="A16" s="13"/>
      <c r="C16" s="14"/>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D16" s="3"/>
      <c r="BE16" s="3"/>
      <c r="BF16" s="3"/>
      <c r="BG16" s="3"/>
      <c r="BH16" s="3"/>
      <c r="BI16" s="3"/>
      <c r="BJ16" s="4"/>
      <c r="BK16" s="4"/>
      <c r="BL16" s="4"/>
      <c r="BM16" s="4"/>
      <c r="BN16" s="4"/>
      <c r="BO16" s="4"/>
      <c r="BP16" s="4"/>
      <c r="BQ16" s="3"/>
      <c r="BR16" s="3"/>
    </row>
    <row r="17" ht="21.0" customHeight="1">
      <c r="A17" s="16" t="s">
        <v>4</v>
      </c>
      <c r="C17" s="18">
        <f>COUNTA(B30:B69)</f>
        <v>27</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D17" s="3"/>
      <c r="BE17" s="3"/>
      <c r="BF17" s="3"/>
      <c r="BG17" s="3"/>
      <c r="BH17" s="3"/>
      <c r="BI17" s="3"/>
      <c r="BJ17" s="4"/>
      <c r="BK17" s="4"/>
      <c r="BL17" s="4"/>
      <c r="BM17" s="4"/>
      <c r="BN17" s="4"/>
      <c r="BO17" s="4"/>
      <c r="BP17" s="4"/>
      <c r="BQ17" s="3"/>
      <c r="BR17" s="3"/>
    </row>
    <row r="18" ht="21.75" customHeight="1">
      <c r="A18" s="16" t="s">
        <v>5</v>
      </c>
      <c r="C18" s="18">
        <f>SUMPRODUCT(LEN(D30:D69) - LEN(SUBSTITUTE(SUBSTITUTE(SUBSTITUTE(SUBSTITUTE(SUBSTITUTE(D30:D69,"A",""),"B",""),"C",""),"D",""),"X","")))</f>
        <v>25</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D18" s="3"/>
      <c r="BE18" s="3"/>
      <c r="BF18" s="3"/>
      <c r="BG18" s="3"/>
      <c r="BH18" s="3"/>
      <c r="BI18" s="3"/>
      <c r="BJ18" s="4"/>
      <c r="BK18" s="4"/>
      <c r="BL18" s="4"/>
      <c r="BM18" s="4"/>
      <c r="BN18" s="4"/>
      <c r="BO18" s="4"/>
      <c r="BP18" s="4"/>
      <c r="BQ18" s="3"/>
      <c r="BR18" s="3"/>
    </row>
    <row r="19" ht="21.0" customHeight="1">
      <c r="A19" s="16" t="s">
        <v>6</v>
      </c>
      <c r="C19" s="18">
        <f>COUNTIF(D30:D69,"F")</f>
        <v>2</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D19" s="3"/>
      <c r="BE19" s="3"/>
      <c r="BF19" s="3"/>
      <c r="BG19" s="3"/>
      <c r="BH19" s="3"/>
      <c r="BI19" s="3"/>
      <c r="BJ19" s="4"/>
      <c r="BK19" s="4"/>
      <c r="BL19" s="4"/>
      <c r="BM19" s="4"/>
      <c r="BN19" s="4"/>
      <c r="BO19" s="4"/>
      <c r="BP19" s="4"/>
      <c r="BQ19" s="3"/>
      <c r="BR19" s="3"/>
    </row>
    <row r="20" ht="24.0" customHeight="1">
      <c r="A20" s="16" t="s">
        <v>7</v>
      </c>
      <c r="C20" s="18">
        <f>COUNTIF(C30:C69,"SIM")</f>
        <v>1</v>
      </c>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D20" s="3"/>
      <c r="BE20" s="3"/>
      <c r="BF20" s="3"/>
      <c r="BG20" s="3"/>
      <c r="BH20" s="3"/>
      <c r="BI20" s="3"/>
      <c r="BJ20" s="4"/>
      <c r="BK20" s="4"/>
      <c r="BL20" s="4"/>
      <c r="BM20" s="4"/>
      <c r="BN20" s="4"/>
      <c r="BO20" s="4"/>
      <c r="BP20" s="4"/>
      <c r="BQ20" s="3"/>
      <c r="BR20" s="3"/>
    </row>
    <row r="21" ht="24.0" customHeight="1">
      <c r="A21" s="16"/>
      <c r="B21" s="19"/>
      <c r="C21" s="21"/>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D21" s="3"/>
      <c r="BE21" s="3"/>
      <c r="BF21" s="3"/>
      <c r="BG21" s="3"/>
      <c r="BH21" s="3"/>
      <c r="BI21" s="3"/>
      <c r="BJ21" s="4"/>
      <c r="BK21" s="4"/>
      <c r="BL21" s="4"/>
      <c r="BM21" s="4"/>
      <c r="BN21" s="4"/>
      <c r="BO21" s="4"/>
      <c r="BP21" s="4"/>
      <c r="BQ21" s="3"/>
      <c r="BR21" s="3"/>
    </row>
    <row r="22" ht="42.0" customHeight="1">
      <c r="A22" s="228" t="s">
        <v>8</v>
      </c>
      <c r="C22" s="14"/>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D22" s="3"/>
      <c r="BE22" s="3"/>
      <c r="BF22" s="3"/>
      <c r="BG22" s="3"/>
      <c r="BH22" s="3"/>
      <c r="BI22" s="3"/>
      <c r="BJ22" s="4"/>
      <c r="BK22" s="4"/>
      <c r="BL22" s="4"/>
      <c r="BM22" s="4"/>
      <c r="BN22" s="4"/>
      <c r="BO22" s="4"/>
      <c r="BP22" s="4"/>
      <c r="BQ22" s="3"/>
      <c r="BR22" s="3"/>
    </row>
    <row r="23" ht="18.75" customHeight="1">
      <c r="A23" s="229"/>
      <c r="B23" s="224"/>
      <c r="C23" s="231"/>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D23" s="3"/>
      <c r="BE23" s="3"/>
      <c r="BF23" s="3"/>
      <c r="BG23" s="3"/>
      <c r="BH23" s="3"/>
      <c r="BI23" s="3"/>
      <c r="BJ23" s="4"/>
      <c r="BK23" s="4"/>
      <c r="BL23" s="4"/>
      <c r="BM23" s="4"/>
      <c r="BN23" s="4"/>
      <c r="BO23" s="4"/>
      <c r="BP23" s="4"/>
      <c r="BQ23" s="3"/>
      <c r="BR23" s="3"/>
    </row>
    <row r="24" ht="139.5" customHeight="1">
      <c r="A24" s="25"/>
      <c r="C24" s="25"/>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D24" s="3"/>
      <c r="BE24" s="3"/>
      <c r="BF24" s="3"/>
      <c r="BG24" s="3"/>
      <c r="BH24" s="3"/>
      <c r="BI24" s="3"/>
      <c r="BJ24" s="4"/>
      <c r="BK24" s="4"/>
      <c r="BL24" s="4"/>
      <c r="BM24" s="4"/>
      <c r="BN24" s="4"/>
      <c r="BO24" s="4"/>
      <c r="BP24" s="4"/>
      <c r="BQ24" s="3"/>
      <c r="BR24" s="3"/>
    </row>
    <row r="25" ht="14.25" customHeight="1">
      <c r="A25" s="26"/>
      <c r="B25" s="27"/>
      <c r="C25" s="26"/>
      <c r="D25" s="28" t="s">
        <v>9</v>
      </c>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41"/>
      <c r="BK25" s="236"/>
      <c r="BL25" s="342" t="s">
        <v>155</v>
      </c>
      <c r="BR25" s="3"/>
    </row>
    <row r="26" ht="14.25" customHeight="1">
      <c r="A26" s="37" t="s">
        <v>10</v>
      </c>
      <c r="B26" s="38" t="s">
        <v>156</v>
      </c>
      <c r="C26" s="343" t="s">
        <v>157</v>
      </c>
      <c r="D26" s="40" t="s">
        <v>16</v>
      </c>
      <c r="E26" s="29"/>
      <c r="F26" s="29"/>
      <c r="G26" s="29"/>
      <c r="H26" s="29"/>
      <c r="I26" s="29"/>
      <c r="J26" s="29"/>
      <c r="K26" s="29"/>
      <c r="L26" s="29"/>
      <c r="M26" s="29"/>
      <c r="N26" s="29"/>
      <c r="O26" s="29"/>
      <c r="P26" s="29"/>
      <c r="Q26" s="29"/>
      <c r="R26" s="29"/>
      <c r="S26" s="29"/>
      <c r="T26" s="29"/>
      <c r="U26" s="29"/>
      <c r="V26" s="29"/>
      <c r="W26" s="29"/>
      <c r="X26" s="29"/>
      <c r="Y26" s="29"/>
      <c r="Z26" s="29"/>
      <c r="AA26" s="29"/>
      <c r="AB26" s="41"/>
      <c r="AC26" s="42" t="s">
        <v>17</v>
      </c>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41"/>
      <c r="BD26" s="346" t="s">
        <v>89</v>
      </c>
      <c r="BK26" s="347"/>
      <c r="BL26" s="348" t="s">
        <v>158</v>
      </c>
      <c r="BN26" s="349"/>
      <c r="BO26" s="350" t="s">
        <v>17</v>
      </c>
      <c r="BR26" s="3"/>
    </row>
    <row r="27" ht="56.25" customHeight="1">
      <c r="A27" s="47"/>
      <c r="B27" s="14"/>
      <c r="C27" s="14"/>
      <c r="D27" s="48" t="s">
        <v>18</v>
      </c>
      <c r="E27" s="48" t="s">
        <v>19</v>
      </c>
      <c r="F27" s="48" t="s">
        <v>20</v>
      </c>
      <c r="G27" s="48" t="s">
        <v>21</v>
      </c>
      <c r="H27" s="48" t="s">
        <v>22</v>
      </c>
      <c r="I27" s="48" t="s">
        <v>23</v>
      </c>
      <c r="J27" s="48" t="s">
        <v>24</v>
      </c>
      <c r="K27" s="48" t="s">
        <v>25</v>
      </c>
      <c r="L27" s="48" t="s">
        <v>26</v>
      </c>
      <c r="M27" s="48" t="s">
        <v>27</v>
      </c>
      <c r="N27" s="48" t="s">
        <v>28</v>
      </c>
      <c r="O27" s="48" t="s">
        <v>29</v>
      </c>
      <c r="P27" s="48" t="s">
        <v>30</v>
      </c>
      <c r="Q27" s="48" t="s">
        <v>31</v>
      </c>
      <c r="R27" s="48" t="s">
        <v>32</v>
      </c>
      <c r="S27" s="48" t="s">
        <v>33</v>
      </c>
      <c r="T27" s="48" t="s">
        <v>34</v>
      </c>
      <c r="U27" s="48" t="s">
        <v>35</v>
      </c>
      <c r="V27" s="48" t="s">
        <v>36</v>
      </c>
      <c r="W27" s="48" t="s">
        <v>37</v>
      </c>
      <c r="X27" s="238" t="s">
        <v>38</v>
      </c>
      <c r="Y27" s="48" t="s">
        <v>40</v>
      </c>
      <c r="Z27" s="48" t="s">
        <v>110</v>
      </c>
      <c r="AA27" s="48" t="s">
        <v>111</v>
      </c>
      <c r="AB27" s="239" t="s">
        <v>112</v>
      </c>
      <c r="AC27" s="50" t="s">
        <v>525</v>
      </c>
      <c r="AD27" s="51" t="s">
        <v>19</v>
      </c>
      <c r="AE27" s="51" t="s">
        <v>20</v>
      </c>
      <c r="AF27" s="51" t="s">
        <v>21</v>
      </c>
      <c r="AG27" s="51" t="s">
        <v>22</v>
      </c>
      <c r="AH27" s="51" t="s">
        <v>23</v>
      </c>
      <c r="AI27" s="51" t="s">
        <v>24</v>
      </c>
      <c r="AJ27" s="51" t="s">
        <v>25</v>
      </c>
      <c r="AK27" s="51" t="s">
        <v>26</v>
      </c>
      <c r="AL27" s="51" t="s">
        <v>27</v>
      </c>
      <c r="AM27" s="51" t="s">
        <v>28</v>
      </c>
      <c r="AN27" s="51" t="s">
        <v>29</v>
      </c>
      <c r="AO27" s="51" t="s">
        <v>30</v>
      </c>
      <c r="AP27" s="51" t="s">
        <v>31</v>
      </c>
      <c r="AQ27" s="51" t="s">
        <v>32</v>
      </c>
      <c r="AR27" s="51" t="s">
        <v>33</v>
      </c>
      <c r="AS27" s="51" t="s">
        <v>34</v>
      </c>
      <c r="AT27" s="51" t="s">
        <v>35</v>
      </c>
      <c r="AU27" s="51" t="s">
        <v>36</v>
      </c>
      <c r="AV27" s="51" t="s">
        <v>37</v>
      </c>
      <c r="AW27" s="51" t="s">
        <v>38</v>
      </c>
      <c r="AX27" s="51" t="s">
        <v>40</v>
      </c>
      <c r="AY27" s="51" t="s">
        <v>110</v>
      </c>
      <c r="AZ27" s="51" t="s">
        <v>111</v>
      </c>
      <c r="BA27" s="51" t="s">
        <v>112</v>
      </c>
      <c r="BB27" s="51" t="s">
        <v>114</v>
      </c>
      <c r="BD27" s="351" t="s">
        <v>160</v>
      </c>
      <c r="BE27" s="351" t="s">
        <v>161</v>
      </c>
      <c r="BF27" s="351" t="s">
        <v>162</v>
      </c>
      <c r="BG27" s="351" t="s">
        <v>163</v>
      </c>
      <c r="BH27" s="351" t="s">
        <v>164</v>
      </c>
      <c r="BI27" s="352" t="s">
        <v>165</v>
      </c>
      <c r="BJ27" s="353" t="s">
        <v>90</v>
      </c>
      <c r="BK27" s="354"/>
      <c r="BL27" s="355" t="s">
        <v>166</v>
      </c>
      <c r="BM27" s="355" t="s">
        <v>167</v>
      </c>
      <c r="BN27" s="356" t="s">
        <v>168</v>
      </c>
      <c r="BO27" s="450" t="s">
        <v>166</v>
      </c>
      <c r="BP27" s="358" t="s">
        <v>167</v>
      </c>
      <c r="BQ27" s="359" t="s">
        <v>168</v>
      </c>
      <c r="BR27" s="360"/>
    </row>
    <row r="28" ht="19.5" hidden="1" customHeight="1">
      <c r="A28" s="47"/>
      <c r="B28" s="14"/>
      <c r="C28" s="14"/>
      <c r="D28" s="451">
        <v>19.0</v>
      </c>
      <c r="E28" s="451">
        <v>9.0</v>
      </c>
      <c r="F28" s="451">
        <v>19.0</v>
      </c>
      <c r="G28" s="451">
        <v>28.0</v>
      </c>
      <c r="H28" s="451">
        <v>19.0</v>
      </c>
      <c r="I28" s="451">
        <v>28.0</v>
      </c>
      <c r="J28" s="451">
        <v>19.0</v>
      </c>
      <c r="K28" s="451">
        <v>0.0</v>
      </c>
      <c r="L28" s="451">
        <v>28.0</v>
      </c>
      <c r="M28" s="451">
        <v>28.0</v>
      </c>
      <c r="N28" s="451">
        <v>19.0</v>
      </c>
      <c r="O28" s="451">
        <v>19.0</v>
      </c>
      <c r="P28" s="451">
        <v>28.0</v>
      </c>
      <c r="Q28" s="451">
        <v>9.0</v>
      </c>
      <c r="R28" s="451">
        <v>0.0</v>
      </c>
      <c r="S28" s="451">
        <v>19.0</v>
      </c>
      <c r="T28" s="451">
        <v>28.0</v>
      </c>
      <c r="U28" s="451">
        <v>19.0</v>
      </c>
      <c r="V28" s="451">
        <v>28.0</v>
      </c>
      <c r="W28" s="451">
        <v>19.0</v>
      </c>
      <c r="X28" s="451">
        <v>19.0</v>
      </c>
      <c r="Y28" s="451">
        <v>28.0</v>
      </c>
      <c r="Z28" s="451">
        <v>19.0</v>
      </c>
      <c r="AA28" s="451">
        <v>19.0</v>
      </c>
      <c r="AB28" s="452">
        <v>28.0</v>
      </c>
      <c r="AC28" s="453">
        <v>16.0</v>
      </c>
      <c r="AD28" s="454">
        <v>23.0</v>
      </c>
      <c r="AE28" s="454">
        <v>16.0</v>
      </c>
      <c r="AF28" s="454">
        <v>8.0</v>
      </c>
      <c r="AG28" s="454">
        <v>23.0</v>
      </c>
      <c r="AH28" s="454">
        <v>16.0</v>
      </c>
      <c r="AI28" s="454">
        <v>16.0</v>
      </c>
      <c r="AJ28" s="454">
        <v>16.0</v>
      </c>
      <c r="AK28" s="454">
        <v>23.0</v>
      </c>
      <c r="AL28" s="454">
        <v>23.0</v>
      </c>
      <c r="AM28" s="454">
        <v>23.0</v>
      </c>
      <c r="AN28" s="454">
        <v>16.0</v>
      </c>
      <c r="AO28" s="454">
        <v>16.0</v>
      </c>
      <c r="AP28" s="454">
        <v>16.0</v>
      </c>
      <c r="AQ28" s="454">
        <v>16.0</v>
      </c>
      <c r="AR28" s="454">
        <v>23.0</v>
      </c>
      <c r="AS28" s="454">
        <v>23.0</v>
      </c>
      <c r="AT28" s="454">
        <v>23.0</v>
      </c>
      <c r="AU28" s="454">
        <v>16.0</v>
      </c>
      <c r="AV28" s="454">
        <v>23.0</v>
      </c>
      <c r="AW28" s="454">
        <v>23.0</v>
      </c>
      <c r="AX28" s="454">
        <v>16.0</v>
      </c>
      <c r="AY28" s="454">
        <v>23.0</v>
      </c>
      <c r="AZ28" s="454">
        <v>23.0</v>
      </c>
      <c r="BA28" s="454">
        <v>23.0</v>
      </c>
      <c r="BB28" s="454">
        <v>16.0</v>
      </c>
      <c r="BD28" s="47"/>
      <c r="BE28" s="47"/>
      <c r="BF28" s="47"/>
      <c r="BG28" s="47"/>
      <c r="BH28" s="47"/>
      <c r="BI28" s="47"/>
      <c r="BJ28" s="47"/>
      <c r="BK28" s="354"/>
      <c r="BL28" s="47"/>
      <c r="BM28" s="47"/>
      <c r="BN28" s="361"/>
      <c r="BO28" s="14"/>
      <c r="BP28" s="47"/>
      <c r="BQ28" s="47"/>
      <c r="BR28" s="360"/>
    </row>
    <row r="29" ht="19.5" customHeight="1">
      <c r="A29" s="65"/>
      <c r="B29" s="24"/>
      <c r="C29" s="24"/>
      <c r="D29" s="66" t="s">
        <v>44</v>
      </c>
      <c r="E29" s="66" t="s">
        <v>44</v>
      </c>
      <c r="F29" s="66" t="s">
        <v>41</v>
      </c>
      <c r="G29" s="66" t="s">
        <v>42</v>
      </c>
      <c r="H29" s="66" t="s">
        <v>43</v>
      </c>
      <c r="I29" s="66" t="s">
        <v>42</v>
      </c>
      <c r="J29" s="66" t="s">
        <v>41</v>
      </c>
      <c r="K29" s="66" t="s">
        <v>44</v>
      </c>
      <c r="L29" s="66" t="s">
        <v>43</v>
      </c>
      <c r="M29" s="66" t="s">
        <v>42</v>
      </c>
      <c r="N29" s="66" t="s">
        <v>44</v>
      </c>
      <c r="O29" s="66" t="s">
        <v>42</v>
      </c>
      <c r="P29" s="66" t="s">
        <v>42</v>
      </c>
      <c r="Q29" s="66" t="s">
        <v>44</v>
      </c>
      <c r="R29" s="66" t="s">
        <v>44</v>
      </c>
      <c r="S29" s="66" t="s">
        <v>41</v>
      </c>
      <c r="T29" s="66" t="s">
        <v>42</v>
      </c>
      <c r="U29" s="66" t="s">
        <v>44</v>
      </c>
      <c r="V29" s="66" t="s">
        <v>42</v>
      </c>
      <c r="W29" s="66" t="s">
        <v>41</v>
      </c>
      <c r="X29" s="245" t="s">
        <v>44</v>
      </c>
      <c r="Y29" s="66" t="s">
        <v>44</v>
      </c>
      <c r="Z29" s="66" t="s">
        <v>42</v>
      </c>
      <c r="AA29" s="66" t="s">
        <v>42</v>
      </c>
      <c r="AB29" s="246" t="s">
        <v>42</v>
      </c>
      <c r="AC29" s="68" t="s">
        <v>41</v>
      </c>
      <c r="AD29" s="69" t="s">
        <v>42</v>
      </c>
      <c r="AE29" s="69" t="s">
        <v>42</v>
      </c>
      <c r="AF29" s="69" t="s">
        <v>41</v>
      </c>
      <c r="AG29" s="69" t="s">
        <v>41</v>
      </c>
      <c r="AH29" s="69" t="s">
        <v>41</v>
      </c>
      <c r="AI29" s="69" t="s">
        <v>43</v>
      </c>
      <c r="AJ29" s="69" t="s">
        <v>42</v>
      </c>
      <c r="AK29" s="69" t="s">
        <v>43</v>
      </c>
      <c r="AL29" s="69" t="s">
        <v>44</v>
      </c>
      <c r="AM29" s="69" t="s">
        <v>41</v>
      </c>
      <c r="AN29" s="69" t="s">
        <v>42</v>
      </c>
      <c r="AO29" s="69" t="s">
        <v>43</v>
      </c>
      <c r="AP29" s="69" t="s">
        <v>42</v>
      </c>
      <c r="AQ29" s="69" t="s">
        <v>41</v>
      </c>
      <c r="AR29" s="69" t="s">
        <v>44</v>
      </c>
      <c r="AS29" s="69" t="s">
        <v>42</v>
      </c>
      <c r="AT29" s="69" t="s">
        <v>41</v>
      </c>
      <c r="AU29" s="69" t="s">
        <v>43</v>
      </c>
      <c r="AV29" s="69" t="s">
        <v>43</v>
      </c>
      <c r="AW29" s="69" t="s">
        <v>41</v>
      </c>
      <c r="AX29" s="69" t="s">
        <v>42</v>
      </c>
      <c r="AY29" s="69" t="s">
        <v>42</v>
      </c>
      <c r="AZ29" s="69" t="s">
        <v>43</v>
      </c>
      <c r="BA29" s="69" t="s">
        <v>41</v>
      </c>
      <c r="BB29" s="69" t="s">
        <v>43</v>
      </c>
      <c r="BD29" s="65"/>
      <c r="BE29" s="65"/>
      <c r="BF29" s="65"/>
      <c r="BG29" s="65"/>
      <c r="BH29" s="65"/>
      <c r="BI29" s="65"/>
      <c r="BJ29" s="65"/>
      <c r="BK29" s="354"/>
      <c r="BL29" s="65"/>
      <c r="BM29" s="65"/>
      <c r="BN29" s="362"/>
      <c r="BO29" s="24"/>
      <c r="BP29" s="65"/>
      <c r="BQ29" s="65"/>
      <c r="BR29" s="360"/>
    </row>
    <row r="30" ht="15.75" customHeight="1">
      <c r="A30" s="455">
        <v>1.0</v>
      </c>
      <c r="B30" s="71" t="s">
        <v>526</v>
      </c>
      <c r="C30" s="363" t="s">
        <v>170</v>
      </c>
      <c r="D30" s="447" t="s">
        <v>44</v>
      </c>
      <c r="E30" s="456" t="s">
        <v>44</v>
      </c>
      <c r="F30" s="456" t="s">
        <v>41</v>
      </c>
      <c r="G30" s="456" t="s">
        <v>42</v>
      </c>
      <c r="H30" s="456" t="s">
        <v>41</v>
      </c>
      <c r="I30" s="456" t="s">
        <v>42</v>
      </c>
      <c r="J30" s="456" t="s">
        <v>43</v>
      </c>
      <c r="K30" s="456" t="s">
        <v>41</v>
      </c>
      <c r="L30" s="456" t="s">
        <v>42</v>
      </c>
      <c r="M30" s="456" t="s">
        <v>44</v>
      </c>
      <c r="N30" s="456" t="s">
        <v>44</v>
      </c>
      <c r="O30" s="456" t="s">
        <v>42</v>
      </c>
      <c r="P30" s="456" t="s">
        <v>44</v>
      </c>
      <c r="Q30" s="456" t="s">
        <v>44</v>
      </c>
      <c r="R30" s="456" t="s">
        <v>44</v>
      </c>
      <c r="S30" s="456" t="s">
        <v>41</v>
      </c>
      <c r="T30" s="456" t="s">
        <v>42</v>
      </c>
      <c r="U30" s="456" t="s">
        <v>44</v>
      </c>
      <c r="V30" s="456" t="s">
        <v>41</v>
      </c>
      <c r="W30" s="456" t="s">
        <v>41</v>
      </c>
      <c r="X30" s="456" t="s">
        <v>42</v>
      </c>
      <c r="Y30" s="456" t="s">
        <v>44</v>
      </c>
      <c r="Z30" s="456" t="s">
        <v>43</v>
      </c>
      <c r="AA30" s="456" t="s">
        <v>42</v>
      </c>
      <c r="AB30" s="457" t="s">
        <v>41</v>
      </c>
      <c r="AC30" s="456" t="s">
        <v>44</v>
      </c>
      <c r="AD30" s="456" t="s">
        <v>41</v>
      </c>
      <c r="AE30" s="456" t="s">
        <v>43</v>
      </c>
      <c r="AF30" s="456" t="s">
        <v>42</v>
      </c>
      <c r="AG30" s="456" t="s">
        <v>43</v>
      </c>
      <c r="AH30" s="456" t="s">
        <v>44</v>
      </c>
      <c r="AI30" s="456" t="s">
        <v>43</v>
      </c>
      <c r="AJ30" s="456" t="s">
        <v>44</v>
      </c>
      <c r="AK30" s="456" t="s">
        <v>41</v>
      </c>
      <c r="AL30" s="456" t="s">
        <v>41</v>
      </c>
      <c r="AM30" s="456" t="s">
        <v>42</v>
      </c>
      <c r="AN30" s="456" t="s">
        <v>44</v>
      </c>
      <c r="AO30" s="456" t="s">
        <v>43</v>
      </c>
      <c r="AP30" s="456" t="s">
        <v>44</v>
      </c>
      <c r="AQ30" s="456" t="s">
        <v>42</v>
      </c>
      <c r="AR30" s="456" t="s">
        <v>43</v>
      </c>
      <c r="AS30" s="456" t="s">
        <v>44</v>
      </c>
      <c r="AT30" s="456" t="s">
        <v>44</v>
      </c>
      <c r="AU30" s="456" t="s">
        <v>41</v>
      </c>
      <c r="AV30" s="456" t="s">
        <v>42</v>
      </c>
      <c r="AW30" s="456" t="s">
        <v>43</v>
      </c>
      <c r="AX30" s="456" t="s">
        <v>44</v>
      </c>
      <c r="AY30" s="456" t="s">
        <v>44</v>
      </c>
      <c r="AZ30" s="456" t="s">
        <v>41</v>
      </c>
      <c r="BA30" s="456" t="s">
        <v>42</v>
      </c>
      <c r="BB30" s="456" t="s">
        <v>43</v>
      </c>
      <c r="BD30" s="369" t="s">
        <v>44</v>
      </c>
      <c r="BE30" s="458">
        <v>3.0</v>
      </c>
      <c r="BF30" s="458">
        <v>3.0</v>
      </c>
      <c r="BG30" s="458">
        <v>3.0</v>
      </c>
      <c r="BH30" s="458">
        <v>3.0</v>
      </c>
      <c r="BI30" s="371">
        <f t="shared" ref="BI30:BI56" si="1">(100/16)*((SUM(BE30:BH30)))</f>
        <v>75</v>
      </c>
      <c r="BJ30" s="377" t="str">
        <f t="shared" ref="BJ30:BJ56" si="2">IF((SUM(BI30))&lt;=25, "Abaixo do Básico", IF((SUM(BI30))&lt;=50, "Básico", IF((SUM(BI30))&lt;=75, "Adequado", "Avançado")))</f>
        <v>Adequado</v>
      </c>
      <c r="BK30" s="373"/>
      <c r="BL30" s="374">
        <f t="shared" ref="BL30:BL56" si="3">SUMPRODUCT(--(D30:AB30=D$29:AB$29))</f>
        <v>15</v>
      </c>
      <c r="BM30" s="374">
        <f t="shared" ref="BM30:BM56" si="4">SUMPRODUCT((D30:AB30=D$29:AB$29)*D$28:AB$28)</f>
        <v>282</v>
      </c>
      <c r="BN30" s="459" t="str">
        <f t="shared" ref="BN30:BN56" si="5">IF((SUM(BM30))&lt;=125, "Abaixo do Básico", IF((SUM(BM30))&lt;=250, "Básico", IF((SUM(BM30))&lt;=375, "Adequado", "Avançado")))</f>
        <v>Adequado</v>
      </c>
      <c r="BO30" s="376">
        <f t="shared" ref="BO30:BO56" si="6">SUMPRODUCT(--(AC30:BB30=AC$29:BB$29))</f>
        <v>3</v>
      </c>
      <c r="BP30" s="374">
        <f t="shared" ref="BP30:BP56" si="7">SUMPRODUCT((AC30:BB30=AC$29:BB$29)*AC$28:BB$28)</f>
        <v>48</v>
      </c>
      <c r="BQ30" s="377" t="str">
        <f t="shared" ref="BQ30:BQ56" si="8">IF((SUM(BP30))&lt;=125, "Abaixo do Básico", IF((SUM(BP30))&lt;=250, "Básico", IF((SUM(BP30))&lt;=375, "Adequado", "Avançado")))</f>
        <v>Abaixo do Básico</v>
      </c>
      <c r="BR30" s="25"/>
    </row>
    <row r="31" ht="15.75" customHeight="1">
      <c r="A31" s="455">
        <v>2.0</v>
      </c>
      <c r="B31" s="378" t="s">
        <v>527</v>
      </c>
      <c r="C31" s="363" t="s">
        <v>170</v>
      </c>
      <c r="D31" s="447" t="s">
        <v>41</v>
      </c>
      <c r="E31" s="456" t="s">
        <v>44</v>
      </c>
      <c r="F31" s="456" t="s">
        <v>43</v>
      </c>
      <c r="G31" s="456" t="s">
        <v>42</v>
      </c>
      <c r="H31" s="456" t="s">
        <v>44</v>
      </c>
      <c r="I31" s="456" t="s">
        <v>41</v>
      </c>
      <c r="J31" s="456" t="s">
        <v>44</v>
      </c>
      <c r="K31" s="456" t="s">
        <v>43</v>
      </c>
      <c r="L31" s="456" t="s">
        <v>43</v>
      </c>
      <c r="M31" s="456" t="s">
        <v>42</v>
      </c>
      <c r="N31" s="456" t="s">
        <v>44</v>
      </c>
      <c r="O31" s="456" t="s">
        <v>41</v>
      </c>
      <c r="P31" s="456" t="s">
        <v>42</v>
      </c>
      <c r="Q31" s="456" t="s">
        <v>41</v>
      </c>
      <c r="R31" s="456" t="s">
        <v>44</v>
      </c>
      <c r="S31" s="456" t="s">
        <v>42</v>
      </c>
      <c r="T31" s="456" t="s">
        <v>43</v>
      </c>
      <c r="U31" s="456" t="s">
        <v>42</v>
      </c>
      <c r="V31" s="456" t="s">
        <v>41</v>
      </c>
      <c r="W31" s="456" t="s">
        <v>44</v>
      </c>
      <c r="X31" s="456" t="s">
        <v>41</v>
      </c>
      <c r="Y31" s="456" t="s">
        <v>42</v>
      </c>
      <c r="Z31" s="456" t="s">
        <v>44</v>
      </c>
      <c r="AA31" s="456" t="s">
        <v>43</v>
      </c>
      <c r="AB31" s="457" t="s">
        <v>41</v>
      </c>
      <c r="AC31" s="456" t="s">
        <v>42</v>
      </c>
      <c r="AD31" s="456" t="s">
        <v>43</v>
      </c>
      <c r="AE31" s="456" t="s">
        <v>44</v>
      </c>
      <c r="AF31" s="456" t="s">
        <v>41</v>
      </c>
      <c r="AG31" s="456" t="s">
        <v>43</v>
      </c>
      <c r="AH31" s="456" t="s">
        <v>44</v>
      </c>
      <c r="AI31" s="456" t="s">
        <v>42</v>
      </c>
      <c r="AJ31" s="456" t="s">
        <v>41</v>
      </c>
      <c r="AK31" s="456" t="s">
        <v>43</v>
      </c>
      <c r="AL31" s="456" t="s">
        <v>44</v>
      </c>
      <c r="AM31" s="456" t="s">
        <v>41</v>
      </c>
      <c r="AN31" s="456" t="s">
        <v>42</v>
      </c>
      <c r="AO31" s="456" t="s">
        <v>43</v>
      </c>
      <c r="AP31" s="456" t="s">
        <v>42</v>
      </c>
      <c r="AQ31" s="456" t="s">
        <v>43</v>
      </c>
      <c r="AR31" s="456" t="s">
        <v>41</v>
      </c>
      <c r="AS31" s="456" t="s">
        <v>42</v>
      </c>
      <c r="AT31" s="456" t="s">
        <v>43</v>
      </c>
      <c r="AU31" s="456" t="s">
        <v>44</v>
      </c>
      <c r="AV31" s="456" t="s">
        <v>43</v>
      </c>
      <c r="AW31" s="456" t="s">
        <v>41</v>
      </c>
      <c r="AX31" s="456" t="s">
        <v>42</v>
      </c>
      <c r="AY31" s="456" t="s">
        <v>44</v>
      </c>
      <c r="AZ31" s="456" t="s">
        <v>43</v>
      </c>
      <c r="BA31" s="456" t="s">
        <v>44</v>
      </c>
      <c r="BB31" s="456" t="s">
        <v>41</v>
      </c>
      <c r="BD31" s="369" t="s">
        <v>44</v>
      </c>
      <c r="BE31" s="458">
        <v>3.0</v>
      </c>
      <c r="BF31" s="458">
        <v>2.0</v>
      </c>
      <c r="BG31" s="458">
        <v>2.0</v>
      </c>
      <c r="BH31" s="458">
        <v>2.0</v>
      </c>
      <c r="BI31" s="371">
        <f t="shared" si="1"/>
        <v>56.25</v>
      </c>
      <c r="BJ31" s="377" t="str">
        <f t="shared" si="2"/>
        <v>Adequado</v>
      </c>
      <c r="BK31" s="373"/>
      <c r="BL31" s="374">
        <f t="shared" si="3"/>
        <v>7</v>
      </c>
      <c r="BM31" s="374">
        <f t="shared" si="4"/>
        <v>140</v>
      </c>
      <c r="BN31" s="459" t="str">
        <f t="shared" si="5"/>
        <v>Básico</v>
      </c>
      <c r="BO31" s="376">
        <f t="shared" si="6"/>
        <v>12</v>
      </c>
      <c r="BP31" s="374">
        <f t="shared" si="7"/>
        <v>233</v>
      </c>
      <c r="BQ31" s="377" t="str">
        <f t="shared" si="8"/>
        <v>Básico</v>
      </c>
      <c r="BR31" s="25"/>
    </row>
    <row r="32" ht="15.75" customHeight="1">
      <c r="A32" s="455">
        <v>3.0</v>
      </c>
      <c r="B32" s="378" t="s">
        <v>528</v>
      </c>
      <c r="C32" s="363" t="s">
        <v>170</v>
      </c>
      <c r="D32" s="447" t="s">
        <v>41</v>
      </c>
      <c r="E32" s="456" t="s">
        <v>44</v>
      </c>
      <c r="F32" s="456" t="s">
        <v>42</v>
      </c>
      <c r="G32" s="456" t="s">
        <v>41</v>
      </c>
      <c r="H32" s="456" t="s">
        <v>44</v>
      </c>
      <c r="I32" s="456" t="s">
        <v>42</v>
      </c>
      <c r="J32" s="456" t="s">
        <v>44</v>
      </c>
      <c r="K32" s="456" t="s">
        <v>43</v>
      </c>
      <c r="L32" s="456" t="s">
        <v>42</v>
      </c>
      <c r="M32" s="456" t="s">
        <v>44</v>
      </c>
      <c r="N32" s="456" t="s">
        <v>43</v>
      </c>
      <c r="O32" s="456" t="s">
        <v>41</v>
      </c>
      <c r="P32" s="456" t="s">
        <v>42</v>
      </c>
      <c r="Q32" s="456" t="s">
        <v>44</v>
      </c>
      <c r="R32" s="456" t="s">
        <v>41</v>
      </c>
      <c r="S32" s="456" t="s">
        <v>41</v>
      </c>
      <c r="T32" s="456" t="s">
        <v>44</v>
      </c>
      <c r="U32" s="456" t="s">
        <v>41</v>
      </c>
      <c r="V32" s="456" t="s">
        <v>43</v>
      </c>
      <c r="W32" s="456" t="s">
        <v>42</v>
      </c>
      <c r="X32" s="456" t="s">
        <v>44</v>
      </c>
      <c r="Y32" s="456" t="s">
        <v>42</v>
      </c>
      <c r="Z32" s="456" t="s">
        <v>41</v>
      </c>
      <c r="AA32" s="456" t="s">
        <v>43</v>
      </c>
      <c r="AB32" s="457" t="s">
        <v>44</v>
      </c>
      <c r="AC32" s="456" t="s">
        <v>41</v>
      </c>
      <c r="AD32" s="456" t="s">
        <v>43</v>
      </c>
      <c r="AE32" s="456" t="s">
        <v>173</v>
      </c>
      <c r="AF32" s="456" t="s">
        <v>41</v>
      </c>
      <c r="AG32" s="456" t="s">
        <v>42</v>
      </c>
      <c r="AH32" s="456" t="s">
        <v>44</v>
      </c>
      <c r="AI32" s="456" t="s">
        <v>43</v>
      </c>
      <c r="AJ32" s="456" t="s">
        <v>42</v>
      </c>
      <c r="AK32" s="456" t="s">
        <v>41</v>
      </c>
      <c r="AL32" s="456" t="s">
        <v>44</v>
      </c>
      <c r="AM32" s="456" t="s">
        <v>43</v>
      </c>
      <c r="AN32" s="456" t="s">
        <v>44</v>
      </c>
      <c r="AO32" s="456" t="s">
        <v>42</v>
      </c>
      <c r="AP32" s="456" t="s">
        <v>41</v>
      </c>
      <c r="AQ32" s="456" t="s">
        <v>44</v>
      </c>
      <c r="AR32" s="456" t="s">
        <v>42</v>
      </c>
      <c r="AS32" s="456" t="s">
        <v>41</v>
      </c>
      <c r="AT32" s="456" t="s">
        <v>44</v>
      </c>
      <c r="AU32" s="456" t="s">
        <v>43</v>
      </c>
      <c r="AV32" s="456" t="s">
        <v>43</v>
      </c>
      <c r="AW32" s="456" t="s">
        <v>44</v>
      </c>
      <c r="AX32" s="456" t="s">
        <v>42</v>
      </c>
      <c r="AY32" s="456" t="s">
        <v>42</v>
      </c>
      <c r="AZ32" s="456" t="s">
        <v>41</v>
      </c>
      <c r="BA32" s="456" t="s">
        <v>43</v>
      </c>
      <c r="BB32" s="456" t="s">
        <v>44</v>
      </c>
      <c r="BD32" s="369" t="s">
        <v>44</v>
      </c>
      <c r="BE32" s="458">
        <v>3.0</v>
      </c>
      <c r="BF32" s="458">
        <v>3.0</v>
      </c>
      <c r="BG32" s="458">
        <v>3.0</v>
      </c>
      <c r="BH32" s="458">
        <v>3.0</v>
      </c>
      <c r="BI32" s="371">
        <f t="shared" si="1"/>
        <v>75</v>
      </c>
      <c r="BJ32" s="377" t="str">
        <f t="shared" si="2"/>
        <v>Adequado</v>
      </c>
      <c r="BK32" s="373"/>
      <c r="BL32" s="374">
        <f t="shared" si="3"/>
        <v>6</v>
      </c>
      <c r="BM32" s="374">
        <f t="shared" si="4"/>
        <v>112</v>
      </c>
      <c r="BN32" s="459" t="str">
        <f t="shared" si="5"/>
        <v>Abaixo do Básico</v>
      </c>
      <c r="BO32" s="376">
        <f t="shared" si="6"/>
        <v>9</v>
      </c>
      <c r="BP32" s="374">
        <f t="shared" si="7"/>
        <v>157</v>
      </c>
      <c r="BQ32" s="377" t="str">
        <f t="shared" si="8"/>
        <v>Básico</v>
      </c>
      <c r="BR32" s="25"/>
    </row>
    <row r="33" ht="15.75" customHeight="1">
      <c r="A33" s="455">
        <v>4.0</v>
      </c>
      <c r="B33" s="378" t="s">
        <v>529</v>
      </c>
      <c r="C33" s="363" t="s">
        <v>170</v>
      </c>
      <c r="D33" s="447" t="s">
        <v>44</v>
      </c>
      <c r="E33" s="456" t="s">
        <v>42</v>
      </c>
      <c r="F33" s="456" t="s">
        <v>41</v>
      </c>
      <c r="G33" s="456" t="s">
        <v>42</v>
      </c>
      <c r="H33" s="456" t="s">
        <v>44</v>
      </c>
      <c r="I33" s="456" t="s">
        <v>43</v>
      </c>
      <c r="J33" s="456" t="s">
        <v>43</v>
      </c>
      <c r="K33" s="456" t="s">
        <v>43</v>
      </c>
      <c r="L33" s="456" t="s">
        <v>44</v>
      </c>
      <c r="M33" s="456" t="s">
        <v>41</v>
      </c>
      <c r="N33" s="456" t="s">
        <v>42</v>
      </c>
      <c r="O33" s="456" t="s">
        <v>44</v>
      </c>
      <c r="P33" s="456" t="s">
        <v>44</v>
      </c>
      <c r="Q33" s="456" t="s">
        <v>44</v>
      </c>
      <c r="R33" s="456" t="s">
        <v>41</v>
      </c>
      <c r="S33" s="456" t="s">
        <v>41</v>
      </c>
      <c r="T33" s="456" t="s">
        <v>42</v>
      </c>
      <c r="U33" s="456" t="s">
        <v>42</v>
      </c>
      <c r="V33" s="456" t="s">
        <v>41</v>
      </c>
      <c r="W33" s="456" t="s">
        <v>42</v>
      </c>
      <c r="X33" s="456" t="s">
        <v>44</v>
      </c>
      <c r="Y33" s="456" t="s">
        <v>43</v>
      </c>
      <c r="Z33" s="456" t="s">
        <v>44</v>
      </c>
      <c r="AA33" s="456" t="s">
        <v>43</v>
      </c>
      <c r="AB33" s="457" t="s">
        <v>42</v>
      </c>
      <c r="AC33" s="456" t="s">
        <v>41</v>
      </c>
      <c r="AD33" s="456" t="s">
        <v>42</v>
      </c>
      <c r="AE33" s="456" t="s">
        <v>41</v>
      </c>
      <c r="AF33" s="456" t="s">
        <v>44</v>
      </c>
      <c r="AG33" s="456" t="s">
        <v>42</v>
      </c>
      <c r="AH33" s="456" t="s">
        <v>42</v>
      </c>
      <c r="AI33" s="456" t="s">
        <v>43</v>
      </c>
      <c r="AJ33" s="456" t="s">
        <v>41</v>
      </c>
      <c r="AK33" s="456" t="s">
        <v>44</v>
      </c>
      <c r="AL33" s="456" t="s">
        <v>42</v>
      </c>
      <c r="AM33" s="456" t="s">
        <v>43</v>
      </c>
      <c r="AN33" s="456" t="s">
        <v>43</v>
      </c>
      <c r="AO33" s="456" t="s">
        <v>44</v>
      </c>
      <c r="AP33" s="456" t="s">
        <v>44</v>
      </c>
      <c r="AQ33" s="456" t="s">
        <v>43</v>
      </c>
      <c r="AR33" s="456" t="s">
        <v>42</v>
      </c>
      <c r="AS33" s="456" t="s">
        <v>43</v>
      </c>
      <c r="AT33" s="456" t="s">
        <v>42</v>
      </c>
      <c r="AU33" s="456" t="s">
        <v>44</v>
      </c>
      <c r="AV33" s="456" t="s">
        <v>42</v>
      </c>
      <c r="AW33" s="456" t="s">
        <v>43</v>
      </c>
      <c r="AX33" s="456" t="s">
        <v>42</v>
      </c>
      <c r="AY33" s="456" t="s">
        <v>41</v>
      </c>
      <c r="AZ33" s="456" t="s">
        <v>41</v>
      </c>
      <c r="BA33" s="456" t="s">
        <v>42</v>
      </c>
      <c r="BB33" s="456" t="s">
        <v>42</v>
      </c>
      <c r="BD33" s="369" t="s">
        <v>44</v>
      </c>
      <c r="BE33" s="458">
        <v>3.0</v>
      </c>
      <c r="BF33" s="458">
        <v>2.0</v>
      </c>
      <c r="BG33" s="458">
        <v>2.0</v>
      </c>
      <c r="BH33" s="458">
        <v>2.0</v>
      </c>
      <c r="BI33" s="371">
        <f t="shared" si="1"/>
        <v>56.25</v>
      </c>
      <c r="BJ33" s="377" t="str">
        <f t="shared" si="2"/>
        <v>Adequado</v>
      </c>
      <c r="BK33" s="373"/>
      <c r="BL33" s="374">
        <f t="shared" si="3"/>
        <v>8</v>
      </c>
      <c r="BM33" s="374">
        <f t="shared" si="4"/>
        <v>169</v>
      </c>
      <c r="BN33" s="459" t="str">
        <f t="shared" si="5"/>
        <v>Básico</v>
      </c>
      <c r="BO33" s="376">
        <f t="shared" si="6"/>
        <v>4</v>
      </c>
      <c r="BP33" s="374">
        <f t="shared" si="7"/>
        <v>71</v>
      </c>
      <c r="BQ33" s="377" t="str">
        <f t="shared" si="8"/>
        <v>Abaixo do Básico</v>
      </c>
      <c r="BR33" s="25"/>
    </row>
    <row r="34" ht="15.75" customHeight="1">
      <c r="A34" s="455">
        <v>5.0</v>
      </c>
      <c r="B34" s="378" t="s">
        <v>530</v>
      </c>
      <c r="C34" s="363" t="s">
        <v>170</v>
      </c>
      <c r="D34" s="447" t="s">
        <v>44</v>
      </c>
      <c r="E34" s="456" t="s">
        <v>42</v>
      </c>
      <c r="F34" s="456" t="s">
        <v>42</v>
      </c>
      <c r="G34" s="456" t="s">
        <v>44</v>
      </c>
      <c r="H34" s="456" t="s">
        <v>42</v>
      </c>
      <c r="I34" s="456" t="s">
        <v>41</v>
      </c>
      <c r="J34" s="456" t="s">
        <v>41</v>
      </c>
      <c r="K34" s="456" t="s">
        <v>42</v>
      </c>
      <c r="L34" s="456" t="s">
        <v>41</v>
      </c>
      <c r="M34" s="456" t="s">
        <v>42</v>
      </c>
      <c r="N34" s="456" t="s">
        <v>42</v>
      </c>
      <c r="O34" s="456" t="s">
        <v>41</v>
      </c>
      <c r="P34" s="456" t="s">
        <v>43</v>
      </c>
      <c r="Q34" s="456" t="s">
        <v>44</v>
      </c>
      <c r="R34" s="456" t="s">
        <v>44</v>
      </c>
      <c r="S34" s="456" t="s">
        <v>44</v>
      </c>
      <c r="T34" s="456" t="s">
        <v>42</v>
      </c>
      <c r="U34" s="456" t="s">
        <v>44</v>
      </c>
      <c r="V34" s="456" t="s">
        <v>44</v>
      </c>
      <c r="W34" s="456" t="s">
        <v>44</v>
      </c>
      <c r="X34" s="456" t="s">
        <v>42</v>
      </c>
      <c r="Y34" s="456" t="s">
        <v>44</v>
      </c>
      <c r="Z34" s="456" t="s">
        <v>44</v>
      </c>
      <c r="AA34" s="456" t="s">
        <v>44</v>
      </c>
      <c r="AB34" s="457" t="s">
        <v>44</v>
      </c>
      <c r="AC34" s="456" t="s">
        <v>44</v>
      </c>
      <c r="AD34" s="456" t="s">
        <v>42</v>
      </c>
      <c r="AE34" s="456" t="s">
        <v>41</v>
      </c>
      <c r="AF34" s="456" t="s">
        <v>43</v>
      </c>
      <c r="AG34" s="456" t="s">
        <v>41</v>
      </c>
      <c r="AH34" s="456" t="s">
        <v>42</v>
      </c>
      <c r="AI34" s="456" t="s">
        <v>44</v>
      </c>
      <c r="AJ34" s="456" t="s">
        <v>42</v>
      </c>
      <c r="AK34" s="456" t="s">
        <v>44</v>
      </c>
      <c r="AL34" s="456" t="s">
        <v>42</v>
      </c>
      <c r="AM34" s="456" t="s">
        <v>41</v>
      </c>
      <c r="AN34" s="456" t="s">
        <v>41</v>
      </c>
      <c r="AO34" s="456" t="s">
        <v>42</v>
      </c>
      <c r="AP34" s="456" t="s">
        <v>41</v>
      </c>
      <c r="AQ34" s="456" t="s">
        <v>41</v>
      </c>
      <c r="AR34" s="456" t="s">
        <v>42</v>
      </c>
      <c r="AS34" s="456" t="s">
        <v>41</v>
      </c>
      <c r="AT34" s="456" t="s">
        <v>42</v>
      </c>
      <c r="AU34" s="456" t="s">
        <v>42</v>
      </c>
      <c r="AV34" s="456" t="s">
        <v>42</v>
      </c>
      <c r="AW34" s="456" t="s">
        <v>41</v>
      </c>
      <c r="AX34" s="456" t="s">
        <v>42</v>
      </c>
      <c r="AY34" s="456" t="s">
        <v>41</v>
      </c>
      <c r="AZ34" s="456" t="s">
        <v>44</v>
      </c>
      <c r="BA34" s="456" t="s">
        <v>42</v>
      </c>
      <c r="BB34" s="456" t="s">
        <v>44</v>
      </c>
      <c r="BD34" s="369" t="s">
        <v>41</v>
      </c>
      <c r="BE34" s="458" t="s">
        <v>173</v>
      </c>
      <c r="BF34" s="458" t="s">
        <v>173</v>
      </c>
      <c r="BG34" s="458" t="s">
        <v>173</v>
      </c>
      <c r="BH34" s="458" t="s">
        <v>173</v>
      </c>
      <c r="BI34" s="371">
        <f t="shared" si="1"/>
        <v>0</v>
      </c>
      <c r="BJ34" s="377" t="str">
        <f t="shared" si="2"/>
        <v>Abaixo do Básico</v>
      </c>
      <c r="BK34" s="373"/>
      <c r="BL34" s="374">
        <f t="shared" si="3"/>
        <v>8</v>
      </c>
      <c r="BM34" s="374">
        <f t="shared" si="4"/>
        <v>150</v>
      </c>
      <c r="BN34" s="459" t="str">
        <f t="shared" si="5"/>
        <v>Básico</v>
      </c>
      <c r="BO34" s="376">
        <f t="shared" si="6"/>
        <v>7</v>
      </c>
      <c r="BP34" s="374">
        <f t="shared" si="7"/>
        <v>140</v>
      </c>
      <c r="BQ34" s="377" t="str">
        <f t="shared" si="8"/>
        <v>Básico</v>
      </c>
      <c r="BR34" s="25"/>
    </row>
    <row r="35" ht="15.75" customHeight="1">
      <c r="A35" s="455">
        <v>6.0</v>
      </c>
      <c r="B35" s="378" t="s">
        <v>531</v>
      </c>
      <c r="C35" s="363" t="s">
        <v>199</v>
      </c>
      <c r="D35" s="447" t="s">
        <v>172</v>
      </c>
      <c r="E35" s="456" t="s">
        <v>172</v>
      </c>
      <c r="F35" s="456" t="s">
        <v>172</v>
      </c>
      <c r="G35" s="456" t="s">
        <v>172</v>
      </c>
      <c r="H35" s="456" t="s">
        <v>172</v>
      </c>
      <c r="I35" s="456" t="s">
        <v>172</v>
      </c>
      <c r="J35" s="456" t="s">
        <v>172</v>
      </c>
      <c r="K35" s="456" t="s">
        <v>172</v>
      </c>
      <c r="L35" s="456" t="s">
        <v>172</v>
      </c>
      <c r="M35" s="456" t="s">
        <v>172</v>
      </c>
      <c r="N35" s="456" t="s">
        <v>172</v>
      </c>
      <c r="O35" s="456" t="s">
        <v>172</v>
      </c>
      <c r="P35" s="456" t="s">
        <v>172</v>
      </c>
      <c r="Q35" s="456" t="s">
        <v>172</v>
      </c>
      <c r="R35" s="456" t="s">
        <v>172</v>
      </c>
      <c r="S35" s="456" t="s">
        <v>172</v>
      </c>
      <c r="T35" s="456" t="s">
        <v>172</v>
      </c>
      <c r="U35" s="456" t="s">
        <v>172</v>
      </c>
      <c r="V35" s="456" t="s">
        <v>172</v>
      </c>
      <c r="W35" s="456" t="s">
        <v>172</v>
      </c>
      <c r="X35" s="456" t="s">
        <v>172</v>
      </c>
      <c r="Y35" s="456" t="s">
        <v>172</v>
      </c>
      <c r="Z35" s="456" t="s">
        <v>172</v>
      </c>
      <c r="AA35" s="456" t="s">
        <v>172</v>
      </c>
      <c r="AB35" s="457" t="s">
        <v>172</v>
      </c>
      <c r="AC35" s="456" t="s">
        <v>172</v>
      </c>
      <c r="AD35" s="456" t="s">
        <v>172</v>
      </c>
      <c r="AE35" s="456" t="s">
        <v>172</v>
      </c>
      <c r="AF35" s="456" t="s">
        <v>172</v>
      </c>
      <c r="AG35" s="456" t="s">
        <v>172</v>
      </c>
      <c r="AH35" s="456" t="s">
        <v>172</v>
      </c>
      <c r="AI35" s="456" t="s">
        <v>172</v>
      </c>
      <c r="AJ35" s="456" t="s">
        <v>172</v>
      </c>
      <c r="AK35" s="456" t="s">
        <v>172</v>
      </c>
      <c r="AL35" s="456" t="s">
        <v>172</v>
      </c>
      <c r="AM35" s="456" t="s">
        <v>172</v>
      </c>
      <c r="AN35" s="456" t="s">
        <v>172</v>
      </c>
      <c r="AO35" s="456" t="s">
        <v>172</v>
      </c>
      <c r="AP35" s="456" t="s">
        <v>172</v>
      </c>
      <c r="AQ35" s="456" t="s">
        <v>172</v>
      </c>
      <c r="AR35" s="456" t="s">
        <v>172</v>
      </c>
      <c r="AS35" s="456" t="s">
        <v>172</v>
      </c>
      <c r="AT35" s="456" t="s">
        <v>172</v>
      </c>
      <c r="AU35" s="456" t="s">
        <v>172</v>
      </c>
      <c r="AV35" s="456" t="s">
        <v>172</v>
      </c>
      <c r="AW35" s="456" t="s">
        <v>172</v>
      </c>
      <c r="AX35" s="456" t="s">
        <v>172</v>
      </c>
      <c r="AY35" s="456" t="s">
        <v>172</v>
      </c>
      <c r="AZ35" s="456" t="s">
        <v>172</v>
      </c>
      <c r="BA35" s="456" t="s">
        <v>172</v>
      </c>
      <c r="BB35" s="456" t="s">
        <v>172</v>
      </c>
      <c r="BD35" s="369" t="s">
        <v>172</v>
      </c>
      <c r="BE35" s="458" t="s">
        <v>173</v>
      </c>
      <c r="BF35" s="458" t="s">
        <v>173</v>
      </c>
      <c r="BG35" s="458" t="s">
        <v>173</v>
      </c>
      <c r="BH35" s="458" t="s">
        <v>173</v>
      </c>
      <c r="BI35" s="371">
        <f t="shared" si="1"/>
        <v>0</v>
      </c>
      <c r="BJ35" s="377" t="str">
        <f t="shared" si="2"/>
        <v>Abaixo do Básico</v>
      </c>
      <c r="BK35" s="373"/>
      <c r="BL35" s="374">
        <f t="shared" si="3"/>
        <v>0</v>
      </c>
      <c r="BM35" s="374">
        <f t="shared" si="4"/>
        <v>0</v>
      </c>
      <c r="BN35" s="459" t="str">
        <f t="shared" si="5"/>
        <v>Abaixo do Básico</v>
      </c>
      <c r="BO35" s="376">
        <f t="shared" si="6"/>
        <v>0</v>
      </c>
      <c r="BP35" s="374">
        <f t="shared" si="7"/>
        <v>0</v>
      </c>
      <c r="BQ35" s="377" t="str">
        <f t="shared" si="8"/>
        <v>Abaixo do Básico</v>
      </c>
      <c r="BR35" s="25"/>
    </row>
    <row r="36" ht="15.75" customHeight="1">
      <c r="A36" s="455">
        <v>7.0</v>
      </c>
      <c r="B36" s="378" t="s">
        <v>532</v>
      </c>
      <c r="C36" s="363" t="s">
        <v>170</v>
      </c>
      <c r="D36" s="447" t="s">
        <v>41</v>
      </c>
      <c r="E36" s="456" t="s">
        <v>42</v>
      </c>
      <c r="F36" s="456" t="s">
        <v>44</v>
      </c>
      <c r="G36" s="456" t="s">
        <v>43</v>
      </c>
      <c r="H36" s="456" t="s">
        <v>42</v>
      </c>
      <c r="I36" s="456" t="s">
        <v>41</v>
      </c>
      <c r="J36" s="456" t="s">
        <v>44</v>
      </c>
      <c r="K36" s="456" t="s">
        <v>41</v>
      </c>
      <c r="L36" s="456" t="s">
        <v>43</v>
      </c>
      <c r="M36" s="456" t="s">
        <v>44</v>
      </c>
      <c r="N36" s="456" t="s">
        <v>43</v>
      </c>
      <c r="O36" s="456" t="s">
        <v>44</v>
      </c>
      <c r="P36" s="456" t="s">
        <v>44</v>
      </c>
      <c r="Q36" s="456" t="s">
        <v>44</v>
      </c>
      <c r="R36" s="456" t="s">
        <v>42</v>
      </c>
      <c r="S36" s="456" t="s">
        <v>42</v>
      </c>
      <c r="T36" s="456" t="s">
        <v>41</v>
      </c>
      <c r="U36" s="456" t="s">
        <v>44</v>
      </c>
      <c r="V36" s="456" t="s">
        <v>43</v>
      </c>
      <c r="W36" s="456" t="s">
        <v>42</v>
      </c>
      <c r="X36" s="456" t="s">
        <v>44</v>
      </c>
      <c r="Y36" s="456" t="s">
        <v>43</v>
      </c>
      <c r="Z36" s="456" t="s">
        <v>41</v>
      </c>
      <c r="AA36" s="456" t="s">
        <v>42</v>
      </c>
      <c r="AB36" s="457" t="s">
        <v>44</v>
      </c>
      <c r="AC36" s="456" t="s">
        <v>41</v>
      </c>
      <c r="AD36" s="456" t="s">
        <v>42</v>
      </c>
      <c r="AE36" s="456" t="s">
        <v>43</v>
      </c>
      <c r="AF36" s="456" t="s">
        <v>44</v>
      </c>
      <c r="AG36" s="456" t="s">
        <v>43</v>
      </c>
      <c r="AH36" s="456" t="s">
        <v>44</v>
      </c>
      <c r="AI36" s="456" t="s">
        <v>42</v>
      </c>
      <c r="AJ36" s="456" t="s">
        <v>44</v>
      </c>
      <c r="AK36" s="456" t="s">
        <v>41</v>
      </c>
      <c r="AL36" s="456" t="s">
        <v>41</v>
      </c>
      <c r="AM36" s="456" t="s">
        <v>44</v>
      </c>
      <c r="AN36" s="456" t="s">
        <v>44</v>
      </c>
      <c r="AO36" s="456" t="s">
        <v>43</v>
      </c>
      <c r="AP36" s="456" t="s">
        <v>44</v>
      </c>
      <c r="AQ36" s="456" t="s">
        <v>41</v>
      </c>
      <c r="AR36" s="456" t="s">
        <v>41</v>
      </c>
      <c r="AS36" s="456" t="s">
        <v>42</v>
      </c>
      <c r="AT36" s="456" t="s">
        <v>43</v>
      </c>
      <c r="AU36" s="456" t="s">
        <v>42</v>
      </c>
      <c r="AV36" s="456" t="s">
        <v>43</v>
      </c>
      <c r="AW36" s="456" t="s">
        <v>42</v>
      </c>
      <c r="AX36" s="456" t="s">
        <v>42</v>
      </c>
      <c r="AY36" s="456" t="s">
        <v>41</v>
      </c>
      <c r="AZ36" s="456" t="s">
        <v>43</v>
      </c>
      <c r="BA36" s="456" t="s">
        <v>41</v>
      </c>
      <c r="BB36" s="456" t="s">
        <v>43</v>
      </c>
      <c r="BD36" s="369" t="s">
        <v>44</v>
      </c>
      <c r="BE36" s="458">
        <v>2.0</v>
      </c>
      <c r="BF36" s="458">
        <v>2.0</v>
      </c>
      <c r="BG36" s="458">
        <v>2.0</v>
      </c>
      <c r="BH36" s="458">
        <v>2.0</v>
      </c>
      <c r="BI36" s="371">
        <f t="shared" si="1"/>
        <v>50</v>
      </c>
      <c r="BJ36" s="377" t="str">
        <f t="shared" si="2"/>
        <v>Básico</v>
      </c>
      <c r="BK36" s="373"/>
      <c r="BL36" s="374">
        <f t="shared" si="3"/>
        <v>5</v>
      </c>
      <c r="BM36" s="374">
        <f t="shared" si="4"/>
        <v>94</v>
      </c>
      <c r="BN36" s="459" t="str">
        <f t="shared" si="5"/>
        <v>Abaixo do Básico</v>
      </c>
      <c r="BO36" s="376">
        <f t="shared" si="6"/>
        <v>10</v>
      </c>
      <c r="BP36" s="374">
        <f t="shared" si="7"/>
        <v>195</v>
      </c>
      <c r="BQ36" s="377" t="str">
        <f t="shared" si="8"/>
        <v>Básico</v>
      </c>
      <c r="BR36" s="25"/>
    </row>
    <row r="37" ht="15.75" customHeight="1">
      <c r="A37" s="455">
        <v>8.0</v>
      </c>
      <c r="B37" s="378" t="s">
        <v>533</v>
      </c>
      <c r="C37" s="363" t="s">
        <v>170</v>
      </c>
      <c r="D37" s="447" t="s">
        <v>42</v>
      </c>
      <c r="E37" s="456" t="s">
        <v>43</v>
      </c>
      <c r="F37" s="456" t="s">
        <v>41</v>
      </c>
      <c r="G37" s="456" t="s">
        <v>44</v>
      </c>
      <c r="H37" s="456" t="s">
        <v>42</v>
      </c>
      <c r="I37" s="456" t="s">
        <v>42</v>
      </c>
      <c r="J37" s="456" t="s">
        <v>41</v>
      </c>
      <c r="K37" s="456" t="s">
        <v>43</v>
      </c>
      <c r="L37" s="456" t="s">
        <v>44</v>
      </c>
      <c r="M37" s="456" t="s">
        <v>41</v>
      </c>
      <c r="N37" s="456" t="s">
        <v>44</v>
      </c>
      <c r="O37" s="456" t="s">
        <v>43</v>
      </c>
      <c r="P37" s="456" t="s">
        <v>41</v>
      </c>
      <c r="Q37" s="456" t="s">
        <v>44</v>
      </c>
      <c r="R37" s="456" t="s">
        <v>41</v>
      </c>
      <c r="S37" s="456" t="s">
        <v>41</v>
      </c>
      <c r="T37" s="456" t="s">
        <v>43</v>
      </c>
      <c r="U37" s="456" t="s">
        <v>44</v>
      </c>
      <c r="V37" s="456" t="s">
        <v>44</v>
      </c>
      <c r="W37" s="456" t="s">
        <v>43</v>
      </c>
      <c r="X37" s="456" t="s">
        <v>41</v>
      </c>
      <c r="Y37" s="456" t="s">
        <v>42</v>
      </c>
      <c r="Z37" s="456" t="s">
        <v>41</v>
      </c>
      <c r="AA37" s="456" t="s">
        <v>44</v>
      </c>
      <c r="AB37" s="457" t="s">
        <v>43</v>
      </c>
      <c r="AC37" s="456" t="s">
        <v>41</v>
      </c>
      <c r="AD37" s="456" t="s">
        <v>42</v>
      </c>
      <c r="AE37" s="456" t="s">
        <v>43</v>
      </c>
      <c r="AF37" s="456" t="s">
        <v>42</v>
      </c>
      <c r="AG37" s="456" t="s">
        <v>41</v>
      </c>
      <c r="AH37" s="456" t="s">
        <v>42</v>
      </c>
      <c r="AI37" s="456" t="s">
        <v>41</v>
      </c>
      <c r="AJ37" s="456" t="s">
        <v>44</v>
      </c>
      <c r="AK37" s="456" t="s">
        <v>41</v>
      </c>
      <c r="AL37" s="456" t="s">
        <v>41</v>
      </c>
      <c r="AM37" s="456" t="s">
        <v>43</v>
      </c>
      <c r="AN37" s="456" t="s">
        <v>43</v>
      </c>
      <c r="AO37" s="456" t="s">
        <v>41</v>
      </c>
      <c r="AP37" s="456" t="s">
        <v>43</v>
      </c>
      <c r="AQ37" s="456" t="s">
        <v>42</v>
      </c>
      <c r="AR37" s="456" t="s">
        <v>42</v>
      </c>
      <c r="AS37" s="456" t="s">
        <v>42</v>
      </c>
      <c r="AT37" s="456" t="s">
        <v>41</v>
      </c>
      <c r="AU37" s="456" t="s">
        <v>44</v>
      </c>
      <c r="AV37" s="456" t="s">
        <v>41</v>
      </c>
      <c r="AW37" s="456" t="s">
        <v>43</v>
      </c>
      <c r="AX37" s="456" t="s">
        <v>44</v>
      </c>
      <c r="AY37" s="456" t="s">
        <v>42</v>
      </c>
      <c r="AZ37" s="456" t="s">
        <v>43</v>
      </c>
      <c r="BA37" s="456" t="s">
        <v>42</v>
      </c>
      <c r="BB37" s="456" t="s">
        <v>41</v>
      </c>
      <c r="BD37" s="369" t="s">
        <v>44</v>
      </c>
      <c r="BE37" s="458">
        <v>3.0</v>
      </c>
      <c r="BF37" s="458">
        <v>2.0</v>
      </c>
      <c r="BG37" s="458">
        <v>2.0</v>
      </c>
      <c r="BH37" s="458">
        <v>2.0</v>
      </c>
      <c r="BI37" s="371">
        <f t="shared" si="1"/>
        <v>56.25</v>
      </c>
      <c r="BJ37" s="377" t="str">
        <f t="shared" si="2"/>
        <v>Adequado</v>
      </c>
      <c r="BK37" s="373"/>
      <c r="BL37" s="374">
        <f t="shared" si="3"/>
        <v>7</v>
      </c>
      <c r="BM37" s="374">
        <f t="shared" si="4"/>
        <v>132</v>
      </c>
      <c r="BN37" s="459" t="str">
        <f t="shared" si="5"/>
        <v>Básico</v>
      </c>
      <c r="BO37" s="376">
        <f t="shared" si="6"/>
        <v>7</v>
      </c>
      <c r="BP37" s="374">
        <f t="shared" si="7"/>
        <v>154</v>
      </c>
      <c r="BQ37" s="377" t="str">
        <f t="shared" si="8"/>
        <v>Básico</v>
      </c>
      <c r="BR37" s="25"/>
    </row>
    <row r="38" ht="15.75" customHeight="1">
      <c r="A38" s="455">
        <v>9.0</v>
      </c>
      <c r="B38" s="378" t="s">
        <v>534</v>
      </c>
      <c r="C38" s="363" t="s">
        <v>170</v>
      </c>
      <c r="D38" s="447" t="s">
        <v>44</v>
      </c>
      <c r="E38" s="456" t="s">
        <v>43</v>
      </c>
      <c r="F38" s="456" t="s">
        <v>41</v>
      </c>
      <c r="G38" s="456" t="s">
        <v>42</v>
      </c>
      <c r="H38" s="456" t="s">
        <v>43</v>
      </c>
      <c r="I38" s="456" t="s">
        <v>42</v>
      </c>
      <c r="J38" s="456" t="s">
        <v>43</v>
      </c>
      <c r="K38" s="456" t="s">
        <v>44</v>
      </c>
      <c r="L38" s="456" t="s">
        <v>44</v>
      </c>
      <c r="M38" s="456" t="s">
        <v>43</v>
      </c>
      <c r="N38" s="456" t="s">
        <v>43</v>
      </c>
      <c r="O38" s="456" t="s">
        <v>42</v>
      </c>
      <c r="P38" s="456" t="s">
        <v>43</v>
      </c>
      <c r="Q38" s="456" t="s">
        <v>42</v>
      </c>
      <c r="R38" s="456" t="s">
        <v>42</v>
      </c>
      <c r="S38" s="456" t="s">
        <v>44</v>
      </c>
      <c r="T38" s="456" t="s">
        <v>41</v>
      </c>
      <c r="U38" s="456" t="s">
        <v>44</v>
      </c>
      <c r="V38" s="456" t="s">
        <v>41</v>
      </c>
      <c r="W38" s="456" t="s">
        <v>43</v>
      </c>
      <c r="X38" s="456" t="s">
        <v>44</v>
      </c>
      <c r="Y38" s="456" t="s">
        <v>43</v>
      </c>
      <c r="Z38" s="456" t="s">
        <v>43</v>
      </c>
      <c r="AA38" s="456" t="s">
        <v>43</v>
      </c>
      <c r="AB38" s="457" t="s">
        <v>42</v>
      </c>
      <c r="AC38" s="456" t="s">
        <v>41</v>
      </c>
      <c r="AD38" s="456" t="s">
        <v>42</v>
      </c>
      <c r="AE38" s="456" t="s">
        <v>42</v>
      </c>
      <c r="AF38" s="456" t="s">
        <v>41</v>
      </c>
      <c r="AG38" s="456" t="s">
        <v>41</v>
      </c>
      <c r="AH38" s="456" t="s">
        <v>43</v>
      </c>
      <c r="AI38" s="456" t="s">
        <v>43</v>
      </c>
      <c r="AJ38" s="456" t="s">
        <v>41</v>
      </c>
      <c r="AK38" s="456" t="s">
        <v>44</v>
      </c>
      <c r="AL38" s="456" t="s">
        <v>42</v>
      </c>
      <c r="AM38" s="456" t="s">
        <v>41</v>
      </c>
      <c r="AN38" s="456" t="s">
        <v>41</v>
      </c>
      <c r="AO38" s="456" t="s">
        <v>43</v>
      </c>
      <c r="AP38" s="456" t="s">
        <v>41</v>
      </c>
      <c r="AQ38" s="456" t="s">
        <v>42</v>
      </c>
      <c r="AR38" s="456" t="s">
        <v>41</v>
      </c>
      <c r="AS38" s="456" t="s">
        <v>43</v>
      </c>
      <c r="AT38" s="456" t="s">
        <v>44</v>
      </c>
      <c r="AU38" s="456" t="s">
        <v>41</v>
      </c>
      <c r="AV38" s="456" t="s">
        <v>42</v>
      </c>
      <c r="AW38" s="456" t="s">
        <v>42</v>
      </c>
      <c r="AX38" s="456" t="s">
        <v>41</v>
      </c>
      <c r="AY38" s="456" t="s">
        <v>44</v>
      </c>
      <c r="AZ38" s="456" t="s">
        <v>41</v>
      </c>
      <c r="BA38" s="456" t="s">
        <v>43</v>
      </c>
      <c r="BB38" s="456" t="s">
        <v>42</v>
      </c>
      <c r="BD38" s="369" t="s">
        <v>44</v>
      </c>
      <c r="BE38" s="458">
        <v>3.0</v>
      </c>
      <c r="BF38" s="458">
        <v>2.0</v>
      </c>
      <c r="BG38" s="458">
        <v>2.0</v>
      </c>
      <c r="BH38" s="458">
        <v>2.0</v>
      </c>
      <c r="BI38" s="371">
        <f t="shared" si="1"/>
        <v>56.25</v>
      </c>
      <c r="BJ38" s="377" t="str">
        <f t="shared" si="2"/>
        <v>Adequado</v>
      </c>
      <c r="BK38" s="373"/>
      <c r="BL38" s="374">
        <f t="shared" si="3"/>
        <v>10</v>
      </c>
      <c r="BM38" s="374">
        <f t="shared" si="4"/>
        <v>198</v>
      </c>
      <c r="BN38" s="459" t="str">
        <f t="shared" si="5"/>
        <v>Básico</v>
      </c>
      <c r="BO38" s="376">
        <f t="shared" si="6"/>
        <v>8</v>
      </c>
      <c r="BP38" s="374">
        <f t="shared" si="7"/>
        <v>141</v>
      </c>
      <c r="BQ38" s="377" t="str">
        <f t="shared" si="8"/>
        <v>Básico</v>
      </c>
      <c r="BR38" s="25"/>
    </row>
    <row r="39" ht="15.75" customHeight="1">
      <c r="A39" s="455">
        <v>10.0</v>
      </c>
      <c r="B39" s="378" t="s">
        <v>535</v>
      </c>
      <c r="C39" s="363" t="s">
        <v>170</v>
      </c>
      <c r="D39" s="447" t="s">
        <v>41</v>
      </c>
      <c r="E39" s="456" t="s">
        <v>41</v>
      </c>
      <c r="F39" s="456" t="s">
        <v>41</v>
      </c>
      <c r="G39" s="456" t="s">
        <v>42</v>
      </c>
      <c r="H39" s="456" t="s">
        <v>43</v>
      </c>
      <c r="I39" s="456" t="s">
        <v>42</v>
      </c>
      <c r="J39" s="456" t="s">
        <v>44</v>
      </c>
      <c r="K39" s="456" t="s">
        <v>44</v>
      </c>
      <c r="L39" s="456" t="s">
        <v>44</v>
      </c>
      <c r="M39" s="456" t="s">
        <v>42</v>
      </c>
      <c r="N39" s="456" t="s">
        <v>44</v>
      </c>
      <c r="O39" s="456" t="s">
        <v>42</v>
      </c>
      <c r="P39" s="456" t="s">
        <v>42</v>
      </c>
      <c r="Q39" s="456" t="s">
        <v>44</v>
      </c>
      <c r="R39" s="456" t="s">
        <v>41</v>
      </c>
      <c r="S39" s="456" t="s">
        <v>41</v>
      </c>
      <c r="T39" s="456" t="s">
        <v>42</v>
      </c>
      <c r="U39" s="456" t="s">
        <v>43</v>
      </c>
      <c r="V39" s="456" t="s">
        <v>44</v>
      </c>
      <c r="W39" s="456" t="s">
        <v>42</v>
      </c>
      <c r="X39" s="456" t="s">
        <v>43</v>
      </c>
      <c r="Y39" s="456" t="s">
        <v>44</v>
      </c>
      <c r="Z39" s="456" t="s">
        <v>42</v>
      </c>
      <c r="AA39" s="456" t="s">
        <v>42</v>
      </c>
      <c r="AB39" s="457" t="s">
        <v>44</v>
      </c>
      <c r="AC39" s="456" t="s">
        <v>44</v>
      </c>
      <c r="AD39" s="456" t="s">
        <v>41</v>
      </c>
      <c r="AE39" s="456" t="s">
        <v>41</v>
      </c>
      <c r="AF39" s="456" t="s">
        <v>43</v>
      </c>
      <c r="AG39" s="456" t="s">
        <v>42</v>
      </c>
      <c r="AH39" s="456" t="s">
        <v>42</v>
      </c>
      <c r="AI39" s="456" t="s">
        <v>42</v>
      </c>
      <c r="AJ39" s="456" t="s">
        <v>44</v>
      </c>
      <c r="AK39" s="456" t="s">
        <v>41</v>
      </c>
      <c r="AL39" s="456" t="s">
        <v>42</v>
      </c>
      <c r="AM39" s="456" t="s">
        <v>43</v>
      </c>
      <c r="AN39" s="456" t="s">
        <v>41</v>
      </c>
      <c r="AO39" s="456" t="s">
        <v>44</v>
      </c>
      <c r="AP39" s="456" t="s">
        <v>44</v>
      </c>
      <c r="AQ39" s="456" t="s">
        <v>41</v>
      </c>
      <c r="AR39" s="456" t="s">
        <v>41</v>
      </c>
      <c r="AS39" s="456" t="s">
        <v>43</v>
      </c>
      <c r="AT39" s="456" t="s">
        <v>42</v>
      </c>
      <c r="AU39" s="456" t="s">
        <v>44</v>
      </c>
      <c r="AV39" s="456" t="s">
        <v>43</v>
      </c>
      <c r="AW39" s="456" t="s">
        <v>42</v>
      </c>
      <c r="AX39" s="456" t="s">
        <v>44</v>
      </c>
      <c r="AY39" s="456" t="s">
        <v>43</v>
      </c>
      <c r="AZ39" s="456" t="s">
        <v>43</v>
      </c>
      <c r="BA39" s="456" t="s">
        <v>44</v>
      </c>
      <c r="BB39" s="456" t="s">
        <v>42</v>
      </c>
      <c r="BD39" s="369" t="s">
        <v>44</v>
      </c>
      <c r="BE39" s="458">
        <v>2.0</v>
      </c>
      <c r="BF39" s="458">
        <v>2.0</v>
      </c>
      <c r="BG39" s="458">
        <v>2.0</v>
      </c>
      <c r="BH39" s="458">
        <v>2.0</v>
      </c>
      <c r="BI39" s="371">
        <f t="shared" si="1"/>
        <v>50</v>
      </c>
      <c r="BJ39" s="377" t="str">
        <f t="shared" si="2"/>
        <v>Básico</v>
      </c>
      <c r="BK39" s="373"/>
      <c r="BL39" s="374">
        <f t="shared" si="3"/>
        <v>15</v>
      </c>
      <c r="BM39" s="374">
        <f t="shared" si="4"/>
        <v>310</v>
      </c>
      <c r="BN39" s="459" t="str">
        <f t="shared" si="5"/>
        <v>Adequado</v>
      </c>
      <c r="BO39" s="376">
        <f t="shared" si="6"/>
        <v>3</v>
      </c>
      <c r="BP39" s="374">
        <f t="shared" si="7"/>
        <v>62</v>
      </c>
      <c r="BQ39" s="377" t="str">
        <f t="shared" si="8"/>
        <v>Abaixo do Básico</v>
      </c>
      <c r="BR39" s="25"/>
    </row>
    <row r="40" ht="15.75" customHeight="1">
      <c r="A40" s="455">
        <v>11.0</v>
      </c>
      <c r="B40" s="378" t="s">
        <v>536</v>
      </c>
      <c r="C40" s="363" t="s">
        <v>170</v>
      </c>
      <c r="D40" s="447" t="s">
        <v>41</v>
      </c>
      <c r="E40" s="456" t="s">
        <v>43</v>
      </c>
      <c r="F40" s="456" t="s">
        <v>41</v>
      </c>
      <c r="G40" s="456" t="s">
        <v>43</v>
      </c>
      <c r="H40" s="456" t="s">
        <v>42</v>
      </c>
      <c r="I40" s="456" t="s">
        <v>44</v>
      </c>
      <c r="J40" s="456" t="s">
        <v>41</v>
      </c>
      <c r="K40" s="456" t="s">
        <v>41</v>
      </c>
      <c r="L40" s="456" t="s">
        <v>41</v>
      </c>
      <c r="M40" s="456" t="s">
        <v>41</v>
      </c>
      <c r="N40" s="456" t="s">
        <v>42</v>
      </c>
      <c r="O40" s="456" t="s">
        <v>41</v>
      </c>
      <c r="P40" s="456" t="s">
        <v>42</v>
      </c>
      <c r="Q40" s="456" t="s">
        <v>44</v>
      </c>
      <c r="R40" s="456" t="s">
        <v>41</v>
      </c>
      <c r="S40" s="456" t="s">
        <v>41</v>
      </c>
      <c r="T40" s="456" t="s">
        <v>42</v>
      </c>
      <c r="U40" s="456" t="s">
        <v>44</v>
      </c>
      <c r="V40" s="456" t="s">
        <v>44</v>
      </c>
      <c r="W40" s="456" t="s">
        <v>42</v>
      </c>
      <c r="X40" s="456" t="s">
        <v>42</v>
      </c>
      <c r="Y40" s="456" t="s">
        <v>43</v>
      </c>
      <c r="Z40" s="456" t="s">
        <v>41</v>
      </c>
      <c r="AA40" s="456" t="s">
        <v>43</v>
      </c>
      <c r="AB40" s="457" t="s">
        <v>44</v>
      </c>
      <c r="AC40" s="456" t="s">
        <v>41</v>
      </c>
      <c r="AD40" s="456" t="s">
        <v>41</v>
      </c>
      <c r="AE40" s="456" t="s">
        <v>42</v>
      </c>
      <c r="AF40" s="456" t="s">
        <v>44</v>
      </c>
      <c r="AG40" s="456" t="s">
        <v>43</v>
      </c>
      <c r="AH40" s="456" t="s">
        <v>41</v>
      </c>
      <c r="AI40" s="456" t="s">
        <v>44</v>
      </c>
      <c r="AJ40" s="456" t="s">
        <v>42</v>
      </c>
      <c r="AK40" s="456" t="s">
        <v>44</v>
      </c>
      <c r="AL40" s="456" t="s">
        <v>42</v>
      </c>
      <c r="AM40" s="456" t="s">
        <v>41</v>
      </c>
      <c r="AN40" s="456" t="s">
        <v>43</v>
      </c>
      <c r="AO40" s="456" t="s">
        <v>44</v>
      </c>
      <c r="AP40" s="456" t="s">
        <v>41</v>
      </c>
      <c r="AQ40" s="456" t="s">
        <v>44</v>
      </c>
      <c r="AR40" s="456" t="s">
        <v>41</v>
      </c>
      <c r="AS40" s="456" t="s">
        <v>42</v>
      </c>
      <c r="AT40" s="456" t="s">
        <v>44</v>
      </c>
      <c r="AU40" s="456" t="s">
        <v>44</v>
      </c>
      <c r="AV40" s="456" t="s">
        <v>41</v>
      </c>
      <c r="AW40" s="456" t="s">
        <v>43</v>
      </c>
      <c r="AX40" s="456" t="s">
        <v>44</v>
      </c>
      <c r="AY40" s="456" t="s">
        <v>42</v>
      </c>
      <c r="AZ40" s="456" t="s">
        <v>41</v>
      </c>
      <c r="BA40" s="456" t="s">
        <v>42</v>
      </c>
      <c r="BB40" s="456" t="s">
        <v>42</v>
      </c>
      <c r="BD40" s="369" t="s">
        <v>44</v>
      </c>
      <c r="BE40" s="458">
        <v>2.0</v>
      </c>
      <c r="BF40" s="458">
        <v>2.0</v>
      </c>
      <c r="BG40" s="458">
        <v>2.0</v>
      </c>
      <c r="BH40" s="458">
        <v>2.0</v>
      </c>
      <c r="BI40" s="371">
        <f t="shared" si="1"/>
        <v>50</v>
      </c>
      <c r="BJ40" s="377" t="str">
        <f t="shared" si="2"/>
        <v>Básico</v>
      </c>
      <c r="BK40" s="373"/>
      <c r="BL40" s="374">
        <f t="shared" si="3"/>
        <v>7</v>
      </c>
      <c r="BM40" s="374">
        <f t="shared" si="4"/>
        <v>141</v>
      </c>
      <c r="BN40" s="459" t="str">
        <f t="shared" si="5"/>
        <v>Básico</v>
      </c>
      <c r="BO40" s="376">
        <f t="shared" si="6"/>
        <v>7</v>
      </c>
      <c r="BP40" s="374">
        <f t="shared" si="7"/>
        <v>133</v>
      </c>
      <c r="BQ40" s="377" t="str">
        <f t="shared" si="8"/>
        <v>Básico</v>
      </c>
      <c r="BR40" s="25"/>
    </row>
    <row r="41" ht="15.75" customHeight="1">
      <c r="A41" s="455">
        <v>12.0</v>
      </c>
      <c r="B41" s="378" t="s">
        <v>537</v>
      </c>
      <c r="C41" s="363" t="s">
        <v>170</v>
      </c>
      <c r="D41" s="447" t="s">
        <v>42</v>
      </c>
      <c r="E41" s="456" t="s">
        <v>42</v>
      </c>
      <c r="F41" s="456" t="s">
        <v>41</v>
      </c>
      <c r="G41" s="456" t="s">
        <v>44</v>
      </c>
      <c r="H41" s="456" t="s">
        <v>43</v>
      </c>
      <c r="I41" s="456" t="s">
        <v>42</v>
      </c>
      <c r="J41" s="456" t="s">
        <v>42</v>
      </c>
      <c r="K41" s="456" t="s">
        <v>42</v>
      </c>
      <c r="L41" s="456" t="s">
        <v>43</v>
      </c>
      <c r="M41" s="456" t="s">
        <v>42</v>
      </c>
      <c r="N41" s="456" t="s">
        <v>41</v>
      </c>
      <c r="O41" s="456" t="s">
        <v>42</v>
      </c>
      <c r="P41" s="456" t="s">
        <v>43</v>
      </c>
      <c r="Q41" s="456" t="s">
        <v>41</v>
      </c>
      <c r="R41" s="456" t="s">
        <v>44</v>
      </c>
      <c r="S41" s="456" t="s">
        <v>41</v>
      </c>
      <c r="T41" s="456" t="s">
        <v>42</v>
      </c>
      <c r="U41" s="456" t="s">
        <v>43</v>
      </c>
      <c r="V41" s="456" t="s">
        <v>42</v>
      </c>
      <c r="W41" s="456" t="s">
        <v>41</v>
      </c>
      <c r="X41" s="456" t="s">
        <v>42</v>
      </c>
      <c r="Y41" s="456" t="s">
        <v>44</v>
      </c>
      <c r="Z41" s="456" t="s">
        <v>41</v>
      </c>
      <c r="AA41" s="456" t="s">
        <v>42</v>
      </c>
      <c r="AB41" s="457" t="s">
        <v>41</v>
      </c>
      <c r="AC41" s="456" t="s">
        <v>41</v>
      </c>
      <c r="AD41" s="456" t="s">
        <v>42</v>
      </c>
      <c r="AE41" s="456" t="s">
        <v>44</v>
      </c>
      <c r="AF41" s="456" t="s">
        <v>41</v>
      </c>
      <c r="AG41" s="456" t="s">
        <v>43</v>
      </c>
      <c r="AH41" s="456" t="s">
        <v>42</v>
      </c>
      <c r="AI41" s="456" t="s">
        <v>42</v>
      </c>
      <c r="AJ41" s="456" t="s">
        <v>41</v>
      </c>
      <c r="AK41" s="456" t="s">
        <v>42</v>
      </c>
      <c r="AL41" s="456" t="s">
        <v>44</v>
      </c>
      <c r="AM41" s="456" t="s">
        <v>43</v>
      </c>
      <c r="AN41" s="456" t="s">
        <v>42</v>
      </c>
      <c r="AO41" s="456" t="s">
        <v>41</v>
      </c>
      <c r="AP41" s="456" t="s">
        <v>44</v>
      </c>
      <c r="AQ41" s="456" t="s">
        <v>41</v>
      </c>
      <c r="AR41" s="456" t="s">
        <v>42</v>
      </c>
      <c r="AS41" s="456" t="s">
        <v>41</v>
      </c>
      <c r="AT41" s="456" t="s">
        <v>42</v>
      </c>
      <c r="AU41" s="456" t="s">
        <v>41</v>
      </c>
      <c r="AV41" s="456" t="s">
        <v>43</v>
      </c>
      <c r="AW41" s="456" t="s">
        <v>42</v>
      </c>
      <c r="AX41" s="456" t="s">
        <v>41</v>
      </c>
      <c r="AY41" s="456" t="s">
        <v>42</v>
      </c>
      <c r="AZ41" s="456" t="s">
        <v>41</v>
      </c>
      <c r="BA41" s="456" t="s">
        <v>43</v>
      </c>
      <c r="BB41" s="456" t="s">
        <v>41</v>
      </c>
      <c r="BD41" s="369" t="s">
        <v>44</v>
      </c>
      <c r="BE41" s="458">
        <v>2.0</v>
      </c>
      <c r="BF41" s="458">
        <v>2.0</v>
      </c>
      <c r="BG41" s="458">
        <v>2.0</v>
      </c>
      <c r="BH41" s="458">
        <v>2.0</v>
      </c>
      <c r="BI41" s="371">
        <f t="shared" si="1"/>
        <v>50</v>
      </c>
      <c r="BJ41" s="377" t="str">
        <f t="shared" si="2"/>
        <v>Básico</v>
      </c>
      <c r="BK41" s="373"/>
      <c r="BL41" s="374">
        <f t="shared" si="3"/>
        <v>13</v>
      </c>
      <c r="BM41" s="374">
        <f t="shared" si="4"/>
        <v>282</v>
      </c>
      <c r="BN41" s="459" t="str">
        <f t="shared" si="5"/>
        <v>Adequado</v>
      </c>
      <c r="BO41" s="376">
        <f t="shared" si="6"/>
        <v>8</v>
      </c>
      <c r="BP41" s="374">
        <f t="shared" si="7"/>
        <v>148</v>
      </c>
      <c r="BQ41" s="377" t="str">
        <f t="shared" si="8"/>
        <v>Básico</v>
      </c>
      <c r="BR41" s="25"/>
    </row>
    <row r="42" ht="15.75" customHeight="1">
      <c r="A42" s="455">
        <v>13.0</v>
      </c>
      <c r="B42" s="378" t="s">
        <v>538</v>
      </c>
      <c r="C42" s="363" t="s">
        <v>170</v>
      </c>
      <c r="D42" s="447" t="s">
        <v>41</v>
      </c>
      <c r="E42" s="456" t="s">
        <v>44</v>
      </c>
      <c r="F42" s="456" t="s">
        <v>42</v>
      </c>
      <c r="G42" s="456" t="s">
        <v>41</v>
      </c>
      <c r="H42" s="456" t="s">
        <v>42</v>
      </c>
      <c r="I42" s="456" t="s">
        <v>43</v>
      </c>
      <c r="J42" s="456" t="s">
        <v>44</v>
      </c>
      <c r="K42" s="456" t="s">
        <v>43</v>
      </c>
      <c r="L42" s="456" t="s">
        <v>43</v>
      </c>
      <c r="M42" s="456" t="s">
        <v>41</v>
      </c>
      <c r="N42" s="456" t="s">
        <v>43</v>
      </c>
      <c r="O42" s="456" t="s">
        <v>41</v>
      </c>
      <c r="P42" s="456" t="s">
        <v>44</v>
      </c>
      <c r="Q42" s="456" t="s">
        <v>41</v>
      </c>
      <c r="R42" s="456" t="s">
        <v>41</v>
      </c>
      <c r="S42" s="456" t="s">
        <v>43</v>
      </c>
      <c r="T42" s="456" t="s">
        <v>41</v>
      </c>
      <c r="U42" s="456" t="s">
        <v>41</v>
      </c>
      <c r="V42" s="456" t="s">
        <v>43</v>
      </c>
      <c r="W42" s="456" t="s">
        <v>44</v>
      </c>
      <c r="X42" s="456" t="s">
        <v>42</v>
      </c>
      <c r="Y42" s="456" t="s">
        <v>41</v>
      </c>
      <c r="Z42" s="456" t="s">
        <v>44</v>
      </c>
      <c r="AA42" s="456" t="s">
        <v>43</v>
      </c>
      <c r="AB42" s="457" t="s">
        <v>42</v>
      </c>
      <c r="AC42" s="456" t="s">
        <v>43</v>
      </c>
      <c r="AD42" s="456" t="s">
        <v>41</v>
      </c>
      <c r="AE42" s="456" t="s">
        <v>43</v>
      </c>
      <c r="AF42" s="456" t="s">
        <v>43</v>
      </c>
      <c r="AG42" s="456" t="s">
        <v>44</v>
      </c>
      <c r="AH42" s="456" t="s">
        <v>42</v>
      </c>
      <c r="AI42" s="456" t="s">
        <v>41</v>
      </c>
      <c r="AJ42" s="456" t="s">
        <v>44</v>
      </c>
      <c r="AK42" s="456" t="s">
        <v>173</v>
      </c>
      <c r="AL42" s="456" t="s">
        <v>41</v>
      </c>
      <c r="AM42" s="456" t="s">
        <v>42</v>
      </c>
      <c r="AN42" s="456" t="s">
        <v>44</v>
      </c>
      <c r="AO42" s="456" t="s">
        <v>42</v>
      </c>
      <c r="AP42" s="456" t="s">
        <v>44</v>
      </c>
      <c r="AQ42" s="456" t="s">
        <v>42</v>
      </c>
      <c r="AR42" s="456" t="s">
        <v>173</v>
      </c>
      <c r="AS42" s="456" t="s">
        <v>41</v>
      </c>
      <c r="AT42" s="456" t="s">
        <v>42</v>
      </c>
      <c r="AU42" s="456" t="s">
        <v>43</v>
      </c>
      <c r="AV42" s="456" t="s">
        <v>41</v>
      </c>
      <c r="AW42" s="456" t="s">
        <v>43</v>
      </c>
      <c r="AX42" s="456" t="s">
        <v>42</v>
      </c>
      <c r="AY42" s="456" t="s">
        <v>44</v>
      </c>
      <c r="AZ42" s="456" t="s">
        <v>43</v>
      </c>
      <c r="BA42" s="456" t="s">
        <v>41</v>
      </c>
      <c r="BB42" s="456" t="s">
        <v>42</v>
      </c>
      <c r="BD42" s="369" t="s">
        <v>44</v>
      </c>
      <c r="BE42" s="458">
        <v>3.0</v>
      </c>
      <c r="BF42" s="458">
        <v>2.0</v>
      </c>
      <c r="BG42" s="458">
        <v>2.0</v>
      </c>
      <c r="BH42" s="458">
        <v>2.0</v>
      </c>
      <c r="BI42" s="371">
        <f t="shared" si="1"/>
        <v>56.25</v>
      </c>
      <c r="BJ42" s="377" t="str">
        <f t="shared" si="2"/>
        <v>Adequado</v>
      </c>
      <c r="BK42" s="373"/>
      <c r="BL42" s="374">
        <f t="shared" si="3"/>
        <v>3</v>
      </c>
      <c r="BM42" s="374">
        <f t="shared" si="4"/>
        <v>65</v>
      </c>
      <c r="BN42" s="459" t="str">
        <f t="shared" si="5"/>
        <v>Abaixo do Básico</v>
      </c>
      <c r="BO42" s="376">
        <f t="shared" si="6"/>
        <v>4</v>
      </c>
      <c r="BP42" s="374">
        <f t="shared" si="7"/>
        <v>78</v>
      </c>
      <c r="BQ42" s="377" t="str">
        <f t="shared" si="8"/>
        <v>Abaixo do Básico</v>
      </c>
      <c r="BR42" s="25"/>
    </row>
    <row r="43" ht="15.75" customHeight="1">
      <c r="A43" s="455">
        <v>14.0</v>
      </c>
      <c r="B43" s="378" t="s">
        <v>539</v>
      </c>
      <c r="C43" s="363" t="s">
        <v>170</v>
      </c>
      <c r="D43" s="447" t="s">
        <v>44</v>
      </c>
      <c r="E43" s="456" t="s">
        <v>43</v>
      </c>
      <c r="F43" s="456" t="s">
        <v>41</v>
      </c>
      <c r="G43" s="456" t="s">
        <v>43</v>
      </c>
      <c r="H43" s="456" t="s">
        <v>43</v>
      </c>
      <c r="I43" s="456" t="s">
        <v>42</v>
      </c>
      <c r="J43" s="456" t="s">
        <v>44</v>
      </c>
      <c r="K43" s="456" t="s">
        <v>42</v>
      </c>
      <c r="L43" s="456" t="s">
        <v>42</v>
      </c>
      <c r="M43" s="456" t="s">
        <v>42</v>
      </c>
      <c r="N43" s="456" t="s">
        <v>41</v>
      </c>
      <c r="O43" s="456" t="s">
        <v>42</v>
      </c>
      <c r="P43" s="456" t="s">
        <v>42</v>
      </c>
      <c r="Q43" s="456" t="s">
        <v>44</v>
      </c>
      <c r="R43" s="456" t="s">
        <v>41</v>
      </c>
      <c r="S43" s="456" t="s">
        <v>41</v>
      </c>
      <c r="T43" s="456" t="s">
        <v>42</v>
      </c>
      <c r="U43" s="456" t="s">
        <v>43</v>
      </c>
      <c r="V43" s="456" t="s">
        <v>44</v>
      </c>
      <c r="W43" s="456" t="s">
        <v>41</v>
      </c>
      <c r="X43" s="456" t="s">
        <v>41</v>
      </c>
      <c r="Y43" s="456" t="s">
        <v>41</v>
      </c>
      <c r="Z43" s="456" t="s">
        <v>43</v>
      </c>
      <c r="AA43" s="456" t="s">
        <v>42</v>
      </c>
      <c r="AB43" s="457" t="s">
        <v>44</v>
      </c>
      <c r="AC43" s="456" t="s">
        <v>41</v>
      </c>
      <c r="AD43" s="456" t="s">
        <v>44</v>
      </c>
      <c r="AE43" s="456" t="s">
        <v>43</v>
      </c>
      <c r="AF43" s="456" t="s">
        <v>43</v>
      </c>
      <c r="AG43" s="456" t="s">
        <v>42</v>
      </c>
      <c r="AH43" s="456" t="s">
        <v>43</v>
      </c>
      <c r="AI43" s="456" t="s">
        <v>42</v>
      </c>
      <c r="AJ43" s="456" t="s">
        <v>41</v>
      </c>
      <c r="AK43" s="456" t="s">
        <v>41</v>
      </c>
      <c r="AL43" s="456" t="s">
        <v>43</v>
      </c>
      <c r="AM43" s="456" t="s">
        <v>42</v>
      </c>
      <c r="AN43" s="456" t="s">
        <v>43</v>
      </c>
      <c r="AO43" s="456" t="s">
        <v>41</v>
      </c>
      <c r="AP43" s="456" t="s">
        <v>43</v>
      </c>
      <c r="AQ43" s="456" t="s">
        <v>41</v>
      </c>
      <c r="AR43" s="456" t="s">
        <v>42</v>
      </c>
      <c r="AS43" s="456" t="s">
        <v>41</v>
      </c>
      <c r="AT43" s="456" t="s">
        <v>44</v>
      </c>
      <c r="AU43" s="456" t="s">
        <v>42</v>
      </c>
      <c r="AV43" s="456" t="s">
        <v>42</v>
      </c>
      <c r="AW43" s="456" t="s">
        <v>41</v>
      </c>
      <c r="AX43" s="456" t="s">
        <v>43</v>
      </c>
      <c r="AY43" s="456" t="s">
        <v>44</v>
      </c>
      <c r="AZ43" s="456" t="s">
        <v>43</v>
      </c>
      <c r="BA43" s="456" t="s">
        <v>44</v>
      </c>
      <c r="BB43" s="456" t="s">
        <v>43</v>
      </c>
      <c r="BD43" s="369" t="s">
        <v>44</v>
      </c>
      <c r="BE43" s="458">
        <v>2.0</v>
      </c>
      <c r="BF43" s="458">
        <v>2.0</v>
      </c>
      <c r="BG43" s="458">
        <v>2.0</v>
      </c>
      <c r="BH43" s="458">
        <v>2.0</v>
      </c>
      <c r="BI43" s="371">
        <f t="shared" si="1"/>
        <v>50</v>
      </c>
      <c r="BJ43" s="377" t="str">
        <f t="shared" si="2"/>
        <v>Básico</v>
      </c>
      <c r="BK43" s="373"/>
      <c r="BL43" s="374">
        <f t="shared" si="3"/>
        <v>12</v>
      </c>
      <c r="BM43" s="374">
        <f t="shared" si="4"/>
        <v>254</v>
      </c>
      <c r="BN43" s="459" t="str">
        <f t="shared" si="5"/>
        <v>Adequado</v>
      </c>
      <c r="BO43" s="376">
        <f t="shared" si="6"/>
        <v>5</v>
      </c>
      <c r="BP43" s="374">
        <f t="shared" si="7"/>
        <v>94</v>
      </c>
      <c r="BQ43" s="377" t="str">
        <f t="shared" si="8"/>
        <v>Abaixo do Básico</v>
      </c>
      <c r="BR43" s="25"/>
    </row>
    <row r="44" ht="15.75" customHeight="1">
      <c r="A44" s="455">
        <v>15.0</v>
      </c>
      <c r="B44" s="378" t="s">
        <v>540</v>
      </c>
      <c r="C44" s="363" t="s">
        <v>170</v>
      </c>
      <c r="D44" s="447" t="s">
        <v>41</v>
      </c>
      <c r="E44" s="456" t="s">
        <v>43</v>
      </c>
      <c r="F44" s="456" t="s">
        <v>41</v>
      </c>
      <c r="G44" s="456" t="s">
        <v>42</v>
      </c>
      <c r="H44" s="456" t="s">
        <v>41</v>
      </c>
      <c r="I44" s="456" t="s">
        <v>44</v>
      </c>
      <c r="J44" s="456" t="s">
        <v>41</v>
      </c>
      <c r="K44" s="456" t="s">
        <v>43</v>
      </c>
      <c r="L44" s="456" t="s">
        <v>41</v>
      </c>
      <c r="M44" s="456" t="s">
        <v>41</v>
      </c>
      <c r="N44" s="456" t="s">
        <v>43</v>
      </c>
      <c r="O44" s="456" t="s">
        <v>42</v>
      </c>
      <c r="P44" s="456" t="s">
        <v>42</v>
      </c>
      <c r="Q44" s="456" t="s">
        <v>42</v>
      </c>
      <c r="R44" s="456" t="s">
        <v>44</v>
      </c>
      <c r="S44" s="456" t="s">
        <v>41</v>
      </c>
      <c r="T44" s="456" t="s">
        <v>42</v>
      </c>
      <c r="U44" s="456" t="s">
        <v>43</v>
      </c>
      <c r="V44" s="456" t="s">
        <v>44</v>
      </c>
      <c r="W44" s="456" t="s">
        <v>41</v>
      </c>
      <c r="X44" s="456" t="s">
        <v>42</v>
      </c>
      <c r="Y44" s="456" t="s">
        <v>42</v>
      </c>
      <c r="Z44" s="456" t="s">
        <v>43</v>
      </c>
      <c r="AA44" s="456" t="s">
        <v>42</v>
      </c>
      <c r="AB44" s="457" t="s">
        <v>42</v>
      </c>
      <c r="AC44" s="456" t="s">
        <v>43</v>
      </c>
      <c r="AD44" s="456" t="s">
        <v>41</v>
      </c>
      <c r="AE44" s="456" t="s">
        <v>43</v>
      </c>
      <c r="AF44" s="456" t="s">
        <v>44</v>
      </c>
      <c r="AG44" s="456" t="s">
        <v>42</v>
      </c>
      <c r="AH44" s="456" t="s">
        <v>42</v>
      </c>
      <c r="AI44" s="456" t="s">
        <v>43</v>
      </c>
      <c r="AJ44" s="456" t="s">
        <v>41</v>
      </c>
      <c r="AK44" s="456" t="s">
        <v>42</v>
      </c>
      <c r="AL44" s="456" t="s">
        <v>42</v>
      </c>
      <c r="AM44" s="456" t="s">
        <v>41</v>
      </c>
      <c r="AN44" s="456" t="s">
        <v>43</v>
      </c>
      <c r="AO44" s="456" t="s">
        <v>42</v>
      </c>
      <c r="AP44" s="456" t="s">
        <v>42</v>
      </c>
      <c r="AQ44" s="456" t="s">
        <v>41</v>
      </c>
      <c r="AR44" s="456" t="s">
        <v>42</v>
      </c>
      <c r="AS44" s="456" t="s">
        <v>42</v>
      </c>
      <c r="AT44" s="456" t="s">
        <v>41</v>
      </c>
      <c r="AU44" s="456" t="s">
        <v>44</v>
      </c>
      <c r="AV44" s="456" t="s">
        <v>41</v>
      </c>
      <c r="AW44" s="456" t="s">
        <v>41</v>
      </c>
      <c r="AX44" s="456" t="s">
        <v>41</v>
      </c>
      <c r="AY44" s="456" t="s">
        <v>44</v>
      </c>
      <c r="AZ44" s="456" t="s">
        <v>41</v>
      </c>
      <c r="BA44" s="456" t="s">
        <v>42</v>
      </c>
      <c r="BB44" s="456" t="s">
        <v>44</v>
      </c>
      <c r="BD44" s="369" t="s">
        <v>44</v>
      </c>
      <c r="BE44" s="458">
        <v>2.0</v>
      </c>
      <c r="BF44" s="458">
        <v>2.0</v>
      </c>
      <c r="BG44" s="458">
        <v>2.0</v>
      </c>
      <c r="BH44" s="458">
        <v>2.0</v>
      </c>
      <c r="BI44" s="371">
        <f t="shared" si="1"/>
        <v>50</v>
      </c>
      <c r="BJ44" s="377" t="str">
        <f t="shared" si="2"/>
        <v>Básico</v>
      </c>
      <c r="BK44" s="373"/>
      <c r="BL44" s="374">
        <f t="shared" si="3"/>
        <v>11</v>
      </c>
      <c r="BM44" s="374">
        <f t="shared" si="4"/>
        <v>226</v>
      </c>
      <c r="BN44" s="459" t="str">
        <f t="shared" si="5"/>
        <v>Básico</v>
      </c>
      <c r="BO44" s="376">
        <f t="shared" si="6"/>
        <v>7</v>
      </c>
      <c r="BP44" s="374">
        <f t="shared" si="7"/>
        <v>140</v>
      </c>
      <c r="BQ44" s="377" t="str">
        <f t="shared" si="8"/>
        <v>Básico</v>
      </c>
      <c r="BR44" s="25"/>
    </row>
    <row r="45" ht="15.75" customHeight="1">
      <c r="A45" s="455">
        <v>16.0</v>
      </c>
      <c r="B45" s="378" t="s">
        <v>541</v>
      </c>
      <c r="C45" s="363" t="s">
        <v>170</v>
      </c>
      <c r="D45" s="447" t="s">
        <v>44</v>
      </c>
      <c r="E45" s="456" t="s">
        <v>44</v>
      </c>
      <c r="F45" s="456" t="s">
        <v>44</v>
      </c>
      <c r="G45" s="456" t="s">
        <v>42</v>
      </c>
      <c r="H45" s="456" t="s">
        <v>43</v>
      </c>
      <c r="I45" s="456" t="s">
        <v>43</v>
      </c>
      <c r="J45" s="456" t="s">
        <v>42</v>
      </c>
      <c r="K45" s="456" t="s">
        <v>44</v>
      </c>
      <c r="L45" s="456" t="s">
        <v>43</v>
      </c>
      <c r="M45" s="456" t="s">
        <v>41</v>
      </c>
      <c r="N45" s="456" t="s">
        <v>42</v>
      </c>
      <c r="O45" s="456" t="s">
        <v>42</v>
      </c>
      <c r="P45" s="456" t="s">
        <v>42</v>
      </c>
      <c r="Q45" s="456" t="s">
        <v>44</v>
      </c>
      <c r="R45" s="456" t="s">
        <v>41</v>
      </c>
      <c r="S45" s="456" t="s">
        <v>41</v>
      </c>
      <c r="T45" s="456" t="s">
        <v>42</v>
      </c>
      <c r="U45" s="456" t="s">
        <v>43</v>
      </c>
      <c r="V45" s="456" t="s">
        <v>42</v>
      </c>
      <c r="W45" s="456" t="s">
        <v>42</v>
      </c>
      <c r="X45" s="456" t="s">
        <v>44</v>
      </c>
      <c r="Y45" s="456" t="s">
        <v>42</v>
      </c>
      <c r="Z45" s="456" t="s">
        <v>41</v>
      </c>
      <c r="AA45" s="456" t="s">
        <v>42</v>
      </c>
      <c r="AB45" s="457" t="s">
        <v>42</v>
      </c>
      <c r="AC45" s="456" t="s">
        <v>41</v>
      </c>
      <c r="AD45" s="456" t="s">
        <v>43</v>
      </c>
      <c r="AE45" s="456" t="s">
        <v>41</v>
      </c>
      <c r="AF45" s="456" t="s">
        <v>43</v>
      </c>
      <c r="AG45" s="456" t="s">
        <v>44</v>
      </c>
      <c r="AH45" s="456" t="s">
        <v>42</v>
      </c>
      <c r="AI45" s="456" t="s">
        <v>42</v>
      </c>
      <c r="AJ45" s="456" t="s">
        <v>44</v>
      </c>
      <c r="AK45" s="456" t="s">
        <v>41</v>
      </c>
      <c r="AL45" s="456" t="s">
        <v>41</v>
      </c>
      <c r="AM45" s="456" t="s">
        <v>41</v>
      </c>
      <c r="AN45" s="456" t="s">
        <v>42</v>
      </c>
      <c r="AO45" s="456" t="s">
        <v>43</v>
      </c>
      <c r="AP45" s="456" t="s">
        <v>44</v>
      </c>
      <c r="AQ45" s="456" t="s">
        <v>41</v>
      </c>
      <c r="AR45" s="456" t="s">
        <v>42</v>
      </c>
      <c r="AS45" s="456" t="s">
        <v>43</v>
      </c>
      <c r="AT45" s="456" t="s">
        <v>43</v>
      </c>
      <c r="AU45" s="456" t="s">
        <v>44</v>
      </c>
      <c r="AV45" s="456" t="s">
        <v>41</v>
      </c>
      <c r="AW45" s="456" t="s">
        <v>42</v>
      </c>
      <c r="AX45" s="456" t="s">
        <v>173</v>
      </c>
      <c r="AY45" s="456" t="s">
        <v>173</v>
      </c>
      <c r="AZ45" s="456" t="s">
        <v>173</v>
      </c>
      <c r="BA45" s="456" t="s">
        <v>41</v>
      </c>
      <c r="BB45" s="456" t="s">
        <v>43</v>
      </c>
      <c r="BD45" s="369" t="s">
        <v>44</v>
      </c>
      <c r="BE45" s="458">
        <v>2.0</v>
      </c>
      <c r="BF45" s="458">
        <v>2.0</v>
      </c>
      <c r="BG45" s="458">
        <v>2.0</v>
      </c>
      <c r="BH45" s="458">
        <v>2.0</v>
      </c>
      <c r="BI45" s="371">
        <f t="shared" si="1"/>
        <v>50</v>
      </c>
      <c r="BJ45" s="377" t="str">
        <f t="shared" si="2"/>
        <v>Básico</v>
      </c>
      <c r="BK45" s="373"/>
      <c r="BL45" s="374">
        <f t="shared" si="3"/>
        <v>15</v>
      </c>
      <c r="BM45" s="374">
        <f t="shared" si="4"/>
        <v>300</v>
      </c>
      <c r="BN45" s="459" t="str">
        <f t="shared" si="5"/>
        <v>Adequado</v>
      </c>
      <c r="BO45" s="376">
        <f t="shared" si="6"/>
        <v>7</v>
      </c>
      <c r="BP45" s="374">
        <f t="shared" si="7"/>
        <v>126</v>
      </c>
      <c r="BQ45" s="377" t="str">
        <f t="shared" si="8"/>
        <v>Básico</v>
      </c>
      <c r="BR45" s="25"/>
    </row>
    <row r="46" ht="15.75" customHeight="1">
      <c r="A46" s="455">
        <v>17.0</v>
      </c>
      <c r="B46" s="378" t="s">
        <v>542</v>
      </c>
      <c r="C46" s="363" t="s">
        <v>170</v>
      </c>
      <c r="D46" s="447" t="s">
        <v>41</v>
      </c>
      <c r="E46" s="456" t="s">
        <v>42</v>
      </c>
      <c r="F46" s="456" t="s">
        <v>41</v>
      </c>
      <c r="G46" s="456" t="s">
        <v>44</v>
      </c>
      <c r="H46" s="456" t="s">
        <v>43</v>
      </c>
      <c r="I46" s="456" t="s">
        <v>42</v>
      </c>
      <c r="J46" s="456" t="s">
        <v>44</v>
      </c>
      <c r="K46" s="456" t="s">
        <v>43</v>
      </c>
      <c r="L46" s="456" t="s">
        <v>43</v>
      </c>
      <c r="M46" s="456" t="s">
        <v>41</v>
      </c>
      <c r="N46" s="456" t="s">
        <v>44</v>
      </c>
      <c r="O46" s="456" t="s">
        <v>42</v>
      </c>
      <c r="P46" s="456" t="s">
        <v>43</v>
      </c>
      <c r="Q46" s="456" t="s">
        <v>44</v>
      </c>
      <c r="R46" s="456" t="s">
        <v>41</v>
      </c>
      <c r="S46" s="456" t="s">
        <v>41</v>
      </c>
      <c r="T46" s="456" t="s">
        <v>44</v>
      </c>
      <c r="U46" s="456" t="s">
        <v>43</v>
      </c>
      <c r="V46" s="456" t="s">
        <v>42</v>
      </c>
      <c r="W46" s="456" t="s">
        <v>42</v>
      </c>
      <c r="X46" s="456" t="s">
        <v>41</v>
      </c>
      <c r="Y46" s="456" t="s">
        <v>43</v>
      </c>
      <c r="Z46" s="456" t="s">
        <v>44</v>
      </c>
      <c r="AA46" s="456" t="s">
        <v>42</v>
      </c>
      <c r="AB46" s="457" t="s">
        <v>42</v>
      </c>
      <c r="AC46" s="456" t="s">
        <v>41</v>
      </c>
      <c r="AD46" s="456" t="s">
        <v>42</v>
      </c>
      <c r="AE46" s="456" t="s">
        <v>44</v>
      </c>
      <c r="AF46" s="456" t="s">
        <v>43</v>
      </c>
      <c r="AG46" s="456" t="s">
        <v>42</v>
      </c>
      <c r="AH46" s="456" t="s">
        <v>42</v>
      </c>
      <c r="AI46" s="456" t="s">
        <v>44</v>
      </c>
      <c r="AJ46" s="456" t="s">
        <v>41</v>
      </c>
      <c r="AK46" s="456" t="s">
        <v>43</v>
      </c>
      <c r="AL46" s="456" t="s">
        <v>42</v>
      </c>
      <c r="AM46" s="456" t="s">
        <v>44</v>
      </c>
      <c r="AN46" s="456" t="s">
        <v>41</v>
      </c>
      <c r="AO46" s="456" t="s">
        <v>41</v>
      </c>
      <c r="AP46" s="456" t="s">
        <v>42</v>
      </c>
      <c r="AQ46" s="456" t="s">
        <v>41</v>
      </c>
      <c r="AR46" s="456" t="s">
        <v>44</v>
      </c>
      <c r="AS46" s="456" t="s">
        <v>173</v>
      </c>
      <c r="AT46" s="456" t="s">
        <v>42</v>
      </c>
      <c r="AU46" s="456" t="s">
        <v>41</v>
      </c>
      <c r="AV46" s="456" t="s">
        <v>44</v>
      </c>
      <c r="AW46" s="456" t="s">
        <v>43</v>
      </c>
      <c r="AX46" s="456" t="s">
        <v>42</v>
      </c>
      <c r="AY46" s="456" t="s">
        <v>41</v>
      </c>
      <c r="AZ46" s="456" t="s">
        <v>43</v>
      </c>
      <c r="BA46" s="456" t="s">
        <v>42</v>
      </c>
      <c r="BB46" s="456" t="s">
        <v>44</v>
      </c>
      <c r="BD46" s="369" t="s">
        <v>41</v>
      </c>
      <c r="BE46" s="458" t="s">
        <v>173</v>
      </c>
      <c r="BF46" s="458" t="s">
        <v>173</v>
      </c>
      <c r="BG46" s="458" t="s">
        <v>173</v>
      </c>
      <c r="BH46" s="458" t="s">
        <v>173</v>
      </c>
      <c r="BI46" s="371">
        <f t="shared" si="1"/>
        <v>0</v>
      </c>
      <c r="BJ46" s="377" t="str">
        <f t="shared" si="2"/>
        <v>Abaixo do Básico</v>
      </c>
      <c r="BK46" s="373"/>
      <c r="BL46" s="374">
        <f t="shared" si="3"/>
        <v>11</v>
      </c>
      <c r="BM46" s="374">
        <f t="shared" si="4"/>
        <v>235</v>
      </c>
      <c r="BN46" s="459" t="str">
        <f t="shared" si="5"/>
        <v>Básico</v>
      </c>
      <c r="BO46" s="376">
        <f t="shared" si="6"/>
        <v>8</v>
      </c>
      <c r="BP46" s="374">
        <f t="shared" si="7"/>
        <v>156</v>
      </c>
      <c r="BQ46" s="377" t="str">
        <f t="shared" si="8"/>
        <v>Básico</v>
      </c>
      <c r="BR46" s="25"/>
    </row>
    <row r="47" ht="15.75" customHeight="1">
      <c r="A47" s="455">
        <v>18.0</v>
      </c>
      <c r="B47" s="378" t="s">
        <v>543</v>
      </c>
      <c r="C47" s="363" t="s">
        <v>170</v>
      </c>
      <c r="D47" s="447" t="s">
        <v>44</v>
      </c>
      <c r="E47" s="456" t="s">
        <v>41</v>
      </c>
      <c r="F47" s="456" t="s">
        <v>43</v>
      </c>
      <c r="G47" s="456" t="s">
        <v>44</v>
      </c>
      <c r="H47" s="456" t="s">
        <v>41</v>
      </c>
      <c r="I47" s="456" t="s">
        <v>42</v>
      </c>
      <c r="J47" s="456" t="s">
        <v>43</v>
      </c>
      <c r="K47" s="456" t="s">
        <v>42</v>
      </c>
      <c r="L47" s="456" t="s">
        <v>44</v>
      </c>
      <c r="M47" s="456" t="s">
        <v>43</v>
      </c>
      <c r="N47" s="456" t="s">
        <v>44</v>
      </c>
      <c r="O47" s="456" t="s">
        <v>41</v>
      </c>
      <c r="P47" s="456" t="s">
        <v>42</v>
      </c>
      <c r="Q47" s="456" t="s">
        <v>43</v>
      </c>
      <c r="R47" s="456" t="s">
        <v>42</v>
      </c>
      <c r="S47" s="456" t="s">
        <v>43</v>
      </c>
      <c r="T47" s="456" t="s">
        <v>44</v>
      </c>
      <c r="U47" s="456" t="s">
        <v>41</v>
      </c>
      <c r="V47" s="456" t="s">
        <v>43</v>
      </c>
      <c r="W47" s="456" t="s">
        <v>44</v>
      </c>
      <c r="X47" s="456" t="s">
        <v>41</v>
      </c>
      <c r="Y47" s="456" t="s">
        <v>41</v>
      </c>
      <c r="Z47" s="456" t="s">
        <v>44</v>
      </c>
      <c r="AA47" s="456" t="s">
        <v>41</v>
      </c>
      <c r="AB47" s="457" t="s">
        <v>43</v>
      </c>
      <c r="AC47" s="456" t="s">
        <v>43</v>
      </c>
      <c r="AD47" s="456" t="s">
        <v>44</v>
      </c>
      <c r="AE47" s="456" t="s">
        <v>42</v>
      </c>
      <c r="AF47" s="456" t="s">
        <v>44</v>
      </c>
      <c r="AG47" s="456" t="s">
        <v>41</v>
      </c>
      <c r="AH47" s="456" t="s">
        <v>43</v>
      </c>
      <c r="AI47" s="456" t="s">
        <v>43</v>
      </c>
      <c r="AJ47" s="456" t="s">
        <v>42</v>
      </c>
      <c r="AK47" s="456" t="s">
        <v>44</v>
      </c>
      <c r="AL47" s="456" t="s">
        <v>42</v>
      </c>
      <c r="AM47" s="456" t="s">
        <v>44</v>
      </c>
      <c r="AN47" s="456" t="s">
        <v>41</v>
      </c>
      <c r="AO47" s="456" t="s">
        <v>42</v>
      </c>
      <c r="AP47" s="456" t="s">
        <v>41</v>
      </c>
      <c r="AQ47" s="456" t="s">
        <v>43</v>
      </c>
      <c r="AR47" s="456" t="s">
        <v>42</v>
      </c>
      <c r="AS47" s="456" t="s">
        <v>44</v>
      </c>
      <c r="AT47" s="456" t="s">
        <v>41</v>
      </c>
      <c r="AU47" s="456" t="s">
        <v>43</v>
      </c>
      <c r="AV47" s="456" t="s">
        <v>44</v>
      </c>
      <c r="AW47" s="456" t="s">
        <v>42</v>
      </c>
      <c r="AX47" s="456" t="s">
        <v>43</v>
      </c>
      <c r="AY47" s="456" t="s">
        <v>42</v>
      </c>
      <c r="AZ47" s="456" t="s">
        <v>41</v>
      </c>
      <c r="BA47" s="456" t="s">
        <v>44</v>
      </c>
      <c r="BB47" s="456" t="s">
        <v>44</v>
      </c>
      <c r="BD47" s="369" t="s">
        <v>44</v>
      </c>
      <c r="BE47" s="458">
        <v>3.0</v>
      </c>
      <c r="BF47" s="458">
        <v>2.0</v>
      </c>
      <c r="BG47" s="458">
        <v>2.0</v>
      </c>
      <c r="BH47" s="458">
        <v>2.0</v>
      </c>
      <c r="BI47" s="371">
        <f t="shared" si="1"/>
        <v>56.25</v>
      </c>
      <c r="BJ47" s="377" t="str">
        <f t="shared" si="2"/>
        <v>Adequado</v>
      </c>
      <c r="BK47" s="373"/>
      <c r="BL47" s="374">
        <f t="shared" si="3"/>
        <v>4</v>
      </c>
      <c r="BM47" s="374">
        <f t="shared" si="4"/>
        <v>94</v>
      </c>
      <c r="BN47" s="459" t="str">
        <f t="shared" si="5"/>
        <v>Abaixo do Básico</v>
      </c>
      <c r="BO47" s="376">
        <f t="shared" si="6"/>
        <v>7</v>
      </c>
      <c r="BP47" s="374">
        <f t="shared" si="7"/>
        <v>133</v>
      </c>
      <c r="BQ47" s="377" t="str">
        <f t="shared" si="8"/>
        <v>Básico</v>
      </c>
      <c r="BR47" s="25"/>
    </row>
    <row r="48" ht="15.75" customHeight="1">
      <c r="A48" s="455">
        <v>19.0</v>
      </c>
      <c r="B48" s="378" t="s">
        <v>544</v>
      </c>
      <c r="C48" s="363" t="s">
        <v>170</v>
      </c>
      <c r="D48" s="447" t="s">
        <v>42</v>
      </c>
      <c r="E48" s="456" t="s">
        <v>43</v>
      </c>
      <c r="F48" s="456" t="s">
        <v>41</v>
      </c>
      <c r="G48" s="456" t="s">
        <v>44</v>
      </c>
      <c r="H48" s="456" t="s">
        <v>43</v>
      </c>
      <c r="I48" s="456" t="s">
        <v>42</v>
      </c>
      <c r="J48" s="456" t="s">
        <v>41</v>
      </c>
      <c r="K48" s="456" t="s">
        <v>44</v>
      </c>
      <c r="L48" s="456" t="s">
        <v>43</v>
      </c>
      <c r="M48" s="456" t="s">
        <v>41</v>
      </c>
      <c r="N48" s="456" t="s">
        <v>42</v>
      </c>
      <c r="O48" s="456" t="s">
        <v>41</v>
      </c>
      <c r="P48" s="456" t="s">
        <v>43</v>
      </c>
      <c r="Q48" s="456" t="s">
        <v>44</v>
      </c>
      <c r="R48" s="456" t="s">
        <v>41</v>
      </c>
      <c r="S48" s="456" t="s">
        <v>41</v>
      </c>
      <c r="T48" s="456" t="s">
        <v>44</v>
      </c>
      <c r="U48" s="456" t="s">
        <v>43</v>
      </c>
      <c r="V48" s="456" t="s">
        <v>42</v>
      </c>
      <c r="W48" s="456" t="s">
        <v>41</v>
      </c>
      <c r="X48" s="456" t="s">
        <v>44</v>
      </c>
      <c r="Y48" s="456" t="s">
        <v>42</v>
      </c>
      <c r="Z48" s="456" t="s">
        <v>42</v>
      </c>
      <c r="AA48" s="456" t="s">
        <v>41</v>
      </c>
      <c r="AB48" s="457" t="s">
        <v>44</v>
      </c>
      <c r="AC48" s="456" t="s">
        <v>41</v>
      </c>
      <c r="AD48" s="456" t="s">
        <v>44</v>
      </c>
      <c r="AE48" s="456" t="s">
        <v>43</v>
      </c>
      <c r="AF48" s="456" t="s">
        <v>42</v>
      </c>
      <c r="AG48" s="456" t="s">
        <v>42</v>
      </c>
      <c r="AH48" s="456" t="s">
        <v>41</v>
      </c>
      <c r="AI48" s="456" t="s">
        <v>44</v>
      </c>
      <c r="AJ48" s="456" t="s">
        <v>44</v>
      </c>
      <c r="AK48" s="456" t="s">
        <v>41</v>
      </c>
      <c r="AL48" s="456" t="s">
        <v>42</v>
      </c>
      <c r="AM48" s="456" t="s">
        <v>44</v>
      </c>
      <c r="AN48" s="456" t="s">
        <v>43</v>
      </c>
      <c r="AO48" s="456" t="s">
        <v>43</v>
      </c>
      <c r="AP48" s="456" t="s">
        <v>42</v>
      </c>
      <c r="AQ48" s="456" t="s">
        <v>41</v>
      </c>
      <c r="AR48" s="456" t="s">
        <v>41</v>
      </c>
      <c r="AS48" s="456" t="s">
        <v>44</v>
      </c>
      <c r="AT48" s="456" t="s">
        <v>43</v>
      </c>
      <c r="AU48" s="456" t="s">
        <v>42</v>
      </c>
      <c r="AV48" s="456" t="s">
        <v>43</v>
      </c>
      <c r="AW48" s="456" t="s">
        <v>41</v>
      </c>
      <c r="AX48" s="456" t="s">
        <v>42</v>
      </c>
      <c r="AY48" s="456" t="s">
        <v>44</v>
      </c>
      <c r="AZ48" s="456" t="s">
        <v>41</v>
      </c>
      <c r="BA48" s="456" t="s">
        <v>42</v>
      </c>
      <c r="BB48" s="456" t="s">
        <v>41</v>
      </c>
      <c r="BD48" s="369" t="s">
        <v>44</v>
      </c>
      <c r="BE48" s="458">
        <v>3.0</v>
      </c>
      <c r="BF48" s="458">
        <v>3.0</v>
      </c>
      <c r="BG48" s="458">
        <v>3.0</v>
      </c>
      <c r="BH48" s="458">
        <v>3.0</v>
      </c>
      <c r="BI48" s="371">
        <f t="shared" si="1"/>
        <v>75</v>
      </c>
      <c r="BJ48" s="377" t="str">
        <f t="shared" si="2"/>
        <v>Adequado</v>
      </c>
      <c r="BK48" s="373"/>
      <c r="BL48" s="374">
        <f t="shared" si="3"/>
        <v>12</v>
      </c>
      <c r="BM48" s="374">
        <f t="shared" si="4"/>
        <v>226</v>
      </c>
      <c r="BN48" s="459" t="str">
        <f t="shared" si="5"/>
        <v>Básico</v>
      </c>
      <c r="BO48" s="376">
        <f t="shared" si="6"/>
        <v>8</v>
      </c>
      <c r="BP48" s="374">
        <f t="shared" si="7"/>
        <v>142</v>
      </c>
      <c r="BQ48" s="377" t="str">
        <f t="shared" si="8"/>
        <v>Básico</v>
      </c>
      <c r="BR48" s="25"/>
    </row>
    <row r="49" ht="15.75" customHeight="1">
      <c r="A49" s="455">
        <v>20.0</v>
      </c>
      <c r="B49" s="378" t="s">
        <v>545</v>
      </c>
      <c r="C49" s="363" t="s">
        <v>170</v>
      </c>
      <c r="D49" s="447" t="s">
        <v>172</v>
      </c>
      <c r="E49" s="456" t="s">
        <v>172</v>
      </c>
      <c r="F49" s="456" t="s">
        <v>172</v>
      </c>
      <c r="G49" s="456" t="s">
        <v>172</v>
      </c>
      <c r="H49" s="456" t="s">
        <v>172</v>
      </c>
      <c r="I49" s="456" t="s">
        <v>172</v>
      </c>
      <c r="J49" s="456" t="s">
        <v>172</v>
      </c>
      <c r="K49" s="456" t="s">
        <v>172</v>
      </c>
      <c r="L49" s="456" t="s">
        <v>172</v>
      </c>
      <c r="M49" s="456" t="s">
        <v>172</v>
      </c>
      <c r="N49" s="456" t="s">
        <v>172</v>
      </c>
      <c r="O49" s="456" t="s">
        <v>172</v>
      </c>
      <c r="P49" s="456" t="s">
        <v>172</v>
      </c>
      <c r="Q49" s="456" t="s">
        <v>172</v>
      </c>
      <c r="R49" s="456" t="s">
        <v>172</v>
      </c>
      <c r="S49" s="456" t="s">
        <v>172</v>
      </c>
      <c r="T49" s="456" t="s">
        <v>172</v>
      </c>
      <c r="U49" s="456" t="s">
        <v>172</v>
      </c>
      <c r="V49" s="456" t="s">
        <v>172</v>
      </c>
      <c r="W49" s="456" t="s">
        <v>172</v>
      </c>
      <c r="X49" s="456" t="s">
        <v>172</v>
      </c>
      <c r="Y49" s="456" t="s">
        <v>172</v>
      </c>
      <c r="Z49" s="456" t="s">
        <v>172</v>
      </c>
      <c r="AA49" s="456" t="s">
        <v>172</v>
      </c>
      <c r="AB49" s="457" t="s">
        <v>172</v>
      </c>
      <c r="AC49" s="456" t="s">
        <v>172</v>
      </c>
      <c r="AD49" s="456" t="s">
        <v>172</v>
      </c>
      <c r="AE49" s="456" t="s">
        <v>172</v>
      </c>
      <c r="AF49" s="456" t="s">
        <v>172</v>
      </c>
      <c r="AG49" s="456" t="s">
        <v>172</v>
      </c>
      <c r="AH49" s="456" t="s">
        <v>172</v>
      </c>
      <c r="AI49" s="456" t="s">
        <v>172</v>
      </c>
      <c r="AJ49" s="456" t="s">
        <v>172</v>
      </c>
      <c r="AK49" s="456" t="s">
        <v>172</v>
      </c>
      <c r="AL49" s="456" t="s">
        <v>172</v>
      </c>
      <c r="AM49" s="456" t="s">
        <v>172</v>
      </c>
      <c r="AN49" s="456" t="s">
        <v>172</v>
      </c>
      <c r="AO49" s="456" t="s">
        <v>172</v>
      </c>
      <c r="AP49" s="456" t="s">
        <v>172</v>
      </c>
      <c r="AQ49" s="456" t="s">
        <v>172</v>
      </c>
      <c r="AR49" s="456" t="s">
        <v>172</v>
      </c>
      <c r="AS49" s="456" t="s">
        <v>172</v>
      </c>
      <c r="AT49" s="456" t="s">
        <v>172</v>
      </c>
      <c r="AU49" s="456" t="s">
        <v>172</v>
      </c>
      <c r="AV49" s="456" t="s">
        <v>172</v>
      </c>
      <c r="AW49" s="456" t="s">
        <v>172</v>
      </c>
      <c r="AX49" s="456" t="s">
        <v>172</v>
      </c>
      <c r="AY49" s="456" t="s">
        <v>172</v>
      </c>
      <c r="AZ49" s="456" t="s">
        <v>172</v>
      </c>
      <c r="BA49" s="456" t="s">
        <v>172</v>
      </c>
      <c r="BB49" s="456" t="s">
        <v>172</v>
      </c>
      <c r="BD49" s="369" t="s">
        <v>172</v>
      </c>
      <c r="BE49" s="458" t="s">
        <v>173</v>
      </c>
      <c r="BF49" s="458" t="s">
        <v>173</v>
      </c>
      <c r="BG49" s="458" t="s">
        <v>173</v>
      </c>
      <c r="BH49" s="458" t="s">
        <v>173</v>
      </c>
      <c r="BI49" s="371">
        <f t="shared" si="1"/>
        <v>0</v>
      </c>
      <c r="BJ49" s="377" t="str">
        <f t="shared" si="2"/>
        <v>Abaixo do Básico</v>
      </c>
      <c r="BK49" s="373"/>
      <c r="BL49" s="374">
        <f t="shared" si="3"/>
        <v>0</v>
      </c>
      <c r="BM49" s="374">
        <f t="shared" si="4"/>
        <v>0</v>
      </c>
      <c r="BN49" s="459" t="str">
        <f t="shared" si="5"/>
        <v>Abaixo do Básico</v>
      </c>
      <c r="BO49" s="376">
        <f t="shared" si="6"/>
        <v>0</v>
      </c>
      <c r="BP49" s="374">
        <f t="shared" si="7"/>
        <v>0</v>
      </c>
      <c r="BQ49" s="377" t="str">
        <f t="shared" si="8"/>
        <v>Abaixo do Básico</v>
      </c>
      <c r="BR49" s="25"/>
    </row>
    <row r="50" ht="15.75" customHeight="1">
      <c r="A50" s="455">
        <v>21.0</v>
      </c>
      <c r="B50" s="378" t="s">
        <v>546</v>
      </c>
      <c r="C50" s="363" t="s">
        <v>170</v>
      </c>
      <c r="D50" s="447" t="s">
        <v>44</v>
      </c>
      <c r="E50" s="456" t="s">
        <v>44</v>
      </c>
      <c r="F50" s="456" t="s">
        <v>42</v>
      </c>
      <c r="G50" s="456" t="s">
        <v>42</v>
      </c>
      <c r="H50" s="456" t="s">
        <v>43</v>
      </c>
      <c r="I50" s="456" t="s">
        <v>43</v>
      </c>
      <c r="J50" s="456" t="s">
        <v>44</v>
      </c>
      <c r="K50" s="456" t="s">
        <v>41</v>
      </c>
      <c r="L50" s="456" t="s">
        <v>42</v>
      </c>
      <c r="M50" s="456" t="s">
        <v>42</v>
      </c>
      <c r="N50" s="456" t="s">
        <v>41</v>
      </c>
      <c r="O50" s="456" t="s">
        <v>173</v>
      </c>
      <c r="P50" s="456" t="s">
        <v>44</v>
      </c>
      <c r="Q50" s="456" t="s">
        <v>43</v>
      </c>
      <c r="R50" s="456" t="s">
        <v>42</v>
      </c>
      <c r="S50" s="456" t="s">
        <v>41</v>
      </c>
      <c r="T50" s="456" t="s">
        <v>41</v>
      </c>
      <c r="U50" s="456" t="s">
        <v>44</v>
      </c>
      <c r="V50" s="456" t="s">
        <v>43</v>
      </c>
      <c r="W50" s="456" t="s">
        <v>42</v>
      </c>
      <c r="X50" s="456" t="s">
        <v>173</v>
      </c>
      <c r="Y50" s="456" t="s">
        <v>44</v>
      </c>
      <c r="Z50" s="456" t="s">
        <v>44</v>
      </c>
      <c r="AA50" s="456" t="s">
        <v>41</v>
      </c>
      <c r="AB50" s="457" t="s">
        <v>43</v>
      </c>
      <c r="AC50" s="456" t="s">
        <v>44</v>
      </c>
      <c r="AD50" s="456" t="s">
        <v>41</v>
      </c>
      <c r="AE50" s="456" t="s">
        <v>42</v>
      </c>
      <c r="AF50" s="456" t="s">
        <v>42</v>
      </c>
      <c r="AG50" s="456" t="s">
        <v>43</v>
      </c>
      <c r="AH50" s="456" t="s">
        <v>44</v>
      </c>
      <c r="AI50" s="456" t="s">
        <v>41</v>
      </c>
      <c r="AJ50" s="456" t="s">
        <v>44</v>
      </c>
      <c r="AK50" s="456" t="s">
        <v>43</v>
      </c>
      <c r="AL50" s="456" t="s">
        <v>43</v>
      </c>
      <c r="AM50" s="456" t="s">
        <v>41</v>
      </c>
      <c r="AN50" s="456" t="s">
        <v>42</v>
      </c>
      <c r="AO50" s="456" t="s">
        <v>44</v>
      </c>
      <c r="AP50" s="456" t="s">
        <v>41</v>
      </c>
      <c r="AQ50" s="456" t="s">
        <v>42</v>
      </c>
      <c r="AR50" s="456" t="s">
        <v>43</v>
      </c>
      <c r="AS50" s="456" t="s">
        <v>44</v>
      </c>
      <c r="AT50" s="456" t="s">
        <v>44</v>
      </c>
      <c r="AU50" s="456" t="s">
        <v>42</v>
      </c>
      <c r="AV50" s="456" t="s">
        <v>44</v>
      </c>
      <c r="AW50" s="456" t="s">
        <v>41</v>
      </c>
      <c r="AX50" s="456" t="s">
        <v>42</v>
      </c>
      <c r="AY50" s="456" t="s">
        <v>43</v>
      </c>
      <c r="AZ50" s="456" t="s">
        <v>44</v>
      </c>
      <c r="BA50" s="456" t="s">
        <v>41</v>
      </c>
      <c r="BB50" s="456" t="s">
        <v>42</v>
      </c>
      <c r="BD50" s="369" t="s">
        <v>44</v>
      </c>
      <c r="BE50" s="458">
        <v>3.0</v>
      </c>
      <c r="BF50" s="458">
        <v>3.0</v>
      </c>
      <c r="BG50" s="458">
        <v>3.0</v>
      </c>
      <c r="BH50" s="458">
        <v>3.0</v>
      </c>
      <c r="BI50" s="371">
        <f t="shared" si="1"/>
        <v>75</v>
      </c>
      <c r="BJ50" s="377" t="str">
        <f t="shared" si="2"/>
        <v>Adequado</v>
      </c>
      <c r="BK50" s="373"/>
      <c r="BL50" s="374">
        <f t="shared" si="3"/>
        <v>8</v>
      </c>
      <c r="BM50" s="374">
        <f t="shared" si="4"/>
        <v>169</v>
      </c>
      <c r="BN50" s="459" t="str">
        <f t="shared" si="5"/>
        <v>Básico</v>
      </c>
      <c r="BO50" s="376">
        <f t="shared" si="6"/>
        <v>7</v>
      </c>
      <c r="BP50" s="374">
        <f t="shared" si="7"/>
        <v>140</v>
      </c>
      <c r="BQ50" s="377" t="str">
        <f t="shared" si="8"/>
        <v>Básico</v>
      </c>
      <c r="BR50" s="25"/>
    </row>
    <row r="51" ht="15.75" customHeight="1">
      <c r="A51" s="455">
        <v>22.0</v>
      </c>
      <c r="B51" s="378" t="s">
        <v>547</v>
      </c>
      <c r="C51" s="363" t="s">
        <v>170</v>
      </c>
      <c r="D51" s="447" t="s">
        <v>44</v>
      </c>
      <c r="E51" s="456" t="s">
        <v>44</v>
      </c>
      <c r="F51" s="456" t="s">
        <v>41</v>
      </c>
      <c r="G51" s="456" t="s">
        <v>44</v>
      </c>
      <c r="H51" s="456" t="s">
        <v>43</v>
      </c>
      <c r="I51" s="456" t="s">
        <v>42</v>
      </c>
      <c r="J51" s="456" t="s">
        <v>41</v>
      </c>
      <c r="K51" s="456" t="s">
        <v>44</v>
      </c>
      <c r="L51" s="456" t="s">
        <v>41</v>
      </c>
      <c r="M51" s="456" t="s">
        <v>42</v>
      </c>
      <c r="N51" s="456" t="s">
        <v>44</v>
      </c>
      <c r="O51" s="456" t="s">
        <v>42</v>
      </c>
      <c r="P51" s="456" t="s">
        <v>44</v>
      </c>
      <c r="Q51" s="456" t="s">
        <v>44</v>
      </c>
      <c r="R51" s="456" t="s">
        <v>44</v>
      </c>
      <c r="S51" s="456" t="s">
        <v>41</v>
      </c>
      <c r="T51" s="456" t="s">
        <v>42</v>
      </c>
      <c r="U51" s="456" t="s">
        <v>44</v>
      </c>
      <c r="V51" s="456" t="s">
        <v>44</v>
      </c>
      <c r="W51" s="456" t="s">
        <v>42</v>
      </c>
      <c r="X51" s="456" t="s">
        <v>43</v>
      </c>
      <c r="Y51" s="456" t="s">
        <v>41</v>
      </c>
      <c r="Z51" s="456" t="s">
        <v>42</v>
      </c>
      <c r="AA51" s="456" t="s">
        <v>41</v>
      </c>
      <c r="AB51" s="457" t="s">
        <v>43</v>
      </c>
      <c r="AC51" s="456" t="s">
        <v>41</v>
      </c>
      <c r="AD51" s="456" t="s">
        <v>44</v>
      </c>
      <c r="AE51" s="456" t="s">
        <v>41</v>
      </c>
      <c r="AF51" s="456" t="s">
        <v>42</v>
      </c>
      <c r="AG51" s="456" t="s">
        <v>42</v>
      </c>
      <c r="AH51" s="456" t="s">
        <v>43</v>
      </c>
      <c r="AI51" s="456" t="s">
        <v>43</v>
      </c>
      <c r="AJ51" s="456" t="s">
        <v>42</v>
      </c>
      <c r="AK51" s="456" t="s">
        <v>41</v>
      </c>
      <c r="AL51" s="456" t="s">
        <v>44</v>
      </c>
      <c r="AM51" s="456" t="s">
        <v>44</v>
      </c>
      <c r="AN51" s="456" t="s">
        <v>44</v>
      </c>
      <c r="AO51" s="456" t="s">
        <v>42</v>
      </c>
      <c r="AP51" s="456" t="s">
        <v>41</v>
      </c>
      <c r="AQ51" s="456" t="s">
        <v>41</v>
      </c>
      <c r="AR51" s="456" t="s">
        <v>43</v>
      </c>
      <c r="AS51" s="456" t="s">
        <v>44</v>
      </c>
      <c r="AT51" s="456" t="s">
        <v>41</v>
      </c>
      <c r="AU51" s="456" t="s">
        <v>44</v>
      </c>
      <c r="AV51" s="456" t="s">
        <v>44</v>
      </c>
      <c r="AW51" s="456" t="s">
        <v>43</v>
      </c>
      <c r="AX51" s="456" t="s">
        <v>42</v>
      </c>
      <c r="AY51" s="456" t="s">
        <v>41</v>
      </c>
      <c r="AZ51" s="456" t="s">
        <v>44</v>
      </c>
      <c r="BA51" s="456" t="s">
        <v>41</v>
      </c>
      <c r="BB51" s="456" t="s">
        <v>43</v>
      </c>
      <c r="BD51" s="369" t="s">
        <v>44</v>
      </c>
      <c r="BE51" s="458">
        <v>2.0</v>
      </c>
      <c r="BF51" s="458">
        <v>2.0</v>
      </c>
      <c r="BG51" s="458">
        <v>2.0</v>
      </c>
      <c r="BH51" s="458">
        <v>2.0</v>
      </c>
      <c r="BI51" s="371">
        <f t="shared" si="1"/>
        <v>50</v>
      </c>
      <c r="BJ51" s="377" t="str">
        <f t="shared" si="2"/>
        <v>Básico</v>
      </c>
      <c r="BK51" s="373"/>
      <c r="BL51" s="374">
        <f t="shared" si="3"/>
        <v>16</v>
      </c>
      <c r="BM51" s="374">
        <f t="shared" si="4"/>
        <v>273</v>
      </c>
      <c r="BN51" s="459" t="str">
        <f t="shared" si="5"/>
        <v>Adequado</v>
      </c>
      <c r="BO51" s="376">
        <f t="shared" si="6"/>
        <v>9</v>
      </c>
      <c r="BP51" s="374">
        <f t="shared" si="7"/>
        <v>165</v>
      </c>
      <c r="BQ51" s="377" t="str">
        <f t="shared" si="8"/>
        <v>Básico</v>
      </c>
      <c r="BR51" s="25"/>
    </row>
    <row r="52" ht="15.75" customHeight="1">
      <c r="A52" s="455">
        <v>23.0</v>
      </c>
      <c r="B52" s="378" t="s">
        <v>548</v>
      </c>
      <c r="C52" s="363" t="s">
        <v>170</v>
      </c>
      <c r="D52" s="447" t="s">
        <v>44</v>
      </c>
      <c r="E52" s="456" t="s">
        <v>41</v>
      </c>
      <c r="F52" s="456" t="s">
        <v>44</v>
      </c>
      <c r="G52" s="456" t="s">
        <v>42</v>
      </c>
      <c r="H52" s="456" t="s">
        <v>43</v>
      </c>
      <c r="I52" s="456" t="s">
        <v>43</v>
      </c>
      <c r="J52" s="456" t="s">
        <v>44</v>
      </c>
      <c r="K52" s="456" t="s">
        <v>42</v>
      </c>
      <c r="L52" s="456" t="s">
        <v>43</v>
      </c>
      <c r="M52" s="456" t="s">
        <v>41</v>
      </c>
      <c r="N52" s="456" t="s">
        <v>42</v>
      </c>
      <c r="O52" s="456" t="s">
        <v>44</v>
      </c>
      <c r="P52" s="456" t="s">
        <v>41</v>
      </c>
      <c r="Q52" s="456" t="s">
        <v>42</v>
      </c>
      <c r="R52" s="456" t="s">
        <v>41</v>
      </c>
      <c r="S52" s="456" t="s">
        <v>42</v>
      </c>
      <c r="T52" s="456" t="s">
        <v>43</v>
      </c>
      <c r="U52" s="456" t="s">
        <v>41</v>
      </c>
      <c r="V52" s="456" t="s">
        <v>44</v>
      </c>
      <c r="W52" s="456" t="s">
        <v>43</v>
      </c>
      <c r="X52" s="456" t="s">
        <v>42</v>
      </c>
      <c r="Y52" s="456" t="s">
        <v>41</v>
      </c>
      <c r="Z52" s="456" t="s">
        <v>44</v>
      </c>
      <c r="AA52" s="456" t="s">
        <v>42</v>
      </c>
      <c r="AB52" s="457" t="s">
        <v>43</v>
      </c>
      <c r="AC52" s="456" t="s">
        <v>41</v>
      </c>
      <c r="AD52" s="456" t="s">
        <v>43</v>
      </c>
      <c r="AE52" s="456" t="s">
        <v>42</v>
      </c>
      <c r="AF52" s="456" t="s">
        <v>43</v>
      </c>
      <c r="AG52" s="456" t="s">
        <v>44</v>
      </c>
      <c r="AH52" s="456" t="s">
        <v>41</v>
      </c>
      <c r="AI52" s="456" t="s">
        <v>43</v>
      </c>
      <c r="AJ52" s="456" t="s">
        <v>41</v>
      </c>
      <c r="AK52" s="456" t="s">
        <v>43</v>
      </c>
      <c r="AL52" s="456" t="s">
        <v>44</v>
      </c>
      <c r="AM52" s="456" t="s">
        <v>42</v>
      </c>
      <c r="AN52" s="456" t="s">
        <v>43</v>
      </c>
      <c r="AO52" s="456" t="s">
        <v>42</v>
      </c>
      <c r="AP52" s="456" t="s">
        <v>44</v>
      </c>
      <c r="AQ52" s="456" t="s">
        <v>41</v>
      </c>
      <c r="AR52" s="456" t="s">
        <v>42</v>
      </c>
      <c r="AS52" s="456" t="s">
        <v>43</v>
      </c>
      <c r="AT52" s="456" t="s">
        <v>42</v>
      </c>
      <c r="AU52" s="456" t="s">
        <v>41</v>
      </c>
      <c r="AV52" s="456" t="s">
        <v>41</v>
      </c>
      <c r="AW52" s="456" t="s">
        <v>44</v>
      </c>
      <c r="AX52" s="456" t="s">
        <v>43</v>
      </c>
      <c r="AY52" s="456" t="s">
        <v>42</v>
      </c>
      <c r="AZ52" s="456" t="s">
        <v>43</v>
      </c>
      <c r="BA52" s="456" t="s">
        <v>41</v>
      </c>
      <c r="BB52" s="456" t="s">
        <v>43</v>
      </c>
      <c r="BD52" s="369" t="s">
        <v>42</v>
      </c>
      <c r="BE52" s="458" t="s">
        <v>173</v>
      </c>
      <c r="BF52" s="458" t="s">
        <v>173</v>
      </c>
      <c r="BG52" s="458" t="s">
        <v>173</v>
      </c>
      <c r="BH52" s="458" t="s">
        <v>173</v>
      </c>
      <c r="BI52" s="371">
        <f t="shared" si="1"/>
        <v>0</v>
      </c>
      <c r="BJ52" s="377" t="str">
        <f t="shared" si="2"/>
        <v>Abaixo do Básico</v>
      </c>
      <c r="BK52" s="373"/>
      <c r="BL52" s="374">
        <f t="shared" si="3"/>
        <v>5</v>
      </c>
      <c r="BM52" s="374">
        <f t="shared" si="4"/>
        <v>113</v>
      </c>
      <c r="BN52" s="459" t="str">
        <f t="shared" si="5"/>
        <v>Abaixo do Básico</v>
      </c>
      <c r="BO52" s="376">
        <f t="shared" si="6"/>
        <v>11</v>
      </c>
      <c r="BP52" s="374">
        <f t="shared" si="7"/>
        <v>211</v>
      </c>
      <c r="BQ52" s="377" t="str">
        <f t="shared" si="8"/>
        <v>Básico</v>
      </c>
      <c r="BR52" s="25"/>
    </row>
    <row r="53" ht="15.75" customHeight="1">
      <c r="A53" s="455">
        <v>24.0</v>
      </c>
      <c r="B53" s="378" t="s">
        <v>549</v>
      </c>
      <c r="C53" s="363" t="s">
        <v>170</v>
      </c>
      <c r="D53" s="447" t="s">
        <v>41</v>
      </c>
      <c r="E53" s="456" t="s">
        <v>44</v>
      </c>
      <c r="F53" s="456" t="s">
        <v>41</v>
      </c>
      <c r="G53" s="456" t="s">
        <v>43</v>
      </c>
      <c r="H53" s="456" t="s">
        <v>42</v>
      </c>
      <c r="I53" s="456" t="s">
        <v>43</v>
      </c>
      <c r="J53" s="456" t="s">
        <v>44</v>
      </c>
      <c r="K53" s="456" t="s">
        <v>44</v>
      </c>
      <c r="L53" s="456" t="s">
        <v>43</v>
      </c>
      <c r="M53" s="456" t="s">
        <v>42</v>
      </c>
      <c r="N53" s="456" t="s">
        <v>44</v>
      </c>
      <c r="O53" s="456" t="s">
        <v>44</v>
      </c>
      <c r="P53" s="456" t="s">
        <v>42</v>
      </c>
      <c r="Q53" s="456" t="s">
        <v>42</v>
      </c>
      <c r="R53" s="456" t="s">
        <v>44</v>
      </c>
      <c r="S53" s="456" t="s">
        <v>41</v>
      </c>
      <c r="T53" s="456" t="s">
        <v>42</v>
      </c>
      <c r="U53" s="456" t="s">
        <v>44</v>
      </c>
      <c r="V53" s="456" t="s">
        <v>44</v>
      </c>
      <c r="W53" s="456" t="s">
        <v>42</v>
      </c>
      <c r="X53" s="456" t="s">
        <v>41</v>
      </c>
      <c r="Y53" s="456" t="s">
        <v>44</v>
      </c>
      <c r="Z53" s="456" t="s">
        <v>42</v>
      </c>
      <c r="AA53" s="456" t="s">
        <v>43</v>
      </c>
      <c r="AB53" s="457" t="s">
        <v>42</v>
      </c>
      <c r="AC53" s="456" t="s">
        <v>44</v>
      </c>
      <c r="AD53" s="456" t="s">
        <v>41</v>
      </c>
      <c r="AE53" s="456" t="s">
        <v>41</v>
      </c>
      <c r="AF53" s="456" t="s">
        <v>44</v>
      </c>
      <c r="AG53" s="456" t="s">
        <v>41</v>
      </c>
      <c r="AH53" s="456" t="s">
        <v>42</v>
      </c>
      <c r="AI53" s="456" t="s">
        <v>42</v>
      </c>
      <c r="AJ53" s="456" t="s">
        <v>43</v>
      </c>
      <c r="AK53" s="456" t="s">
        <v>41</v>
      </c>
      <c r="AL53" s="456" t="s">
        <v>41</v>
      </c>
      <c r="AM53" s="456" t="s">
        <v>42</v>
      </c>
      <c r="AN53" s="456" t="s">
        <v>44</v>
      </c>
      <c r="AO53" s="456" t="s">
        <v>41</v>
      </c>
      <c r="AP53" s="456" t="s">
        <v>41</v>
      </c>
      <c r="AQ53" s="456" t="s">
        <v>42</v>
      </c>
      <c r="AR53" s="456" t="s">
        <v>41</v>
      </c>
      <c r="AS53" s="456" t="s">
        <v>44</v>
      </c>
      <c r="AT53" s="456" t="s">
        <v>42</v>
      </c>
      <c r="AU53" s="456" t="s">
        <v>41</v>
      </c>
      <c r="AV53" s="456" t="s">
        <v>41</v>
      </c>
      <c r="AW53" s="456" t="s">
        <v>42</v>
      </c>
      <c r="AX53" s="456" t="s">
        <v>42</v>
      </c>
      <c r="AY53" s="456" t="s">
        <v>44</v>
      </c>
      <c r="AZ53" s="456" t="s">
        <v>41</v>
      </c>
      <c r="BA53" s="456" t="s">
        <v>44</v>
      </c>
      <c r="BB53" s="456" t="s">
        <v>41</v>
      </c>
      <c r="BD53" s="369" t="s">
        <v>42</v>
      </c>
      <c r="BE53" s="458" t="s">
        <v>173</v>
      </c>
      <c r="BF53" s="458" t="s">
        <v>173</v>
      </c>
      <c r="BG53" s="458" t="s">
        <v>173</v>
      </c>
      <c r="BH53" s="458" t="s">
        <v>173</v>
      </c>
      <c r="BI53" s="371">
        <f t="shared" si="1"/>
        <v>0</v>
      </c>
      <c r="BJ53" s="377" t="str">
        <f t="shared" si="2"/>
        <v>Abaixo do Básico</v>
      </c>
      <c r="BK53" s="373"/>
      <c r="BL53" s="374">
        <f t="shared" si="3"/>
        <v>14</v>
      </c>
      <c r="BM53" s="374">
        <f t="shared" si="4"/>
        <v>272</v>
      </c>
      <c r="BN53" s="459" t="str">
        <f t="shared" si="5"/>
        <v>Adequado</v>
      </c>
      <c r="BO53" s="376">
        <f t="shared" si="6"/>
        <v>2</v>
      </c>
      <c r="BP53" s="374">
        <f t="shared" si="7"/>
        <v>39</v>
      </c>
      <c r="BQ53" s="377" t="str">
        <f t="shared" si="8"/>
        <v>Abaixo do Básico</v>
      </c>
      <c r="BR53" s="25"/>
    </row>
    <row r="54" ht="15.75" customHeight="1">
      <c r="A54" s="455">
        <v>25.0</v>
      </c>
      <c r="B54" s="378" t="s">
        <v>550</v>
      </c>
      <c r="C54" s="363" t="s">
        <v>170</v>
      </c>
      <c r="D54" s="447" t="s">
        <v>41</v>
      </c>
      <c r="E54" s="456" t="s">
        <v>41</v>
      </c>
      <c r="F54" s="456" t="s">
        <v>44</v>
      </c>
      <c r="G54" s="456" t="s">
        <v>42</v>
      </c>
      <c r="H54" s="456" t="s">
        <v>41</v>
      </c>
      <c r="I54" s="456" t="s">
        <v>43</v>
      </c>
      <c r="J54" s="456" t="s">
        <v>42</v>
      </c>
      <c r="K54" s="456" t="s">
        <v>41</v>
      </c>
      <c r="L54" s="456" t="s">
        <v>44</v>
      </c>
      <c r="M54" s="456" t="s">
        <v>43</v>
      </c>
      <c r="N54" s="456" t="s">
        <v>43</v>
      </c>
      <c r="O54" s="456" t="s">
        <v>42</v>
      </c>
      <c r="P54" s="456" t="s">
        <v>44</v>
      </c>
      <c r="Q54" s="456" t="s">
        <v>41</v>
      </c>
      <c r="R54" s="456" t="s">
        <v>43</v>
      </c>
      <c r="S54" s="456" t="s">
        <v>42</v>
      </c>
      <c r="T54" s="456" t="s">
        <v>42</v>
      </c>
      <c r="U54" s="456" t="s">
        <v>44</v>
      </c>
      <c r="V54" s="456" t="s">
        <v>41</v>
      </c>
      <c r="W54" s="456" t="s">
        <v>42</v>
      </c>
      <c r="X54" s="456" t="s">
        <v>43</v>
      </c>
      <c r="Y54" s="456" t="s">
        <v>44</v>
      </c>
      <c r="Z54" s="456" t="s">
        <v>41</v>
      </c>
      <c r="AA54" s="456" t="s">
        <v>41</v>
      </c>
      <c r="AB54" s="457" t="s">
        <v>44</v>
      </c>
      <c r="AC54" s="456" t="s">
        <v>41</v>
      </c>
      <c r="AD54" s="456" t="s">
        <v>44</v>
      </c>
      <c r="AE54" s="456" t="s">
        <v>43</v>
      </c>
      <c r="AF54" s="456" t="s">
        <v>42</v>
      </c>
      <c r="AG54" s="456" t="s">
        <v>41</v>
      </c>
      <c r="AH54" s="456" t="s">
        <v>43</v>
      </c>
      <c r="AI54" s="456" t="s">
        <v>44</v>
      </c>
      <c r="AJ54" s="456" t="s">
        <v>43</v>
      </c>
      <c r="AK54" s="456" t="s">
        <v>42</v>
      </c>
      <c r="AL54" s="456" t="s">
        <v>41</v>
      </c>
      <c r="AM54" s="456" t="s">
        <v>44</v>
      </c>
      <c r="AN54" s="456" t="s">
        <v>44</v>
      </c>
      <c r="AO54" s="456" t="s">
        <v>42</v>
      </c>
      <c r="AP54" s="456" t="s">
        <v>41</v>
      </c>
      <c r="AQ54" s="456" t="s">
        <v>42</v>
      </c>
      <c r="AR54" s="456" t="s">
        <v>44</v>
      </c>
      <c r="AS54" s="456" t="s">
        <v>42</v>
      </c>
      <c r="AT54" s="456" t="s">
        <v>43</v>
      </c>
      <c r="AU54" s="456" t="s">
        <v>44</v>
      </c>
      <c r="AV54" s="456" t="s">
        <v>41</v>
      </c>
      <c r="AW54" s="456" t="s">
        <v>43</v>
      </c>
      <c r="AX54" s="456" t="s">
        <v>43</v>
      </c>
      <c r="AY54" s="456" t="s">
        <v>41</v>
      </c>
      <c r="AZ54" s="456" t="s">
        <v>41</v>
      </c>
      <c r="BA54" s="456" t="s">
        <v>41</v>
      </c>
      <c r="BB54" s="456" t="s">
        <v>43</v>
      </c>
      <c r="BD54" s="369" t="s">
        <v>44</v>
      </c>
      <c r="BE54" s="458">
        <v>2.0</v>
      </c>
      <c r="BF54" s="458">
        <v>2.0</v>
      </c>
      <c r="BG54" s="458">
        <v>2.0</v>
      </c>
      <c r="BH54" s="458">
        <v>2.0</v>
      </c>
      <c r="BI54" s="371">
        <f t="shared" si="1"/>
        <v>50</v>
      </c>
      <c r="BJ54" s="377" t="str">
        <f t="shared" si="2"/>
        <v>Básico</v>
      </c>
      <c r="BK54" s="373"/>
      <c r="BL54" s="374">
        <f t="shared" si="3"/>
        <v>5</v>
      </c>
      <c r="BM54" s="374">
        <f t="shared" si="4"/>
        <v>122</v>
      </c>
      <c r="BN54" s="459" t="str">
        <f t="shared" si="5"/>
        <v>Abaixo do Básico</v>
      </c>
      <c r="BO54" s="376">
        <f t="shared" si="6"/>
        <v>6</v>
      </c>
      <c r="BP54" s="374">
        <f t="shared" si="7"/>
        <v>124</v>
      </c>
      <c r="BQ54" s="377" t="str">
        <f t="shared" si="8"/>
        <v>Abaixo do Básico</v>
      </c>
      <c r="BR54" s="25"/>
    </row>
    <row r="55" ht="15.75" customHeight="1">
      <c r="A55" s="455">
        <v>26.0</v>
      </c>
      <c r="B55" s="378" t="s">
        <v>551</v>
      </c>
      <c r="C55" s="363" t="s">
        <v>170</v>
      </c>
      <c r="D55" s="447" t="s">
        <v>41</v>
      </c>
      <c r="E55" s="456" t="s">
        <v>44</v>
      </c>
      <c r="F55" s="456" t="s">
        <v>41</v>
      </c>
      <c r="G55" s="456" t="s">
        <v>43</v>
      </c>
      <c r="H55" s="456" t="s">
        <v>43</v>
      </c>
      <c r="I55" s="456" t="s">
        <v>42</v>
      </c>
      <c r="J55" s="456" t="s">
        <v>43</v>
      </c>
      <c r="K55" s="456" t="s">
        <v>42</v>
      </c>
      <c r="L55" s="456" t="s">
        <v>43</v>
      </c>
      <c r="M55" s="456" t="s">
        <v>42</v>
      </c>
      <c r="N55" s="456" t="s">
        <v>44</v>
      </c>
      <c r="O55" s="456" t="s">
        <v>41</v>
      </c>
      <c r="P55" s="456" t="s">
        <v>41</v>
      </c>
      <c r="Q55" s="456" t="s">
        <v>44</v>
      </c>
      <c r="R55" s="456" t="s">
        <v>41</v>
      </c>
      <c r="S55" s="456" t="s">
        <v>41</v>
      </c>
      <c r="T55" s="456" t="s">
        <v>44</v>
      </c>
      <c r="U55" s="456" t="s">
        <v>44</v>
      </c>
      <c r="V55" s="456" t="s">
        <v>44</v>
      </c>
      <c r="W55" s="456" t="s">
        <v>41</v>
      </c>
      <c r="X55" s="456" t="s">
        <v>44</v>
      </c>
      <c r="Y55" s="456" t="s">
        <v>44</v>
      </c>
      <c r="Z55" s="456" t="s">
        <v>44</v>
      </c>
      <c r="AA55" s="456" t="s">
        <v>42</v>
      </c>
      <c r="AB55" s="457" t="s">
        <v>44</v>
      </c>
      <c r="AC55" s="456" t="s">
        <v>42</v>
      </c>
      <c r="AD55" s="456" t="s">
        <v>41</v>
      </c>
      <c r="AE55" s="456" t="s">
        <v>42</v>
      </c>
      <c r="AF55" s="456" t="s">
        <v>43</v>
      </c>
      <c r="AG55" s="456" t="s">
        <v>44</v>
      </c>
      <c r="AH55" s="456" t="s">
        <v>44</v>
      </c>
      <c r="AI55" s="456" t="s">
        <v>42</v>
      </c>
      <c r="AJ55" s="456" t="s">
        <v>41</v>
      </c>
      <c r="AK55" s="456" t="s">
        <v>41</v>
      </c>
      <c r="AL55" s="456" t="s">
        <v>44</v>
      </c>
      <c r="AM55" s="456" t="s">
        <v>44</v>
      </c>
      <c r="AN55" s="456" t="s">
        <v>42</v>
      </c>
      <c r="AO55" s="456" t="s">
        <v>42</v>
      </c>
      <c r="AP55" s="456" t="s">
        <v>44</v>
      </c>
      <c r="AQ55" s="456" t="s">
        <v>42</v>
      </c>
      <c r="AR55" s="456" t="s">
        <v>41</v>
      </c>
      <c r="AS55" s="456" t="s">
        <v>42</v>
      </c>
      <c r="AT55" s="456" t="s">
        <v>42</v>
      </c>
      <c r="AU55" s="456" t="s">
        <v>42</v>
      </c>
      <c r="AV55" s="456" t="s">
        <v>43</v>
      </c>
      <c r="AW55" s="456" t="s">
        <v>44</v>
      </c>
      <c r="AX55" s="456" t="s">
        <v>41</v>
      </c>
      <c r="AY55" s="456" t="s">
        <v>42</v>
      </c>
      <c r="AZ55" s="456" t="s">
        <v>41</v>
      </c>
      <c r="BA55" s="456" t="s">
        <v>44</v>
      </c>
      <c r="BB55" s="456" t="s">
        <v>42</v>
      </c>
      <c r="BD55" s="369" t="s">
        <v>44</v>
      </c>
      <c r="BE55" s="458">
        <v>3.0</v>
      </c>
      <c r="BF55" s="458">
        <v>2.0</v>
      </c>
      <c r="BG55" s="458">
        <v>2.0</v>
      </c>
      <c r="BH55" s="458">
        <v>2.0</v>
      </c>
      <c r="BI55" s="371">
        <f t="shared" si="1"/>
        <v>56.25</v>
      </c>
      <c r="BJ55" s="377" t="str">
        <f t="shared" si="2"/>
        <v>Adequado</v>
      </c>
      <c r="BK55" s="373"/>
      <c r="BL55" s="374">
        <f t="shared" si="3"/>
        <v>14</v>
      </c>
      <c r="BM55" s="374">
        <f t="shared" si="4"/>
        <v>282</v>
      </c>
      <c r="BN55" s="459" t="str">
        <f t="shared" si="5"/>
        <v>Adequado</v>
      </c>
      <c r="BO55" s="376">
        <f t="shared" si="6"/>
        <v>6</v>
      </c>
      <c r="BP55" s="374">
        <f t="shared" si="7"/>
        <v>124</v>
      </c>
      <c r="BQ55" s="377" t="str">
        <f t="shared" si="8"/>
        <v>Abaixo do Básico</v>
      </c>
      <c r="BR55" s="25"/>
    </row>
    <row r="56" ht="15.75" customHeight="1">
      <c r="A56" s="455">
        <v>27.0</v>
      </c>
      <c r="B56" s="378" t="s">
        <v>552</v>
      </c>
      <c r="C56" s="363" t="s">
        <v>170</v>
      </c>
      <c r="D56" s="447" t="s">
        <v>44</v>
      </c>
      <c r="E56" s="456" t="s">
        <v>42</v>
      </c>
      <c r="F56" s="456" t="s">
        <v>41</v>
      </c>
      <c r="G56" s="456" t="s">
        <v>42</v>
      </c>
      <c r="H56" s="456" t="s">
        <v>43</v>
      </c>
      <c r="I56" s="456" t="s">
        <v>43</v>
      </c>
      <c r="J56" s="456" t="s">
        <v>42</v>
      </c>
      <c r="K56" s="456" t="s">
        <v>42</v>
      </c>
      <c r="L56" s="456" t="s">
        <v>44</v>
      </c>
      <c r="M56" s="456" t="s">
        <v>41</v>
      </c>
      <c r="N56" s="456" t="s">
        <v>43</v>
      </c>
      <c r="O56" s="456" t="s">
        <v>42</v>
      </c>
      <c r="P56" s="456" t="s">
        <v>41</v>
      </c>
      <c r="Q56" s="456" t="s">
        <v>44</v>
      </c>
      <c r="R56" s="456" t="s">
        <v>41</v>
      </c>
      <c r="S56" s="456" t="s">
        <v>41</v>
      </c>
      <c r="T56" s="456" t="s">
        <v>43</v>
      </c>
      <c r="U56" s="456" t="s">
        <v>43</v>
      </c>
      <c r="V56" s="456" t="s">
        <v>42</v>
      </c>
      <c r="W56" s="456" t="s">
        <v>44</v>
      </c>
      <c r="X56" s="456" t="s">
        <v>41</v>
      </c>
      <c r="Y56" s="456" t="s">
        <v>43</v>
      </c>
      <c r="Z56" s="456" t="s">
        <v>42</v>
      </c>
      <c r="AA56" s="456" t="s">
        <v>44</v>
      </c>
      <c r="AB56" s="457" t="s">
        <v>44</v>
      </c>
      <c r="AC56" s="456" t="s">
        <v>44</v>
      </c>
      <c r="AD56" s="456" t="s">
        <v>42</v>
      </c>
      <c r="AE56" s="456" t="s">
        <v>43</v>
      </c>
      <c r="AF56" s="456" t="s">
        <v>41</v>
      </c>
      <c r="AG56" s="456" t="s">
        <v>44</v>
      </c>
      <c r="AH56" s="456" t="s">
        <v>42</v>
      </c>
      <c r="AI56" s="456" t="s">
        <v>41</v>
      </c>
      <c r="AJ56" s="456" t="s">
        <v>43</v>
      </c>
      <c r="AK56" s="456" t="s">
        <v>42</v>
      </c>
      <c r="AL56" s="456" t="s">
        <v>44</v>
      </c>
      <c r="AM56" s="456" t="s">
        <v>41</v>
      </c>
      <c r="AN56" s="456" t="s">
        <v>44</v>
      </c>
      <c r="AO56" s="456" t="s">
        <v>44</v>
      </c>
      <c r="AP56" s="456" t="s">
        <v>42</v>
      </c>
      <c r="AQ56" s="456" t="s">
        <v>43</v>
      </c>
      <c r="AR56" s="456" t="s">
        <v>41</v>
      </c>
      <c r="AS56" s="456" t="s">
        <v>42</v>
      </c>
      <c r="AT56" s="456" t="s">
        <v>43</v>
      </c>
      <c r="AU56" s="456" t="s">
        <v>42</v>
      </c>
      <c r="AV56" s="456" t="s">
        <v>41</v>
      </c>
      <c r="AW56" s="456" t="s">
        <v>44</v>
      </c>
      <c r="AX56" s="456" t="s">
        <v>41</v>
      </c>
      <c r="AY56" s="456" t="s">
        <v>44</v>
      </c>
      <c r="AZ56" s="456" t="s">
        <v>43</v>
      </c>
      <c r="BA56" s="456" t="s">
        <v>41</v>
      </c>
      <c r="BB56" s="456" t="s">
        <v>42</v>
      </c>
      <c r="BD56" s="369" t="s">
        <v>44</v>
      </c>
      <c r="BE56" s="458">
        <v>2.0</v>
      </c>
      <c r="BF56" s="458">
        <v>2.0</v>
      </c>
      <c r="BG56" s="458">
        <v>2.0</v>
      </c>
      <c r="BH56" s="458">
        <v>2.0</v>
      </c>
      <c r="BI56" s="371">
        <f t="shared" si="1"/>
        <v>50</v>
      </c>
      <c r="BJ56" s="377" t="str">
        <f t="shared" si="2"/>
        <v>Básico</v>
      </c>
      <c r="BK56" s="373"/>
      <c r="BL56" s="374">
        <f t="shared" si="3"/>
        <v>9</v>
      </c>
      <c r="BM56" s="374">
        <f t="shared" si="4"/>
        <v>179</v>
      </c>
      <c r="BN56" s="459" t="str">
        <f t="shared" si="5"/>
        <v>Básico</v>
      </c>
      <c r="BO56" s="376">
        <f t="shared" si="6"/>
        <v>8</v>
      </c>
      <c r="BP56" s="374">
        <f t="shared" si="7"/>
        <v>162</v>
      </c>
      <c r="BQ56" s="377" t="str">
        <f t="shared" si="8"/>
        <v>Básico</v>
      </c>
      <c r="BR56" s="25"/>
    </row>
    <row r="57" ht="15.75" customHeight="1">
      <c r="A57" s="455">
        <v>28.0</v>
      </c>
      <c r="B57" s="378"/>
      <c r="C57" s="363"/>
      <c r="D57" s="447"/>
      <c r="E57" s="456"/>
      <c r="F57" s="456"/>
      <c r="G57" s="456"/>
      <c r="H57" s="456"/>
      <c r="I57" s="456"/>
      <c r="J57" s="456"/>
      <c r="K57" s="456"/>
      <c r="L57" s="456"/>
      <c r="M57" s="456"/>
      <c r="N57" s="456"/>
      <c r="O57" s="456"/>
      <c r="P57" s="456"/>
      <c r="Q57" s="456"/>
      <c r="R57" s="456"/>
      <c r="S57" s="456"/>
      <c r="T57" s="456"/>
      <c r="U57" s="456"/>
      <c r="V57" s="456"/>
      <c r="W57" s="456"/>
      <c r="X57" s="456"/>
      <c r="Y57" s="456"/>
      <c r="Z57" s="456"/>
      <c r="AA57" s="456"/>
      <c r="AB57" s="457"/>
      <c r="AC57" s="456"/>
      <c r="AD57" s="456"/>
      <c r="AE57" s="456"/>
      <c r="AF57" s="456"/>
      <c r="AG57" s="456"/>
      <c r="AH57" s="456"/>
      <c r="AI57" s="456"/>
      <c r="AJ57" s="456"/>
      <c r="AK57" s="456"/>
      <c r="AL57" s="456"/>
      <c r="AM57" s="456"/>
      <c r="AN57" s="456"/>
      <c r="AO57" s="456"/>
      <c r="AP57" s="456"/>
      <c r="AQ57" s="456"/>
      <c r="AR57" s="456"/>
      <c r="AS57" s="456"/>
      <c r="AT57" s="456"/>
      <c r="AU57" s="456"/>
      <c r="AV57" s="456"/>
      <c r="AW57" s="456"/>
      <c r="AX57" s="456"/>
      <c r="AY57" s="456"/>
      <c r="AZ57" s="456"/>
      <c r="BA57" s="456"/>
      <c r="BB57" s="456"/>
      <c r="BD57" s="369"/>
      <c r="BE57" s="458"/>
      <c r="BF57" s="458"/>
      <c r="BG57" s="458"/>
      <c r="BH57" s="458"/>
      <c r="BI57" s="371"/>
      <c r="BJ57" s="377"/>
      <c r="BK57" s="373"/>
      <c r="BL57" s="374"/>
      <c r="BM57" s="374"/>
      <c r="BN57" s="459"/>
      <c r="BO57" s="376"/>
      <c r="BP57" s="374"/>
      <c r="BQ57" s="377"/>
      <c r="BR57" s="25"/>
    </row>
    <row r="58" ht="15.75" customHeight="1">
      <c r="A58" s="455">
        <v>29.0</v>
      </c>
      <c r="B58" s="378"/>
      <c r="C58" s="363"/>
      <c r="D58" s="461"/>
      <c r="E58" s="456"/>
      <c r="F58" s="456"/>
      <c r="G58" s="456"/>
      <c r="H58" s="456"/>
      <c r="I58" s="456"/>
      <c r="J58" s="456"/>
      <c r="K58" s="456"/>
      <c r="L58" s="456"/>
      <c r="M58" s="456"/>
      <c r="N58" s="456"/>
      <c r="O58" s="456"/>
      <c r="P58" s="456"/>
      <c r="Q58" s="456"/>
      <c r="R58" s="456"/>
      <c r="S58" s="456"/>
      <c r="T58" s="456"/>
      <c r="U58" s="456"/>
      <c r="V58" s="456"/>
      <c r="W58" s="456"/>
      <c r="X58" s="456"/>
      <c r="Y58" s="456"/>
      <c r="Z58" s="456"/>
      <c r="AA58" s="456"/>
      <c r="AB58" s="457"/>
      <c r="AC58" s="456"/>
      <c r="AD58" s="456"/>
      <c r="AE58" s="456"/>
      <c r="AF58" s="456"/>
      <c r="AG58" s="456"/>
      <c r="AH58" s="456"/>
      <c r="AI58" s="456"/>
      <c r="AJ58" s="456"/>
      <c r="AK58" s="456"/>
      <c r="AL58" s="456"/>
      <c r="AM58" s="456"/>
      <c r="AN58" s="456"/>
      <c r="AO58" s="456"/>
      <c r="AP58" s="456"/>
      <c r="AQ58" s="456"/>
      <c r="AR58" s="456"/>
      <c r="AS58" s="456"/>
      <c r="AT58" s="456"/>
      <c r="AU58" s="456"/>
      <c r="AV58" s="456"/>
      <c r="AW58" s="456"/>
      <c r="AX58" s="456"/>
      <c r="AY58" s="456"/>
      <c r="AZ58" s="456"/>
      <c r="BA58" s="456"/>
      <c r="BB58" s="456"/>
      <c r="BD58" s="369"/>
      <c r="BE58" s="114"/>
      <c r="BF58" s="114"/>
      <c r="BG58" s="114"/>
      <c r="BH58" s="114"/>
      <c r="BI58" s="371"/>
      <c r="BJ58" s="377"/>
      <c r="BK58" s="373"/>
      <c r="BL58" s="374"/>
      <c r="BM58" s="374"/>
      <c r="BN58" s="459"/>
      <c r="BO58" s="376"/>
      <c r="BP58" s="374"/>
      <c r="BQ58" s="377"/>
      <c r="BR58" s="25"/>
    </row>
    <row r="59" ht="15.75" customHeight="1">
      <c r="A59" s="460">
        <v>30.0</v>
      </c>
      <c r="B59" s="378"/>
      <c r="C59" s="363"/>
      <c r="D59" s="461"/>
      <c r="E59" s="456"/>
      <c r="F59" s="456"/>
      <c r="G59" s="456"/>
      <c r="H59" s="456"/>
      <c r="I59" s="456"/>
      <c r="J59" s="456"/>
      <c r="K59" s="456"/>
      <c r="L59" s="456"/>
      <c r="M59" s="456"/>
      <c r="N59" s="456"/>
      <c r="O59" s="456"/>
      <c r="P59" s="456"/>
      <c r="Q59" s="456"/>
      <c r="R59" s="456"/>
      <c r="S59" s="456"/>
      <c r="T59" s="456"/>
      <c r="U59" s="456"/>
      <c r="V59" s="456"/>
      <c r="W59" s="456"/>
      <c r="X59" s="456"/>
      <c r="Y59" s="456"/>
      <c r="Z59" s="456"/>
      <c r="AA59" s="456"/>
      <c r="AB59" s="457"/>
      <c r="AC59" s="456"/>
      <c r="AD59" s="456"/>
      <c r="AE59" s="456"/>
      <c r="AF59" s="456"/>
      <c r="AG59" s="456"/>
      <c r="AH59" s="456"/>
      <c r="AI59" s="456"/>
      <c r="AJ59" s="456"/>
      <c r="AK59" s="456"/>
      <c r="AL59" s="456"/>
      <c r="AM59" s="456"/>
      <c r="AN59" s="456"/>
      <c r="AO59" s="456"/>
      <c r="AP59" s="456"/>
      <c r="AQ59" s="456"/>
      <c r="AR59" s="456"/>
      <c r="AS59" s="456"/>
      <c r="AT59" s="456"/>
      <c r="AU59" s="456"/>
      <c r="AV59" s="456"/>
      <c r="AW59" s="456"/>
      <c r="AX59" s="456"/>
      <c r="AY59" s="456"/>
      <c r="AZ59" s="456"/>
      <c r="BA59" s="456"/>
      <c r="BB59" s="456"/>
      <c r="BD59" s="369"/>
      <c r="BE59" s="114"/>
      <c r="BF59" s="114"/>
      <c r="BG59" s="114"/>
      <c r="BH59" s="114"/>
      <c r="BI59" s="371"/>
      <c r="BJ59" s="377"/>
      <c r="BK59" s="373"/>
      <c r="BL59" s="374"/>
      <c r="BM59" s="374"/>
      <c r="BN59" s="459"/>
      <c r="BO59" s="376"/>
      <c r="BP59" s="374"/>
      <c r="BQ59" s="377"/>
      <c r="BR59" s="25"/>
    </row>
    <row r="60" ht="15.75" customHeight="1">
      <c r="A60" s="460">
        <v>31.0</v>
      </c>
      <c r="B60" s="378"/>
      <c r="C60" s="363"/>
      <c r="D60" s="461"/>
      <c r="E60" s="456"/>
      <c r="F60" s="456"/>
      <c r="G60" s="456"/>
      <c r="H60" s="456"/>
      <c r="I60" s="456"/>
      <c r="J60" s="456"/>
      <c r="K60" s="456"/>
      <c r="L60" s="456"/>
      <c r="M60" s="456"/>
      <c r="N60" s="456"/>
      <c r="O60" s="456"/>
      <c r="P60" s="456"/>
      <c r="Q60" s="456"/>
      <c r="R60" s="456"/>
      <c r="S60" s="456"/>
      <c r="T60" s="456"/>
      <c r="U60" s="456"/>
      <c r="V60" s="456"/>
      <c r="W60" s="456"/>
      <c r="X60" s="456"/>
      <c r="Y60" s="456"/>
      <c r="Z60" s="456"/>
      <c r="AA60" s="456"/>
      <c r="AB60" s="457"/>
      <c r="AC60" s="456"/>
      <c r="AD60" s="456"/>
      <c r="AE60" s="456"/>
      <c r="AF60" s="456"/>
      <c r="AG60" s="456"/>
      <c r="AH60" s="456"/>
      <c r="AI60" s="456"/>
      <c r="AJ60" s="456"/>
      <c r="AK60" s="456"/>
      <c r="AL60" s="456"/>
      <c r="AM60" s="456"/>
      <c r="AN60" s="456"/>
      <c r="AO60" s="456"/>
      <c r="AP60" s="456"/>
      <c r="AQ60" s="456"/>
      <c r="AR60" s="456"/>
      <c r="AS60" s="456"/>
      <c r="AT60" s="456"/>
      <c r="AU60" s="456"/>
      <c r="AV60" s="456"/>
      <c r="AW60" s="456"/>
      <c r="AX60" s="456"/>
      <c r="AY60" s="456"/>
      <c r="AZ60" s="456"/>
      <c r="BA60" s="456"/>
      <c r="BB60" s="456"/>
      <c r="BD60" s="369"/>
      <c r="BE60" s="114"/>
      <c r="BF60" s="114"/>
      <c r="BG60" s="114"/>
      <c r="BH60" s="114"/>
      <c r="BI60" s="371"/>
      <c r="BJ60" s="377"/>
      <c r="BK60" s="373"/>
      <c r="BL60" s="374"/>
      <c r="BM60" s="374"/>
      <c r="BN60" s="459"/>
      <c r="BO60" s="376"/>
      <c r="BP60" s="374"/>
      <c r="BQ60" s="377"/>
      <c r="BR60" s="25"/>
    </row>
    <row r="61" ht="15.75" customHeight="1">
      <c r="A61" s="460">
        <v>32.0</v>
      </c>
      <c r="B61" s="378"/>
      <c r="C61" s="363"/>
      <c r="D61" s="461"/>
      <c r="E61" s="456"/>
      <c r="F61" s="456"/>
      <c r="G61" s="456"/>
      <c r="H61" s="456"/>
      <c r="I61" s="456"/>
      <c r="J61" s="456"/>
      <c r="K61" s="456"/>
      <c r="L61" s="456"/>
      <c r="M61" s="456"/>
      <c r="N61" s="456"/>
      <c r="O61" s="456"/>
      <c r="P61" s="456"/>
      <c r="Q61" s="456"/>
      <c r="R61" s="456"/>
      <c r="S61" s="456"/>
      <c r="T61" s="456"/>
      <c r="U61" s="456"/>
      <c r="V61" s="456"/>
      <c r="W61" s="456"/>
      <c r="X61" s="456"/>
      <c r="Y61" s="456"/>
      <c r="Z61" s="456"/>
      <c r="AA61" s="456"/>
      <c r="AB61" s="457"/>
      <c r="AC61" s="456"/>
      <c r="AD61" s="456"/>
      <c r="AE61" s="456"/>
      <c r="AF61" s="456"/>
      <c r="AG61" s="456"/>
      <c r="AH61" s="456"/>
      <c r="AI61" s="456"/>
      <c r="AJ61" s="456"/>
      <c r="AK61" s="456"/>
      <c r="AL61" s="456"/>
      <c r="AM61" s="456"/>
      <c r="AN61" s="456"/>
      <c r="AO61" s="456"/>
      <c r="AP61" s="456"/>
      <c r="AQ61" s="456"/>
      <c r="AR61" s="456"/>
      <c r="AS61" s="456"/>
      <c r="AT61" s="456"/>
      <c r="AU61" s="456"/>
      <c r="AV61" s="456"/>
      <c r="AW61" s="456"/>
      <c r="AX61" s="456"/>
      <c r="AY61" s="456"/>
      <c r="AZ61" s="456"/>
      <c r="BA61" s="456"/>
      <c r="BB61" s="456"/>
      <c r="BD61" s="369"/>
      <c r="BE61" s="114"/>
      <c r="BF61" s="114"/>
      <c r="BG61" s="114"/>
      <c r="BH61" s="114"/>
      <c r="BI61" s="371"/>
      <c r="BJ61" s="377"/>
      <c r="BK61" s="373"/>
      <c r="BL61" s="374"/>
      <c r="BM61" s="374"/>
      <c r="BN61" s="459"/>
      <c r="BO61" s="376"/>
      <c r="BP61" s="374"/>
      <c r="BQ61" s="377"/>
      <c r="BR61" s="25"/>
    </row>
    <row r="62" ht="15.75" customHeight="1">
      <c r="A62" s="460">
        <v>33.0</v>
      </c>
      <c r="B62" s="378"/>
      <c r="C62" s="363"/>
      <c r="D62" s="461"/>
      <c r="E62" s="456"/>
      <c r="F62" s="456"/>
      <c r="G62" s="456"/>
      <c r="H62" s="456"/>
      <c r="I62" s="456"/>
      <c r="J62" s="456"/>
      <c r="K62" s="456"/>
      <c r="L62" s="456"/>
      <c r="M62" s="456"/>
      <c r="N62" s="456"/>
      <c r="O62" s="456"/>
      <c r="P62" s="456"/>
      <c r="Q62" s="456"/>
      <c r="R62" s="456"/>
      <c r="S62" s="456"/>
      <c r="T62" s="456"/>
      <c r="U62" s="456"/>
      <c r="V62" s="456"/>
      <c r="W62" s="456"/>
      <c r="X62" s="456"/>
      <c r="Y62" s="456"/>
      <c r="Z62" s="456"/>
      <c r="AA62" s="456"/>
      <c r="AB62" s="457"/>
      <c r="AC62" s="456"/>
      <c r="AD62" s="456"/>
      <c r="AE62" s="456"/>
      <c r="AF62" s="456"/>
      <c r="AG62" s="456"/>
      <c r="AH62" s="456"/>
      <c r="AI62" s="456"/>
      <c r="AJ62" s="456"/>
      <c r="AK62" s="456"/>
      <c r="AL62" s="456"/>
      <c r="AM62" s="456"/>
      <c r="AN62" s="456"/>
      <c r="AO62" s="456"/>
      <c r="AP62" s="456"/>
      <c r="AQ62" s="456"/>
      <c r="AR62" s="456"/>
      <c r="AS62" s="456"/>
      <c r="AT62" s="456"/>
      <c r="AU62" s="456"/>
      <c r="AV62" s="456"/>
      <c r="AW62" s="456"/>
      <c r="AX62" s="456"/>
      <c r="AY62" s="456"/>
      <c r="AZ62" s="456"/>
      <c r="BA62" s="456"/>
      <c r="BB62" s="456"/>
      <c r="BD62" s="369"/>
      <c r="BE62" s="114"/>
      <c r="BF62" s="114"/>
      <c r="BG62" s="114"/>
      <c r="BH62" s="114"/>
      <c r="BI62" s="371"/>
      <c r="BJ62" s="377"/>
      <c r="BK62" s="373"/>
      <c r="BL62" s="374"/>
      <c r="BM62" s="374"/>
      <c r="BN62" s="459"/>
      <c r="BO62" s="376"/>
      <c r="BP62" s="374"/>
      <c r="BQ62" s="377"/>
      <c r="BR62" s="25"/>
    </row>
    <row r="63" ht="15.75" customHeight="1">
      <c r="A63" s="460">
        <v>34.0</v>
      </c>
      <c r="B63" s="378"/>
      <c r="C63" s="363"/>
      <c r="D63" s="461"/>
      <c r="E63" s="456"/>
      <c r="F63" s="456"/>
      <c r="G63" s="456"/>
      <c r="H63" s="456"/>
      <c r="I63" s="456"/>
      <c r="J63" s="456"/>
      <c r="K63" s="456"/>
      <c r="L63" s="456"/>
      <c r="M63" s="456"/>
      <c r="N63" s="456"/>
      <c r="O63" s="456"/>
      <c r="P63" s="456"/>
      <c r="Q63" s="456"/>
      <c r="R63" s="456"/>
      <c r="S63" s="456"/>
      <c r="T63" s="456"/>
      <c r="U63" s="456"/>
      <c r="V63" s="456"/>
      <c r="W63" s="456"/>
      <c r="X63" s="456"/>
      <c r="Y63" s="456"/>
      <c r="Z63" s="456"/>
      <c r="AA63" s="456"/>
      <c r="AB63" s="457"/>
      <c r="AC63" s="456"/>
      <c r="AD63" s="456"/>
      <c r="AE63" s="456"/>
      <c r="AF63" s="456"/>
      <c r="AG63" s="456"/>
      <c r="AH63" s="456"/>
      <c r="AI63" s="456"/>
      <c r="AJ63" s="456"/>
      <c r="AK63" s="456"/>
      <c r="AL63" s="456"/>
      <c r="AM63" s="456"/>
      <c r="AN63" s="456"/>
      <c r="AO63" s="456"/>
      <c r="AP63" s="456"/>
      <c r="AQ63" s="456"/>
      <c r="AR63" s="456"/>
      <c r="AS63" s="456"/>
      <c r="AT63" s="456"/>
      <c r="AU63" s="456"/>
      <c r="AV63" s="456"/>
      <c r="AW63" s="456"/>
      <c r="AX63" s="456"/>
      <c r="AY63" s="456"/>
      <c r="AZ63" s="456"/>
      <c r="BA63" s="456"/>
      <c r="BB63" s="456"/>
      <c r="BD63" s="369"/>
      <c r="BE63" s="114"/>
      <c r="BF63" s="114"/>
      <c r="BG63" s="114"/>
      <c r="BH63" s="114"/>
      <c r="BI63" s="371"/>
      <c r="BJ63" s="377"/>
      <c r="BK63" s="373"/>
      <c r="BL63" s="374"/>
      <c r="BM63" s="374"/>
      <c r="BN63" s="459"/>
      <c r="BO63" s="376"/>
      <c r="BP63" s="374"/>
      <c r="BQ63" s="377"/>
      <c r="BR63" s="25"/>
    </row>
    <row r="64" ht="15.75" customHeight="1">
      <c r="A64" s="460">
        <v>35.0</v>
      </c>
      <c r="B64" s="378"/>
      <c r="C64" s="363"/>
      <c r="D64" s="461"/>
      <c r="E64" s="456"/>
      <c r="F64" s="456"/>
      <c r="G64" s="456"/>
      <c r="H64" s="456"/>
      <c r="I64" s="456"/>
      <c r="J64" s="456"/>
      <c r="K64" s="456"/>
      <c r="L64" s="456"/>
      <c r="M64" s="456"/>
      <c r="N64" s="456"/>
      <c r="O64" s="456"/>
      <c r="P64" s="456"/>
      <c r="Q64" s="456"/>
      <c r="R64" s="456"/>
      <c r="S64" s="456"/>
      <c r="T64" s="456"/>
      <c r="U64" s="456"/>
      <c r="V64" s="456"/>
      <c r="W64" s="456"/>
      <c r="X64" s="456"/>
      <c r="Y64" s="456"/>
      <c r="Z64" s="456"/>
      <c r="AA64" s="456"/>
      <c r="AB64" s="457"/>
      <c r="AC64" s="456"/>
      <c r="AD64" s="456"/>
      <c r="AE64" s="456"/>
      <c r="AF64" s="456"/>
      <c r="AG64" s="456"/>
      <c r="AH64" s="456"/>
      <c r="AI64" s="456"/>
      <c r="AJ64" s="456"/>
      <c r="AK64" s="456"/>
      <c r="AL64" s="456"/>
      <c r="AM64" s="456"/>
      <c r="AN64" s="456"/>
      <c r="AO64" s="456"/>
      <c r="AP64" s="456"/>
      <c r="AQ64" s="456"/>
      <c r="AR64" s="456"/>
      <c r="AS64" s="456"/>
      <c r="AT64" s="456"/>
      <c r="AU64" s="456"/>
      <c r="AV64" s="456"/>
      <c r="AW64" s="456"/>
      <c r="AX64" s="456"/>
      <c r="AY64" s="456"/>
      <c r="AZ64" s="456"/>
      <c r="BA64" s="456"/>
      <c r="BB64" s="456"/>
      <c r="BD64" s="369"/>
      <c r="BE64" s="114"/>
      <c r="BF64" s="114"/>
      <c r="BG64" s="114"/>
      <c r="BH64" s="114"/>
      <c r="BI64" s="371"/>
      <c r="BJ64" s="377"/>
      <c r="BK64" s="373"/>
      <c r="BL64" s="374"/>
      <c r="BM64" s="374"/>
      <c r="BN64" s="459"/>
      <c r="BO64" s="376"/>
      <c r="BP64" s="374"/>
      <c r="BQ64" s="377"/>
      <c r="BR64" s="25"/>
    </row>
    <row r="65" ht="15.75" customHeight="1">
      <c r="A65" s="460">
        <v>36.0</v>
      </c>
      <c r="B65" s="378"/>
      <c r="C65" s="363"/>
      <c r="D65" s="461"/>
      <c r="E65" s="456"/>
      <c r="F65" s="456"/>
      <c r="G65" s="456"/>
      <c r="H65" s="456"/>
      <c r="I65" s="456"/>
      <c r="J65" s="456"/>
      <c r="K65" s="456"/>
      <c r="L65" s="456"/>
      <c r="M65" s="456"/>
      <c r="N65" s="456"/>
      <c r="O65" s="456"/>
      <c r="P65" s="456"/>
      <c r="Q65" s="456"/>
      <c r="R65" s="456"/>
      <c r="S65" s="456"/>
      <c r="T65" s="456"/>
      <c r="U65" s="456"/>
      <c r="V65" s="456"/>
      <c r="W65" s="456"/>
      <c r="X65" s="456"/>
      <c r="Y65" s="456"/>
      <c r="Z65" s="456"/>
      <c r="AA65" s="456"/>
      <c r="AB65" s="457"/>
      <c r="AC65" s="456"/>
      <c r="AD65" s="456"/>
      <c r="AE65" s="456"/>
      <c r="AF65" s="456"/>
      <c r="AG65" s="456"/>
      <c r="AH65" s="456"/>
      <c r="AI65" s="456"/>
      <c r="AJ65" s="456"/>
      <c r="AK65" s="456"/>
      <c r="AL65" s="456"/>
      <c r="AM65" s="456"/>
      <c r="AN65" s="456"/>
      <c r="AO65" s="456"/>
      <c r="AP65" s="456"/>
      <c r="AQ65" s="456"/>
      <c r="AR65" s="456"/>
      <c r="AS65" s="456"/>
      <c r="AT65" s="456"/>
      <c r="AU65" s="456"/>
      <c r="AV65" s="456"/>
      <c r="AW65" s="456"/>
      <c r="AX65" s="456"/>
      <c r="AY65" s="456"/>
      <c r="AZ65" s="456"/>
      <c r="BA65" s="456"/>
      <c r="BB65" s="456"/>
      <c r="BD65" s="369"/>
      <c r="BE65" s="114"/>
      <c r="BF65" s="114"/>
      <c r="BG65" s="114"/>
      <c r="BH65" s="114"/>
      <c r="BI65" s="371"/>
      <c r="BJ65" s="377"/>
      <c r="BK65" s="373"/>
      <c r="BL65" s="374"/>
      <c r="BM65" s="374"/>
      <c r="BN65" s="459"/>
      <c r="BO65" s="376"/>
      <c r="BP65" s="374"/>
      <c r="BQ65" s="377"/>
      <c r="BR65" s="25"/>
    </row>
    <row r="66" ht="15.75" customHeight="1">
      <c r="A66" s="460">
        <v>37.0</v>
      </c>
      <c r="B66" s="378"/>
      <c r="C66" s="363"/>
      <c r="D66" s="461"/>
      <c r="E66" s="456"/>
      <c r="F66" s="456"/>
      <c r="G66" s="456"/>
      <c r="H66" s="456"/>
      <c r="I66" s="456"/>
      <c r="J66" s="456"/>
      <c r="K66" s="456"/>
      <c r="L66" s="456"/>
      <c r="M66" s="456"/>
      <c r="N66" s="456"/>
      <c r="O66" s="456"/>
      <c r="P66" s="456"/>
      <c r="Q66" s="456"/>
      <c r="R66" s="456"/>
      <c r="S66" s="456"/>
      <c r="T66" s="456"/>
      <c r="U66" s="456"/>
      <c r="V66" s="456"/>
      <c r="W66" s="456"/>
      <c r="X66" s="456"/>
      <c r="Y66" s="456"/>
      <c r="Z66" s="456"/>
      <c r="AA66" s="456"/>
      <c r="AB66" s="457"/>
      <c r="AC66" s="456"/>
      <c r="AD66" s="456"/>
      <c r="AE66" s="456"/>
      <c r="AF66" s="456"/>
      <c r="AG66" s="456"/>
      <c r="AH66" s="456"/>
      <c r="AI66" s="456"/>
      <c r="AJ66" s="456"/>
      <c r="AK66" s="456"/>
      <c r="AL66" s="456"/>
      <c r="AM66" s="456"/>
      <c r="AN66" s="456"/>
      <c r="AO66" s="456"/>
      <c r="AP66" s="456"/>
      <c r="AQ66" s="456"/>
      <c r="AR66" s="456"/>
      <c r="AS66" s="456"/>
      <c r="AT66" s="456"/>
      <c r="AU66" s="456"/>
      <c r="AV66" s="456"/>
      <c r="AW66" s="456"/>
      <c r="AX66" s="456"/>
      <c r="AY66" s="456"/>
      <c r="AZ66" s="456"/>
      <c r="BA66" s="456"/>
      <c r="BB66" s="456"/>
      <c r="BD66" s="369"/>
      <c r="BE66" s="114"/>
      <c r="BF66" s="114"/>
      <c r="BG66" s="114"/>
      <c r="BH66" s="114"/>
      <c r="BI66" s="371"/>
      <c r="BJ66" s="377"/>
      <c r="BK66" s="373"/>
      <c r="BL66" s="374"/>
      <c r="BM66" s="374"/>
      <c r="BN66" s="459"/>
      <c r="BO66" s="376"/>
      <c r="BP66" s="374"/>
      <c r="BQ66" s="377"/>
      <c r="BR66" s="25"/>
    </row>
    <row r="67" ht="15.75" customHeight="1">
      <c r="A67" s="460">
        <v>38.0</v>
      </c>
      <c r="B67" s="378"/>
      <c r="C67" s="363"/>
      <c r="D67" s="461"/>
      <c r="E67" s="456"/>
      <c r="F67" s="456"/>
      <c r="G67" s="456"/>
      <c r="H67" s="456"/>
      <c r="I67" s="456"/>
      <c r="J67" s="456"/>
      <c r="K67" s="456"/>
      <c r="L67" s="456"/>
      <c r="M67" s="456"/>
      <c r="N67" s="456"/>
      <c r="O67" s="456"/>
      <c r="P67" s="456"/>
      <c r="Q67" s="456"/>
      <c r="R67" s="456"/>
      <c r="S67" s="456"/>
      <c r="T67" s="456"/>
      <c r="U67" s="456"/>
      <c r="V67" s="456"/>
      <c r="W67" s="456"/>
      <c r="X67" s="456"/>
      <c r="Y67" s="456"/>
      <c r="Z67" s="456"/>
      <c r="AA67" s="456"/>
      <c r="AB67" s="457"/>
      <c r="AC67" s="456"/>
      <c r="AD67" s="456"/>
      <c r="AE67" s="456"/>
      <c r="AF67" s="456"/>
      <c r="AG67" s="456"/>
      <c r="AH67" s="456"/>
      <c r="AI67" s="456"/>
      <c r="AJ67" s="456"/>
      <c r="AK67" s="456"/>
      <c r="AL67" s="456"/>
      <c r="AM67" s="456"/>
      <c r="AN67" s="456"/>
      <c r="AO67" s="456"/>
      <c r="AP67" s="456"/>
      <c r="AQ67" s="456"/>
      <c r="AR67" s="456"/>
      <c r="AS67" s="456"/>
      <c r="AT67" s="456"/>
      <c r="AU67" s="456"/>
      <c r="AV67" s="456"/>
      <c r="AW67" s="456"/>
      <c r="AX67" s="456"/>
      <c r="AY67" s="456"/>
      <c r="AZ67" s="456"/>
      <c r="BA67" s="456"/>
      <c r="BB67" s="456"/>
      <c r="BD67" s="369"/>
      <c r="BE67" s="114"/>
      <c r="BF67" s="114"/>
      <c r="BG67" s="114"/>
      <c r="BH67" s="114"/>
      <c r="BI67" s="371"/>
      <c r="BJ67" s="377"/>
      <c r="BK67" s="373"/>
      <c r="BL67" s="374"/>
      <c r="BM67" s="374"/>
      <c r="BN67" s="459"/>
      <c r="BO67" s="376"/>
      <c r="BP67" s="374"/>
      <c r="BQ67" s="377"/>
      <c r="BR67" s="25"/>
    </row>
    <row r="68" ht="15.75" customHeight="1">
      <c r="A68" s="460">
        <v>39.0</v>
      </c>
      <c r="B68" s="378"/>
      <c r="C68" s="363"/>
      <c r="D68" s="461"/>
      <c r="E68" s="456"/>
      <c r="F68" s="456"/>
      <c r="G68" s="456"/>
      <c r="H68" s="456"/>
      <c r="I68" s="456"/>
      <c r="J68" s="456"/>
      <c r="K68" s="456"/>
      <c r="L68" s="456"/>
      <c r="M68" s="456"/>
      <c r="N68" s="456"/>
      <c r="O68" s="456"/>
      <c r="P68" s="456"/>
      <c r="Q68" s="456"/>
      <c r="R68" s="456"/>
      <c r="S68" s="456"/>
      <c r="T68" s="456"/>
      <c r="U68" s="456"/>
      <c r="V68" s="456"/>
      <c r="W68" s="456"/>
      <c r="X68" s="456"/>
      <c r="Y68" s="456"/>
      <c r="Z68" s="456"/>
      <c r="AA68" s="456"/>
      <c r="AB68" s="457"/>
      <c r="AC68" s="456"/>
      <c r="AD68" s="456"/>
      <c r="AE68" s="456"/>
      <c r="AF68" s="456"/>
      <c r="AG68" s="456"/>
      <c r="AH68" s="456"/>
      <c r="AI68" s="456"/>
      <c r="AJ68" s="456"/>
      <c r="AK68" s="456"/>
      <c r="AL68" s="456"/>
      <c r="AM68" s="456"/>
      <c r="AN68" s="456"/>
      <c r="AO68" s="456"/>
      <c r="AP68" s="456"/>
      <c r="AQ68" s="456"/>
      <c r="AR68" s="456"/>
      <c r="AS68" s="456"/>
      <c r="AT68" s="456"/>
      <c r="AU68" s="456"/>
      <c r="AV68" s="456"/>
      <c r="AW68" s="456"/>
      <c r="AX68" s="456"/>
      <c r="AY68" s="456"/>
      <c r="AZ68" s="456"/>
      <c r="BA68" s="456"/>
      <c r="BB68" s="456"/>
      <c r="BD68" s="369"/>
      <c r="BE68" s="114"/>
      <c r="BF68" s="114"/>
      <c r="BG68" s="114"/>
      <c r="BH68" s="114"/>
      <c r="BI68" s="371"/>
      <c r="BJ68" s="377"/>
      <c r="BK68" s="373"/>
      <c r="BL68" s="374"/>
      <c r="BM68" s="374"/>
      <c r="BN68" s="459"/>
      <c r="BO68" s="376"/>
      <c r="BP68" s="374"/>
      <c r="BQ68" s="377"/>
      <c r="BR68" s="25"/>
    </row>
    <row r="69" ht="15.75" customHeight="1">
      <c r="A69" s="460">
        <v>40.0</v>
      </c>
      <c r="B69" s="378"/>
      <c r="C69" s="363"/>
      <c r="D69" s="461"/>
      <c r="E69" s="456"/>
      <c r="F69" s="456"/>
      <c r="G69" s="456"/>
      <c r="H69" s="456"/>
      <c r="I69" s="456"/>
      <c r="J69" s="456"/>
      <c r="K69" s="456"/>
      <c r="L69" s="456"/>
      <c r="M69" s="456"/>
      <c r="N69" s="456"/>
      <c r="O69" s="456"/>
      <c r="P69" s="456"/>
      <c r="Q69" s="456"/>
      <c r="R69" s="456"/>
      <c r="S69" s="456"/>
      <c r="T69" s="456"/>
      <c r="U69" s="456"/>
      <c r="V69" s="456"/>
      <c r="W69" s="456"/>
      <c r="X69" s="456"/>
      <c r="Y69" s="456"/>
      <c r="Z69" s="456"/>
      <c r="AA69" s="456"/>
      <c r="AB69" s="457"/>
      <c r="AC69" s="456"/>
      <c r="AD69" s="456"/>
      <c r="AE69" s="456"/>
      <c r="AF69" s="456"/>
      <c r="AG69" s="456"/>
      <c r="AH69" s="456"/>
      <c r="AI69" s="456"/>
      <c r="AJ69" s="456"/>
      <c r="AK69" s="456"/>
      <c r="AL69" s="456"/>
      <c r="AM69" s="456"/>
      <c r="AN69" s="456"/>
      <c r="AO69" s="456"/>
      <c r="AP69" s="456"/>
      <c r="AQ69" s="456"/>
      <c r="AR69" s="456"/>
      <c r="AS69" s="456"/>
      <c r="AT69" s="456"/>
      <c r="AU69" s="456"/>
      <c r="AV69" s="456"/>
      <c r="AW69" s="456"/>
      <c r="AX69" s="456"/>
      <c r="AY69" s="456"/>
      <c r="AZ69" s="456"/>
      <c r="BA69" s="456"/>
      <c r="BB69" s="456"/>
      <c r="BD69" s="369"/>
      <c r="BE69" s="114"/>
      <c r="BF69" s="114"/>
      <c r="BG69" s="114"/>
      <c r="BH69" s="114"/>
      <c r="BI69" s="371"/>
      <c r="BJ69" s="377"/>
      <c r="BK69" s="373"/>
      <c r="BL69" s="374"/>
      <c r="BM69" s="374"/>
      <c r="BN69" s="459"/>
      <c r="BO69" s="376"/>
      <c r="BP69" s="374"/>
      <c r="BQ69" s="377"/>
      <c r="BR69" s="25"/>
    </row>
    <row r="70" ht="15.75" customHeight="1">
      <c r="A70" s="462" t="s">
        <v>202</v>
      </c>
      <c r="B70" s="29"/>
      <c r="C70" s="41"/>
      <c r="D70" s="387">
        <f>COUNTIF(D30:D69,"B")</f>
        <v>3</v>
      </c>
      <c r="E70" s="387">
        <f>COUNTIF(E30:E69,"C")</f>
        <v>4</v>
      </c>
      <c r="F70" s="387">
        <f>COUNTIF(F30:F69,"D")</f>
        <v>2</v>
      </c>
      <c r="G70" s="387">
        <f>COUNTIF(G30:G69,"A")</f>
        <v>7</v>
      </c>
      <c r="H70" s="387">
        <f>COUNTIF(H30:H69,"B")</f>
        <v>6</v>
      </c>
      <c r="I70" s="387">
        <f>COUNTIF(I30:I69,"D")</f>
        <v>8</v>
      </c>
      <c r="J70" s="387">
        <f t="shared" ref="J70:K70" si="9">COUNTIF(J30:J69,"B")</f>
        <v>4</v>
      </c>
      <c r="K70" s="387">
        <f t="shared" si="9"/>
        <v>7</v>
      </c>
      <c r="L70" s="387">
        <f t="shared" ref="L70:M70" si="10">COUNTIF(L30:L69,"C")</f>
        <v>4</v>
      </c>
      <c r="M70" s="387">
        <f t="shared" si="10"/>
        <v>10</v>
      </c>
      <c r="N70" s="387">
        <f>COUNTIF(N30:N69,"B")</f>
        <v>6</v>
      </c>
      <c r="O70" s="387">
        <f>COUNTIF(O30:O69,"A")</f>
        <v>4</v>
      </c>
      <c r="P70" s="387">
        <f>COUNTIF(P30:P69,"D")</f>
        <v>5</v>
      </c>
      <c r="Q70" s="387">
        <f>COUNTIF(Q30:Q69,"C")</f>
        <v>4</v>
      </c>
      <c r="R70" s="387">
        <f>COUNTIF(R30:R69,"B")</f>
        <v>4</v>
      </c>
      <c r="S70" s="387">
        <f>COUNTIF(S30:S69,"A")</f>
        <v>2</v>
      </c>
      <c r="T70" s="387">
        <f t="shared" ref="T70:V70" si="11">COUNTIF(T30:T69,"B")</f>
        <v>12</v>
      </c>
      <c r="U70" s="387">
        <f t="shared" si="11"/>
        <v>2</v>
      </c>
      <c r="V70" s="387">
        <f t="shared" si="11"/>
        <v>5</v>
      </c>
      <c r="W70" s="387">
        <f>COUNTIF(W30:W69,"A")</f>
        <v>5</v>
      </c>
      <c r="X70" s="387">
        <f t="shared" ref="X70:Y70" si="12">COUNTIF(X30:X69,"C")</f>
        <v>7</v>
      </c>
      <c r="Y70" s="387">
        <f t="shared" si="12"/>
        <v>5</v>
      </c>
      <c r="Z70" s="387">
        <f>COUNTIF(Z30:Z69,"A")</f>
        <v>9</v>
      </c>
      <c r="AA70" s="387">
        <f>COUNTIF(AA30:AA69,"D")</f>
        <v>7</v>
      </c>
      <c r="AB70" s="388">
        <f t="shared" ref="AB70:AC70" si="13">COUNTIF(AB30:AB69,"C")</f>
        <v>3</v>
      </c>
      <c r="AC70" s="463">
        <f t="shared" si="13"/>
        <v>14</v>
      </c>
      <c r="AD70" s="387">
        <f>COUNTIF(AD30:AD69,"B")</f>
        <v>8</v>
      </c>
      <c r="AE70" s="387">
        <f t="shared" ref="AE70:AF70" si="14">COUNTIF(AE30:AE69,"A")</f>
        <v>3</v>
      </c>
      <c r="AF70" s="387">
        <f t="shared" si="14"/>
        <v>6</v>
      </c>
      <c r="AG70" s="387">
        <f>COUNTIF(AG30:AG69,"D")</f>
        <v>6</v>
      </c>
      <c r="AH70" s="387">
        <f t="shared" ref="AH70:AK70" si="15">COUNTIF(AH30:AH69,"A")</f>
        <v>6</v>
      </c>
      <c r="AI70" s="387">
        <f t="shared" si="15"/>
        <v>5</v>
      </c>
      <c r="AJ70" s="387">
        <f t="shared" si="15"/>
        <v>8</v>
      </c>
      <c r="AK70" s="387">
        <f t="shared" si="15"/>
        <v>5</v>
      </c>
      <c r="AL70" s="387">
        <f>COUNTIF(AL30:AL69,"D")</f>
        <v>2</v>
      </c>
      <c r="AM70" s="387">
        <f>COUNTIF(AM30:AM69,"B")</f>
        <v>5</v>
      </c>
      <c r="AN70" s="387">
        <f>COUNTIF(AN30:AN69,"A")</f>
        <v>8</v>
      </c>
      <c r="AO70" s="387">
        <f>COUNTIF(AO30:AO69,"D")</f>
        <v>6</v>
      </c>
      <c r="AP70" s="387">
        <f>COUNTIF(AP30:AP69,"B")</f>
        <v>5</v>
      </c>
      <c r="AQ70" s="387">
        <f>COUNTIF(AQ30:AQ69,"D")</f>
        <v>4</v>
      </c>
      <c r="AR70" s="387">
        <f>COUNTIF(AR30:AR69,"C")</f>
        <v>9</v>
      </c>
      <c r="AS70" s="387">
        <f t="shared" ref="AS70:AT70" si="16">COUNTIF(AS30:AS69,"A")</f>
        <v>6</v>
      </c>
      <c r="AT70" s="387">
        <f t="shared" si="16"/>
        <v>6</v>
      </c>
      <c r="AU70" s="387">
        <f t="shared" ref="AU70:AV70" si="17">COUNTIF(AU30:AU69,"D")</f>
        <v>3</v>
      </c>
      <c r="AV70" s="387">
        <f t="shared" si="17"/>
        <v>7</v>
      </c>
      <c r="AW70" s="387">
        <f>COUNTIF(AW30:AW69,"B")</f>
        <v>7</v>
      </c>
      <c r="AX70" s="387">
        <f t="shared" ref="AX70:AZ70" si="18">COUNTIF(AX30:AX69,"D")</f>
        <v>4</v>
      </c>
      <c r="AY70" s="387">
        <f t="shared" si="18"/>
        <v>2</v>
      </c>
      <c r="AZ70" s="387">
        <f t="shared" si="18"/>
        <v>9</v>
      </c>
      <c r="BA70" s="387">
        <f>COUNTIF(BA30:BA69,"A")</f>
        <v>6</v>
      </c>
      <c r="BB70" s="387">
        <f>COUNTIF(BB30:BB69,"D")</f>
        <v>7</v>
      </c>
    </row>
    <row r="71" ht="108.0" customHeight="1">
      <c r="BC71" s="88"/>
    </row>
    <row r="72" ht="12.0" customHeight="1">
      <c r="A72" s="89"/>
      <c r="B72" s="90"/>
      <c r="C72" s="90"/>
      <c r="D72" s="257" t="s">
        <v>51</v>
      </c>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41"/>
      <c r="AK72" s="93"/>
      <c r="AL72" s="464" t="s">
        <v>87</v>
      </c>
      <c r="AM72" s="34"/>
      <c r="AN72" s="34"/>
      <c r="AO72" s="34"/>
      <c r="AP72" s="34"/>
      <c r="AQ72" s="34"/>
      <c r="AR72" s="34"/>
      <c r="AS72" s="34"/>
      <c r="AT72" s="34"/>
      <c r="AU72" s="97"/>
    </row>
    <row r="73" ht="12.0" customHeight="1">
      <c r="A73" s="94"/>
      <c r="B73" s="95"/>
      <c r="C73" s="95"/>
      <c r="D73" s="96" t="s">
        <v>52</v>
      </c>
      <c r="E73" s="97"/>
      <c r="F73" s="98" t="s">
        <v>53</v>
      </c>
      <c r="G73" s="259" t="s">
        <v>54</v>
      </c>
      <c r="H73" s="260" t="s">
        <v>55</v>
      </c>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97"/>
      <c r="AK73" s="101"/>
      <c r="AL73" s="102"/>
      <c r="AM73" s="23"/>
      <c r="AN73" s="23"/>
      <c r="AO73" s="23"/>
      <c r="AP73" s="23"/>
      <c r="AQ73" s="23"/>
      <c r="AR73" s="23"/>
      <c r="AS73" s="23"/>
      <c r="AT73" s="23"/>
      <c r="AU73" s="24"/>
    </row>
    <row r="74">
      <c r="A74" s="94"/>
      <c r="B74" s="95"/>
      <c r="C74" s="95"/>
      <c r="D74" s="102"/>
      <c r="E74" s="24"/>
      <c r="F74" s="65"/>
      <c r="G74" s="102"/>
      <c r="H74" s="102"/>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4"/>
      <c r="AK74" s="101"/>
      <c r="AL74" s="465"/>
      <c r="AM74" s="466"/>
      <c r="AN74" s="406" t="s">
        <v>10</v>
      </c>
      <c r="AO74" s="467" t="s">
        <v>44</v>
      </c>
      <c r="AP74" s="408" t="s">
        <v>10</v>
      </c>
      <c r="AQ74" s="468" t="s">
        <v>42</v>
      </c>
      <c r="AR74" s="408" t="s">
        <v>10</v>
      </c>
      <c r="AS74" s="468" t="s">
        <v>41</v>
      </c>
      <c r="AT74" s="408" t="s">
        <v>10</v>
      </c>
      <c r="AU74" s="468" t="s">
        <v>43</v>
      </c>
      <c r="AV74" s="262"/>
      <c r="AW74" s="263"/>
    </row>
    <row r="75">
      <c r="A75" s="94"/>
      <c r="B75" s="95"/>
      <c r="C75" s="95"/>
      <c r="D75" s="264" t="s">
        <v>16</v>
      </c>
      <c r="E75" s="112">
        <v>1.0</v>
      </c>
      <c r="F75" s="113">
        <f>D70</f>
        <v>3</v>
      </c>
      <c r="G75" s="265">
        <f t="shared" ref="G75:G125" si="19">SUM(F75/C$17*100)</f>
        <v>11.11111111</v>
      </c>
      <c r="H75" s="266" t="s">
        <v>119</v>
      </c>
      <c r="I75" s="267"/>
      <c r="J75" s="267"/>
      <c r="K75" s="267"/>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8"/>
      <c r="AK75" s="111"/>
      <c r="AL75" s="156" t="s">
        <v>16</v>
      </c>
      <c r="AM75" s="469">
        <v>1.0</v>
      </c>
      <c r="AN75" s="208">
        <f>COUNTIF(D30:D69,"A")</f>
        <v>11</v>
      </c>
      <c r="AO75" s="470">
        <f t="shared" ref="AO75:AO125" si="20">SUM(AN75/C$17*100)</f>
        <v>40.74074074</v>
      </c>
      <c r="AP75" s="208">
        <f>COUNTIF(D30:D69,"B")</f>
        <v>3</v>
      </c>
      <c r="AQ75" s="471">
        <f t="shared" ref="AQ75:AQ125" si="21">SUM(AP75/C$17*100)</f>
        <v>11.11111111</v>
      </c>
      <c r="AR75" s="208">
        <f>COUNTIF(D30:D69,"C")</f>
        <v>11</v>
      </c>
      <c r="AS75" s="471">
        <f t="shared" ref="AS75:AS125" si="22">SUM(AR75/C$17*100)</f>
        <v>40.74074074</v>
      </c>
      <c r="AT75" s="208">
        <f>COUNTIF(D30:D69,"D")</f>
        <v>0</v>
      </c>
      <c r="AU75" s="471">
        <f t="shared" ref="AU75:AU125" si="23">SUM(AT75/C$17*100)</f>
        <v>0</v>
      </c>
      <c r="AV75" s="271"/>
      <c r="AW75" s="272"/>
    </row>
    <row r="76">
      <c r="A76" s="94"/>
      <c r="B76" s="95"/>
      <c r="C76" s="95"/>
      <c r="D76" s="47"/>
      <c r="E76" s="112">
        <v>2.0</v>
      </c>
      <c r="F76" s="113">
        <f>E70</f>
        <v>4</v>
      </c>
      <c r="G76" s="265">
        <f t="shared" si="19"/>
        <v>14.81481481</v>
      </c>
      <c r="H76" s="266" t="s">
        <v>119</v>
      </c>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8"/>
      <c r="AK76" s="111"/>
      <c r="AM76" s="469">
        <v>2.0</v>
      </c>
      <c r="AN76" s="208">
        <f>COUNTIF(E30:E69,"A")</f>
        <v>9</v>
      </c>
      <c r="AO76" s="470">
        <f t="shared" si="20"/>
        <v>33.33333333</v>
      </c>
      <c r="AP76" s="208">
        <f>COUNTIF(E30:E69,"B")</f>
        <v>6</v>
      </c>
      <c r="AQ76" s="471">
        <f t="shared" si="21"/>
        <v>22.22222222</v>
      </c>
      <c r="AR76" s="208">
        <f>COUNTIF(E30:E69,"C")</f>
        <v>4</v>
      </c>
      <c r="AS76" s="471">
        <f t="shared" si="22"/>
        <v>14.81481481</v>
      </c>
      <c r="AT76" s="208">
        <f>COUNTIF(E30:E69,"D")</f>
        <v>6</v>
      </c>
      <c r="AU76" s="471">
        <f t="shared" si="23"/>
        <v>22.22222222</v>
      </c>
      <c r="AV76" s="271"/>
      <c r="AW76" s="272"/>
    </row>
    <row r="77">
      <c r="A77" s="94"/>
      <c r="B77" s="95"/>
      <c r="C77" s="95"/>
      <c r="D77" s="47"/>
      <c r="E77" s="112">
        <v>3.0</v>
      </c>
      <c r="F77" s="114">
        <f>F70</f>
        <v>2</v>
      </c>
      <c r="G77" s="265">
        <f t="shared" si="19"/>
        <v>7.407407407</v>
      </c>
      <c r="H77" s="266" t="s">
        <v>120</v>
      </c>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8"/>
      <c r="AK77" s="111"/>
      <c r="AM77" s="469">
        <v>3.0</v>
      </c>
      <c r="AN77" s="208">
        <f>COUNTIF(F30:F69,"A")</f>
        <v>4</v>
      </c>
      <c r="AO77" s="470">
        <f t="shared" si="20"/>
        <v>14.81481481</v>
      </c>
      <c r="AP77" s="208">
        <f>COUNTIF(F30:F69,"B")</f>
        <v>4</v>
      </c>
      <c r="AQ77" s="471">
        <f t="shared" si="21"/>
        <v>14.81481481</v>
      </c>
      <c r="AR77" s="208">
        <f>COUNTIF(F30:F69,"C")</f>
        <v>15</v>
      </c>
      <c r="AS77" s="471">
        <f t="shared" si="22"/>
        <v>55.55555556</v>
      </c>
      <c r="AT77" s="208">
        <f>COUNTIF(F30:F69,"D")</f>
        <v>2</v>
      </c>
      <c r="AU77" s="471">
        <f t="shared" si="23"/>
        <v>7.407407407</v>
      </c>
      <c r="AV77" s="271"/>
      <c r="AW77" s="272"/>
    </row>
    <row r="78">
      <c r="A78" s="94"/>
      <c r="B78" s="95"/>
      <c r="C78" s="95"/>
      <c r="D78" s="47"/>
      <c r="E78" s="112">
        <v>4.0</v>
      </c>
      <c r="F78" s="113">
        <f>G70</f>
        <v>7</v>
      </c>
      <c r="G78" s="265">
        <f t="shared" si="19"/>
        <v>25.92592593</v>
      </c>
      <c r="H78" s="273" t="s">
        <v>121</v>
      </c>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8"/>
      <c r="AK78" s="111"/>
      <c r="AM78" s="469">
        <v>4.0</v>
      </c>
      <c r="AN78" s="208">
        <f>COUNTIF(G30:G69,"A")</f>
        <v>7</v>
      </c>
      <c r="AO78" s="470">
        <f t="shared" si="20"/>
        <v>25.92592593</v>
      </c>
      <c r="AP78" s="208">
        <f>COUNTIF(G30:G69,"B")</f>
        <v>11</v>
      </c>
      <c r="AQ78" s="471">
        <f t="shared" si="21"/>
        <v>40.74074074</v>
      </c>
      <c r="AR78" s="208">
        <f>COUNTIF(G30:G69,"C")</f>
        <v>2</v>
      </c>
      <c r="AS78" s="471">
        <f t="shared" si="22"/>
        <v>7.407407407</v>
      </c>
      <c r="AT78" s="208">
        <f>COUNTIF(G30:G69,"D")</f>
        <v>5</v>
      </c>
      <c r="AU78" s="471">
        <f t="shared" si="23"/>
        <v>18.51851852</v>
      </c>
      <c r="AV78" s="271"/>
      <c r="AW78" s="272"/>
    </row>
    <row r="79">
      <c r="A79" s="94"/>
      <c r="B79" s="95"/>
      <c r="C79" s="95"/>
      <c r="D79" s="47"/>
      <c r="E79" s="112">
        <v>5.0</v>
      </c>
      <c r="F79" s="113">
        <f>H70</f>
        <v>6</v>
      </c>
      <c r="G79" s="265">
        <f t="shared" si="19"/>
        <v>22.22222222</v>
      </c>
      <c r="H79" s="274" t="s">
        <v>122</v>
      </c>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8"/>
      <c r="AK79" s="111"/>
      <c r="AM79" s="469">
        <v>5.0</v>
      </c>
      <c r="AN79" s="208">
        <f>COUNTIF(H30:H69,"A")</f>
        <v>3</v>
      </c>
      <c r="AO79" s="470">
        <f t="shared" si="20"/>
        <v>11.11111111</v>
      </c>
      <c r="AP79" s="208">
        <f>COUNTIF(H30:H69,"B")</f>
        <v>6</v>
      </c>
      <c r="AQ79" s="471">
        <f t="shared" si="21"/>
        <v>22.22222222</v>
      </c>
      <c r="AR79" s="208">
        <f>COUNTIF(H30:H69,"C")</f>
        <v>4</v>
      </c>
      <c r="AS79" s="471">
        <f t="shared" si="22"/>
        <v>14.81481481</v>
      </c>
      <c r="AT79" s="208">
        <f>COUNTIF(H30:H69,"D")</f>
        <v>12</v>
      </c>
      <c r="AU79" s="471">
        <f t="shared" si="23"/>
        <v>44.44444444</v>
      </c>
      <c r="AV79" s="271"/>
      <c r="AW79" s="272"/>
    </row>
    <row r="80">
      <c r="A80" s="94"/>
      <c r="B80" s="95"/>
      <c r="C80" s="95"/>
      <c r="D80" s="47"/>
      <c r="E80" s="112">
        <v>6.0</v>
      </c>
      <c r="F80" s="113">
        <f>I70</f>
        <v>8</v>
      </c>
      <c r="G80" s="265">
        <f t="shared" si="19"/>
        <v>29.62962963</v>
      </c>
      <c r="H80" s="275" t="s">
        <v>123</v>
      </c>
      <c r="I80" s="276"/>
      <c r="J80" s="276"/>
      <c r="K80" s="276"/>
      <c r="L80" s="276"/>
      <c r="M80" s="276"/>
      <c r="N80" s="276"/>
      <c r="O80" s="276"/>
      <c r="P80" s="276"/>
      <c r="Q80" s="276"/>
      <c r="R80" s="276"/>
      <c r="S80" s="276"/>
      <c r="T80" s="276"/>
      <c r="U80" s="276"/>
      <c r="V80" s="276"/>
      <c r="W80" s="276"/>
      <c r="X80" s="276"/>
      <c r="Y80" s="276"/>
      <c r="Z80" s="276"/>
      <c r="AA80" s="276"/>
      <c r="AB80" s="276"/>
      <c r="AC80" s="276"/>
      <c r="AD80" s="276"/>
      <c r="AE80" s="276"/>
      <c r="AF80" s="276"/>
      <c r="AG80" s="276"/>
      <c r="AH80" s="276"/>
      <c r="AI80" s="276"/>
      <c r="AJ80" s="277"/>
      <c r="AK80" s="278"/>
      <c r="AM80" s="469">
        <v>6.0</v>
      </c>
      <c r="AN80" s="208">
        <f>COUNTIF(I30:I69,"A")</f>
        <v>2</v>
      </c>
      <c r="AO80" s="470">
        <f t="shared" si="20"/>
        <v>7.407407407</v>
      </c>
      <c r="AP80" s="208">
        <f>COUNTIF(I30:I69,"B")</f>
        <v>12</v>
      </c>
      <c r="AQ80" s="471">
        <f t="shared" si="21"/>
        <v>44.44444444</v>
      </c>
      <c r="AR80" s="208">
        <f>COUNTIF(I30:I69,"C")</f>
        <v>3</v>
      </c>
      <c r="AS80" s="471">
        <f t="shared" si="22"/>
        <v>11.11111111</v>
      </c>
      <c r="AT80" s="208">
        <f>COUNTIF(I30:I69,"D")</f>
        <v>8</v>
      </c>
      <c r="AU80" s="471">
        <f t="shared" si="23"/>
        <v>29.62962963</v>
      </c>
      <c r="AV80" s="271"/>
      <c r="AW80" s="272"/>
    </row>
    <row r="81">
      <c r="A81" s="94"/>
      <c r="B81" s="95"/>
      <c r="C81" s="95"/>
      <c r="D81" s="47"/>
      <c r="E81" s="112">
        <v>7.0</v>
      </c>
      <c r="F81" s="113">
        <f>J70</f>
        <v>4</v>
      </c>
      <c r="G81" s="265">
        <f t="shared" si="19"/>
        <v>14.81481481</v>
      </c>
      <c r="H81" s="273" t="s">
        <v>124</v>
      </c>
      <c r="I81" s="276"/>
      <c r="J81" s="276"/>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276"/>
      <c r="AH81" s="276"/>
      <c r="AI81" s="276"/>
      <c r="AJ81" s="277"/>
      <c r="AK81" s="111"/>
      <c r="AM81" s="469">
        <v>7.0</v>
      </c>
      <c r="AN81" s="208">
        <f>COUNTIF(J30:J69,"A")</f>
        <v>10</v>
      </c>
      <c r="AO81" s="470">
        <f t="shared" si="20"/>
        <v>37.03703704</v>
      </c>
      <c r="AP81" s="208">
        <f>COUNTIF(J30:J69,"B")</f>
        <v>4</v>
      </c>
      <c r="AQ81" s="471">
        <f t="shared" si="21"/>
        <v>14.81481481</v>
      </c>
      <c r="AR81" s="208">
        <f>COUNTIF(J30:J69,"C")</f>
        <v>6</v>
      </c>
      <c r="AS81" s="471">
        <f t="shared" si="22"/>
        <v>22.22222222</v>
      </c>
      <c r="AT81" s="208">
        <f>COUNTIF(J30:J69,"D")</f>
        <v>5</v>
      </c>
      <c r="AU81" s="471">
        <f t="shared" si="23"/>
        <v>18.51851852</v>
      </c>
      <c r="AV81" s="271"/>
      <c r="AW81" s="272"/>
    </row>
    <row r="82">
      <c r="A82" s="94"/>
      <c r="B82" s="95"/>
      <c r="C82" s="95"/>
      <c r="D82" s="47"/>
      <c r="E82" s="112">
        <v>8.0</v>
      </c>
      <c r="F82" s="113">
        <f>K70</f>
        <v>7</v>
      </c>
      <c r="G82" s="265">
        <f t="shared" si="19"/>
        <v>25.92592593</v>
      </c>
      <c r="H82" s="266" t="s">
        <v>123</v>
      </c>
      <c r="I82" s="279"/>
      <c r="J82" s="279"/>
      <c r="K82" s="279"/>
      <c r="L82" s="279"/>
      <c r="M82" s="279"/>
      <c r="N82" s="279"/>
      <c r="O82" s="279"/>
      <c r="P82" s="279"/>
      <c r="Q82" s="279"/>
      <c r="R82" s="279"/>
      <c r="S82" s="279"/>
      <c r="T82" s="279"/>
      <c r="U82" s="279"/>
      <c r="V82" s="279"/>
      <c r="W82" s="279"/>
      <c r="X82" s="279"/>
      <c r="Y82" s="279"/>
      <c r="Z82" s="279"/>
      <c r="AA82" s="279"/>
      <c r="AB82" s="279"/>
      <c r="AC82" s="279"/>
      <c r="AD82" s="279"/>
      <c r="AE82" s="279"/>
      <c r="AF82" s="279"/>
      <c r="AG82" s="279"/>
      <c r="AH82" s="279"/>
      <c r="AI82" s="279"/>
      <c r="AJ82" s="280"/>
      <c r="AK82" s="115"/>
      <c r="AM82" s="469">
        <v>8.0</v>
      </c>
      <c r="AN82" s="208">
        <f>COUNTIF(K30:K69,"A")</f>
        <v>6</v>
      </c>
      <c r="AO82" s="470">
        <f t="shared" si="20"/>
        <v>22.22222222</v>
      </c>
      <c r="AP82" s="208">
        <f>COUNTIF(K30:K69,"B")</f>
        <v>7</v>
      </c>
      <c r="AQ82" s="471">
        <f t="shared" si="21"/>
        <v>25.92592593</v>
      </c>
      <c r="AR82" s="208">
        <f>COUNTIF(K30:K69,"C")</f>
        <v>5</v>
      </c>
      <c r="AS82" s="471">
        <f t="shared" si="22"/>
        <v>18.51851852</v>
      </c>
      <c r="AT82" s="208">
        <f>COUNTIF(K30:K69,"D")</f>
        <v>7</v>
      </c>
      <c r="AU82" s="471">
        <f t="shared" si="23"/>
        <v>25.92592593</v>
      </c>
      <c r="AV82" s="271"/>
      <c r="AW82" s="272"/>
    </row>
    <row r="83">
      <c r="A83" s="94"/>
      <c r="B83" s="95"/>
      <c r="C83" s="95"/>
      <c r="D83" s="47"/>
      <c r="E83" s="112">
        <v>9.0</v>
      </c>
      <c r="F83" s="113">
        <f>L70</f>
        <v>4</v>
      </c>
      <c r="G83" s="265">
        <f t="shared" si="19"/>
        <v>14.81481481</v>
      </c>
      <c r="H83" s="281" t="s">
        <v>125</v>
      </c>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8"/>
      <c r="AK83" s="111"/>
      <c r="AM83" s="469">
        <v>9.0</v>
      </c>
      <c r="AN83" s="113">
        <f>COUNTIF(L30:L69,"A")</f>
        <v>7</v>
      </c>
      <c r="AO83" s="470">
        <f t="shared" si="20"/>
        <v>25.92592593</v>
      </c>
      <c r="AP83" s="208">
        <f>COUNTIF(L30:L69,"B")</f>
        <v>4</v>
      </c>
      <c r="AQ83" s="471">
        <f t="shared" si="21"/>
        <v>14.81481481</v>
      </c>
      <c r="AR83" s="208">
        <f>COUNTIF(L30:L69,"C")</f>
        <v>4</v>
      </c>
      <c r="AS83" s="471">
        <f t="shared" si="22"/>
        <v>14.81481481</v>
      </c>
      <c r="AT83" s="208">
        <f>COUNTIF(L30:L69,"D")</f>
        <v>10</v>
      </c>
      <c r="AU83" s="471">
        <f t="shared" si="23"/>
        <v>37.03703704</v>
      </c>
      <c r="AV83" s="271"/>
      <c r="AW83" s="272"/>
    </row>
    <row r="84">
      <c r="A84" s="94"/>
      <c r="B84" s="95"/>
      <c r="C84" s="95"/>
      <c r="D84" s="47"/>
      <c r="E84" s="112">
        <v>10.0</v>
      </c>
      <c r="F84" s="113">
        <f>M70</f>
        <v>10</v>
      </c>
      <c r="G84" s="265">
        <f t="shared" si="19"/>
        <v>37.03703704</v>
      </c>
      <c r="H84" s="266" t="s">
        <v>123</v>
      </c>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8"/>
      <c r="AK84" s="111"/>
      <c r="AM84" s="469">
        <v>10.0</v>
      </c>
      <c r="AN84" s="113">
        <f>COUNTIF(M30:M69,"A")</f>
        <v>3</v>
      </c>
      <c r="AO84" s="470">
        <f t="shared" si="20"/>
        <v>11.11111111</v>
      </c>
      <c r="AP84" s="208">
        <f>COUNTIF(M30:M69,"B")</f>
        <v>9</v>
      </c>
      <c r="AQ84" s="471">
        <f t="shared" si="21"/>
        <v>33.33333333</v>
      </c>
      <c r="AR84" s="208">
        <f>COUNTIF(M30:M69,"C")</f>
        <v>10</v>
      </c>
      <c r="AS84" s="471">
        <f t="shared" si="22"/>
        <v>37.03703704</v>
      </c>
      <c r="AT84" s="208">
        <f>COUNTIF(M30:M69,"D")</f>
        <v>3</v>
      </c>
      <c r="AU84" s="471">
        <f t="shared" si="23"/>
        <v>11.11111111</v>
      </c>
      <c r="AV84" s="271"/>
      <c r="AW84" s="272"/>
    </row>
    <row r="85">
      <c r="A85" s="94"/>
      <c r="B85" s="95"/>
      <c r="C85" s="95"/>
      <c r="D85" s="47"/>
      <c r="E85" s="112">
        <v>11.0</v>
      </c>
      <c r="F85" s="113">
        <f>N70</f>
        <v>6</v>
      </c>
      <c r="G85" s="265">
        <f t="shared" si="19"/>
        <v>22.22222222</v>
      </c>
      <c r="H85" s="266" t="s">
        <v>126</v>
      </c>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3"/>
      <c r="AK85" s="111"/>
      <c r="AM85" s="469">
        <v>11.0</v>
      </c>
      <c r="AN85" s="113">
        <f>COUNTIF(N30:N69,"A")</f>
        <v>9</v>
      </c>
      <c r="AO85" s="470">
        <f t="shared" si="20"/>
        <v>33.33333333</v>
      </c>
      <c r="AP85" s="208">
        <f>COUNTIF(N30:N69,"B")</f>
        <v>6</v>
      </c>
      <c r="AQ85" s="471">
        <f t="shared" si="21"/>
        <v>22.22222222</v>
      </c>
      <c r="AR85" s="208">
        <f>COUNTIF(N30:N69,"C")</f>
        <v>3</v>
      </c>
      <c r="AS85" s="471">
        <f t="shared" si="22"/>
        <v>11.11111111</v>
      </c>
      <c r="AT85" s="208">
        <f>COUNTIF(N30:N69,"D")</f>
        <v>7</v>
      </c>
      <c r="AU85" s="471">
        <f t="shared" si="23"/>
        <v>25.92592593</v>
      </c>
      <c r="AV85" s="271"/>
      <c r="AW85" s="272"/>
    </row>
    <row r="86">
      <c r="A86" s="94"/>
      <c r="B86" s="95"/>
      <c r="C86" s="95"/>
      <c r="D86" s="47"/>
      <c r="E86" s="112">
        <v>12.0</v>
      </c>
      <c r="F86" s="113">
        <f>O70</f>
        <v>4</v>
      </c>
      <c r="G86" s="265">
        <f t="shared" si="19"/>
        <v>14.81481481</v>
      </c>
      <c r="H86" s="266" t="s">
        <v>127</v>
      </c>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5"/>
      <c r="AK86" s="116"/>
      <c r="AM86" s="469">
        <v>12.0</v>
      </c>
      <c r="AN86" s="113">
        <f>COUNTIF(O30:O69,"A")</f>
        <v>4</v>
      </c>
      <c r="AO86" s="470">
        <f t="shared" si="20"/>
        <v>14.81481481</v>
      </c>
      <c r="AP86" s="208">
        <f>COUNTIF(O30:O69,"B")</f>
        <v>11</v>
      </c>
      <c r="AQ86" s="471">
        <f t="shared" si="21"/>
        <v>40.74074074</v>
      </c>
      <c r="AR86" s="208">
        <f>COUNTIF(O30:O69,"C")</f>
        <v>8</v>
      </c>
      <c r="AS86" s="471">
        <f t="shared" si="22"/>
        <v>29.62962963</v>
      </c>
      <c r="AT86" s="208">
        <f>COUNTIF(O30:O69,"D")</f>
        <v>1</v>
      </c>
      <c r="AU86" s="471">
        <f t="shared" si="23"/>
        <v>3.703703704</v>
      </c>
      <c r="AV86" s="271"/>
      <c r="AW86" s="272"/>
    </row>
    <row r="87">
      <c r="A87" s="94"/>
      <c r="B87" s="95"/>
      <c r="C87" s="95"/>
      <c r="D87" s="47"/>
      <c r="E87" s="112">
        <v>13.0</v>
      </c>
      <c r="F87" s="113">
        <f>P70</f>
        <v>5</v>
      </c>
      <c r="G87" s="265">
        <f t="shared" si="19"/>
        <v>18.51851852</v>
      </c>
      <c r="H87" s="266" t="s">
        <v>128</v>
      </c>
      <c r="I87" s="267"/>
      <c r="J87" s="267"/>
      <c r="K87" s="267"/>
      <c r="L87" s="267"/>
      <c r="M87" s="267"/>
      <c r="N87" s="267"/>
      <c r="O87" s="267"/>
      <c r="P87" s="267"/>
      <c r="Q87" s="267"/>
      <c r="R87" s="267"/>
      <c r="S87" s="267"/>
      <c r="T87" s="267"/>
      <c r="U87" s="267"/>
      <c r="V87" s="267"/>
      <c r="W87" s="267"/>
      <c r="X87" s="267"/>
      <c r="Y87" s="267"/>
      <c r="Z87" s="267"/>
      <c r="AA87" s="267"/>
      <c r="AB87" s="267"/>
      <c r="AC87" s="267"/>
      <c r="AD87" s="267"/>
      <c r="AE87" s="267"/>
      <c r="AF87" s="267"/>
      <c r="AG87" s="267"/>
      <c r="AH87" s="267"/>
      <c r="AI87" s="267"/>
      <c r="AJ87" s="268"/>
      <c r="AK87" s="111"/>
      <c r="AM87" s="469">
        <v>13.0</v>
      </c>
      <c r="AN87" s="113">
        <f>COUNTIF(P30:P69,"A")</f>
        <v>7</v>
      </c>
      <c r="AO87" s="470">
        <f t="shared" si="20"/>
        <v>25.92592593</v>
      </c>
      <c r="AP87" s="208">
        <f>COUNTIF(P30:P69,"B")</f>
        <v>9</v>
      </c>
      <c r="AQ87" s="471">
        <f t="shared" si="21"/>
        <v>33.33333333</v>
      </c>
      <c r="AR87" s="208">
        <f>COUNTIF(P30:P69,"C")</f>
        <v>4</v>
      </c>
      <c r="AS87" s="471">
        <f t="shared" si="22"/>
        <v>14.81481481</v>
      </c>
      <c r="AT87" s="208">
        <f>COUNTIF(P30:P69,"D")</f>
        <v>5</v>
      </c>
      <c r="AU87" s="471">
        <f t="shared" si="23"/>
        <v>18.51851852</v>
      </c>
      <c r="AV87" s="271"/>
      <c r="AW87" s="272"/>
    </row>
    <row r="88">
      <c r="A88" s="94"/>
      <c r="B88" s="95"/>
      <c r="C88" s="95"/>
      <c r="D88" s="47"/>
      <c r="E88" s="112">
        <v>14.0</v>
      </c>
      <c r="F88" s="113">
        <f>Q70</f>
        <v>4</v>
      </c>
      <c r="G88" s="265">
        <f t="shared" si="19"/>
        <v>14.81481481</v>
      </c>
      <c r="H88" s="266" t="s">
        <v>123</v>
      </c>
      <c r="I88" s="267"/>
      <c r="J88" s="267"/>
      <c r="K88" s="267"/>
      <c r="L88" s="267"/>
      <c r="M88" s="267"/>
      <c r="N88" s="267"/>
      <c r="O88" s="267"/>
      <c r="P88" s="267"/>
      <c r="Q88" s="267"/>
      <c r="R88" s="267"/>
      <c r="S88" s="267"/>
      <c r="T88" s="267"/>
      <c r="U88" s="267"/>
      <c r="V88" s="267"/>
      <c r="W88" s="267"/>
      <c r="X88" s="267"/>
      <c r="Y88" s="267"/>
      <c r="Z88" s="267"/>
      <c r="AA88" s="267"/>
      <c r="AB88" s="267"/>
      <c r="AC88" s="267"/>
      <c r="AD88" s="267"/>
      <c r="AE88" s="267"/>
      <c r="AF88" s="267"/>
      <c r="AG88" s="267"/>
      <c r="AH88" s="267"/>
      <c r="AI88" s="267"/>
      <c r="AJ88" s="268"/>
      <c r="AK88" s="111"/>
      <c r="AM88" s="469">
        <v>14.0</v>
      </c>
      <c r="AN88" s="113">
        <f>COUNTIF(Q30:Q69,"A")</f>
        <v>15</v>
      </c>
      <c r="AO88" s="470">
        <f t="shared" si="20"/>
        <v>55.55555556</v>
      </c>
      <c r="AP88" s="208">
        <f>COUNTIF(Q30:Q69,"B")</f>
        <v>4</v>
      </c>
      <c r="AQ88" s="471">
        <f t="shared" si="21"/>
        <v>14.81481481</v>
      </c>
      <c r="AR88" s="208">
        <f>COUNTIF(Q30:Q69,"C")</f>
        <v>4</v>
      </c>
      <c r="AS88" s="471">
        <f t="shared" si="22"/>
        <v>14.81481481</v>
      </c>
      <c r="AT88" s="208">
        <f>COUNTIF(Q30:Q69,"D")</f>
        <v>2</v>
      </c>
      <c r="AU88" s="471">
        <f t="shared" si="23"/>
        <v>7.407407407</v>
      </c>
      <c r="AV88" s="271"/>
      <c r="AW88" s="272"/>
    </row>
    <row r="89">
      <c r="A89" s="94"/>
      <c r="B89" s="95"/>
      <c r="C89" s="95"/>
      <c r="D89" s="47"/>
      <c r="E89" s="112">
        <v>15.0</v>
      </c>
      <c r="F89" s="113">
        <f>R70</f>
        <v>4</v>
      </c>
      <c r="G89" s="265">
        <f t="shared" si="19"/>
        <v>14.81481481</v>
      </c>
      <c r="H89" s="266" t="s">
        <v>129</v>
      </c>
      <c r="I89" s="267"/>
      <c r="J89" s="267"/>
      <c r="K89" s="267"/>
      <c r="L89" s="267"/>
      <c r="M89" s="267"/>
      <c r="N89" s="267"/>
      <c r="O89" s="267"/>
      <c r="P89" s="267"/>
      <c r="Q89" s="267"/>
      <c r="R89" s="267"/>
      <c r="S89" s="267"/>
      <c r="T89" s="267"/>
      <c r="U89" s="267"/>
      <c r="V89" s="267"/>
      <c r="W89" s="267"/>
      <c r="X89" s="267"/>
      <c r="Y89" s="267"/>
      <c r="Z89" s="267"/>
      <c r="AA89" s="267"/>
      <c r="AB89" s="267"/>
      <c r="AC89" s="267"/>
      <c r="AD89" s="267"/>
      <c r="AE89" s="267"/>
      <c r="AF89" s="267"/>
      <c r="AG89" s="267"/>
      <c r="AH89" s="267"/>
      <c r="AI89" s="267"/>
      <c r="AJ89" s="268"/>
      <c r="AK89" s="111"/>
      <c r="AM89" s="469">
        <v>15.0</v>
      </c>
      <c r="AN89" s="113">
        <f>COUNTIF(R30:R69,"A")</f>
        <v>7</v>
      </c>
      <c r="AO89" s="470">
        <f t="shared" si="20"/>
        <v>25.92592593</v>
      </c>
      <c r="AP89" s="208">
        <f>COUNTIF(R30:R69,"B")</f>
        <v>4</v>
      </c>
      <c r="AQ89" s="471">
        <f t="shared" si="21"/>
        <v>14.81481481</v>
      </c>
      <c r="AR89" s="208">
        <f>COUNTIF(R30:R69,"C")</f>
        <v>13</v>
      </c>
      <c r="AS89" s="471">
        <f t="shared" si="22"/>
        <v>48.14814815</v>
      </c>
      <c r="AT89" s="208">
        <f>COUNTIF(R30:R69,"D")</f>
        <v>1</v>
      </c>
      <c r="AU89" s="471">
        <f t="shared" si="23"/>
        <v>3.703703704</v>
      </c>
      <c r="AV89" s="271"/>
      <c r="AW89" s="272"/>
    </row>
    <row r="90">
      <c r="A90" s="94"/>
      <c r="B90" s="95"/>
      <c r="C90" s="95"/>
      <c r="D90" s="47"/>
      <c r="E90" s="112">
        <v>16.0</v>
      </c>
      <c r="F90" s="113">
        <f>S70</f>
        <v>2</v>
      </c>
      <c r="G90" s="265">
        <f t="shared" si="19"/>
        <v>7.407407407</v>
      </c>
      <c r="H90" s="266" t="s">
        <v>123</v>
      </c>
      <c r="I90" s="267"/>
      <c r="J90" s="267"/>
      <c r="K90" s="267"/>
      <c r="L90" s="267"/>
      <c r="M90" s="267"/>
      <c r="N90" s="267"/>
      <c r="O90" s="267"/>
      <c r="P90" s="267"/>
      <c r="Q90" s="267"/>
      <c r="R90" s="267"/>
      <c r="S90" s="267"/>
      <c r="T90" s="267"/>
      <c r="U90" s="267"/>
      <c r="V90" s="267"/>
      <c r="W90" s="267"/>
      <c r="X90" s="267"/>
      <c r="Y90" s="267"/>
      <c r="Z90" s="267"/>
      <c r="AA90" s="267"/>
      <c r="AB90" s="267"/>
      <c r="AC90" s="267"/>
      <c r="AD90" s="267"/>
      <c r="AE90" s="267"/>
      <c r="AF90" s="267"/>
      <c r="AG90" s="267"/>
      <c r="AH90" s="267"/>
      <c r="AI90" s="267"/>
      <c r="AJ90" s="268"/>
      <c r="AK90" s="111"/>
      <c r="AM90" s="469">
        <v>16.0</v>
      </c>
      <c r="AN90" s="113">
        <f>COUNTIF(S30:S69,"A")</f>
        <v>2</v>
      </c>
      <c r="AO90" s="470">
        <f t="shared" si="20"/>
        <v>7.407407407</v>
      </c>
      <c r="AP90" s="208">
        <f>COUNTIF(S30:S69,"B")</f>
        <v>4</v>
      </c>
      <c r="AQ90" s="471">
        <f t="shared" si="21"/>
        <v>14.81481481</v>
      </c>
      <c r="AR90" s="208">
        <f>COUNTIF(S30:S69,"C")</f>
        <v>17</v>
      </c>
      <c r="AS90" s="471">
        <f t="shared" si="22"/>
        <v>62.96296296</v>
      </c>
      <c r="AT90" s="208">
        <f>COUNTIF(S30:S69,"D")</f>
        <v>2</v>
      </c>
      <c r="AU90" s="471">
        <f t="shared" si="23"/>
        <v>7.407407407</v>
      </c>
      <c r="AV90" s="271"/>
      <c r="AW90" s="272"/>
    </row>
    <row r="91">
      <c r="A91" s="94"/>
      <c r="B91" s="95"/>
      <c r="C91" s="95"/>
      <c r="D91" s="47"/>
      <c r="E91" s="112">
        <v>17.0</v>
      </c>
      <c r="F91" s="113">
        <f>T70</f>
        <v>12</v>
      </c>
      <c r="G91" s="265">
        <f t="shared" si="19"/>
        <v>44.44444444</v>
      </c>
      <c r="H91" s="266" t="s">
        <v>123</v>
      </c>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8"/>
      <c r="AK91" s="111"/>
      <c r="AM91" s="469">
        <v>17.0</v>
      </c>
      <c r="AN91" s="413">
        <f>COUNTIF(T30:T69,"A")</f>
        <v>5</v>
      </c>
      <c r="AO91" s="470">
        <f t="shared" si="20"/>
        <v>18.51851852</v>
      </c>
      <c r="AP91" s="414">
        <f>COUNTIF(T30:T69,"B")</f>
        <v>12</v>
      </c>
      <c r="AQ91" s="471">
        <f t="shared" si="21"/>
        <v>44.44444444</v>
      </c>
      <c r="AR91" s="414">
        <f>COUNTIF(T30:T69,"C")</f>
        <v>4</v>
      </c>
      <c r="AS91" s="471">
        <f t="shared" si="22"/>
        <v>14.81481481</v>
      </c>
      <c r="AT91" s="414">
        <f>COUNTIF(T30:T69,"D")</f>
        <v>4</v>
      </c>
      <c r="AU91" s="471">
        <f t="shared" si="23"/>
        <v>14.81481481</v>
      </c>
      <c r="AV91" s="286"/>
      <c r="AW91" s="272"/>
    </row>
    <row r="92">
      <c r="A92" s="94"/>
      <c r="B92" s="95"/>
      <c r="C92" s="95"/>
      <c r="D92" s="47"/>
      <c r="E92" s="112">
        <v>18.0</v>
      </c>
      <c r="F92" s="113">
        <f>U70</f>
        <v>2</v>
      </c>
      <c r="G92" s="265">
        <f t="shared" si="19"/>
        <v>7.407407407</v>
      </c>
      <c r="H92" s="266" t="s">
        <v>130</v>
      </c>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3"/>
      <c r="AK92" s="111"/>
      <c r="AM92" s="469">
        <v>18.0</v>
      </c>
      <c r="AN92" s="113">
        <f>COUNTIF(U30:U69,"A")</f>
        <v>11</v>
      </c>
      <c r="AO92" s="470">
        <f t="shared" si="20"/>
        <v>40.74074074</v>
      </c>
      <c r="AP92" s="208">
        <f>COUNTIF(U30:U69,"B")</f>
        <v>2</v>
      </c>
      <c r="AQ92" s="471">
        <f t="shared" si="21"/>
        <v>7.407407407</v>
      </c>
      <c r="AR92" s="208">
        <f>COUNTIF(U30:U69,"C")</f>
        <v>4</v>
      </c>
      <c r="AS92" s="471">
        <f t="shared" si="22"/>
        <v>14.81481481</v>
      </c>
      <c r="AT92" s="208">
        <f>COUNTIF(U30:U69,"D")</f>
        <v>8</v>
      </c>
      <c r="AU92" s="471">
        <f t="shared" si="23"/>
        <v>29.62962963</v>
      </c>
      <c r="AV92" s="271"/>
      <c r="AW92" s="272"/>
    </row>
    <row r="93">
      <c r="A93" s="94"/>
      <c r="B93" s="95"/>
      <c r="C93" s="95"/>
      <c r="D93" s="47"/>
      <c r="E93" s="112">
        <v>19.0</v>
      </c>
      <c r="F93" s="113">
        <f>V70</f>
        <v>5</v>
      </c>
      <c r="G93" s="265">
        <f t="shared" si="19"/>
        <v>18.51851852</v>
      </c>
      <c r="H93" s="274" t="s">
        <v>131</v>
      </c>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3"/>
      <c r="AK93" s="111"/>
      <c r="AM93" s="469">
        <v>19.0</v>
      </c>
      <c r="AN93" s="113">
        <f>COUNTIF(V30:V69,"A")</f>
        <v>10</v>
      </c>
      <c r="AO93" s="470">
        <f t="shared" si="20"/>
        <v>37.03703704</v>
      </c>
      <c r="AP93" s="208">
        <f>COUNTIF(V30:V69,"B")</f>
        <v>5</v>
      </c>
      <c r="AQ93" s="471">
        <f t="shared" si="21"/>
        <v>18.51851852</v>
      </c>
      <c r="AR93" s="208">
        <f>COUNTIF(V30:V69,"C")</f>
        <v>5</v>
      </c>
      <c r="AS93" s="471">
        <f t="shared" si="22"/>
        <v>18.51851852</v>
      </c>
      <c r="AT93" s="208">
        <f>COUNTIF(V30:V69,"D")</f>
        <v>5</v>
      </c>
      <c r="AU93" s="471">
        <f t="shared" si="23"/>
        <v>18.51851852</v>
      </c>
      <c r="AV93" s="271"/>
      <c r="AW93" s="272"/>
    </row>
    <row r="94">
      <c r="A94" s="94"/>
      <c r="B94" s="95"/>
      <c r="C94" s="95"/>
      <c r="D94" s="47"/>
      <c r="E94" s="112">
        <v>20.0</v>
      </c>
      <c r="F94" s="113">
        <f>W70</f>
        <v>5</v>
      </c>
      <c r="G94" s="265">
        <f t="shared" si="19"/>
        <v>18.51851852</v>
      </c>
      <c r="H94" s="281" t="s">
        <v>132</v>
      </c>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8"/>
      <c r="AK94" s="111"/>
      <c r="AM94" s="469">
        <v>20.0</v>
      </c>
      <c r="AN94" s="113">
        <f>COUNTIF(W30:W69,"A")</f>
        <v>5</v>
      </c>
      <c r="AO94" s="470">
        <f t="shared" si="20"/>
        <v>18.51851852</v>
      </c>
      <c r="AP94" s="208">
        <f>COUNTIF(W30:W69,"B")</f>
        <v>11</v>
      </c>
      <c r="AQ94" s="471">
        <f t="shared" si="21"/>
        <v>40.74074074</v>
      </c>
      <c r="AR94" s="208">
        <f>COUNTIF(W30:W69,"C")</f>
        <v>6</v>
      </c>
      <c r="AS94" s="471">
        <f t="shared" si="22"/>
        <v>22.22222222</v>
      </c>
      <c r="AT94" s="208">
        <f>COUNTIF(W30:W69,"D")</f>
        <v>3</v>
      </c>
      <c r="AU94" s="471">
        <f t="shared" si="23"/>
        <v>11.11111111</v>
      </c>
      <c r="AV94" s="271"/>
      <c r="AW94" s="272"/>
    </row>
    <row r="95">
      <c r="A95" s="94"/>
      <c r="B95" s="95"/>
      <c r="C95" s="95"/>
      <c r="D95" s="47"/>
      <c r="E95" s="112">
        <v>21.0</v>
      </c>
      <c r="F95" s="113">
        <f>X70</f>
        <v>7</v>
      </c>
      <c r="G95" s="265">
        <f t="shared" si="19"/>
        <v>25.92592593</v>
      </c>
      <c r="H95" s="266" t="s">
        <v>128</v>
      </c>
      <c r="I95" s="267"/>
      <c r="J95" s="267"/>
      <c r="K95" s="267"/>
      <c r="L95" s="267"/>
      <c r="M95" s="267"/>
      <c r="N95" s="267"/>
      <c r="O95" s="267"/>
      <c r="P95" s="267"/>
      <c r="Q95" s="267"/>
      <c r="R95" s="267"/>
      <c r="S95" s="267"/>
      <c r="T95" s="267"/>
      <c r="U95" s="267"/>
      <c r="V95" s="267"/>
      <c r="W95" s="267"/>
      <c r="X95" s="267"/>
      <c r="Y95" s="267"/>
      <c r="Z95" s="267"/>
      <c r="AA95" s="267"/>
      <c r="AB95" s="267"/>
      <c r="AC95" s="267"/>
      <c r="AD95" s="267"/>
      <c r="AE95" s="267"/>
      <c r="AF95" s="267"/>
      <c r="AG95" s="267"/>
      <c r="AH95" s="267"/>
      <c r="AI95" s="267"/>
      <c r="AJ95" s="268"/>
      <c r="AK95" s="111"/>
      <c r="AM95" s="469">
        <v>21.0</v>
      </c>
      <c r="AN95" s="113">
        <f>COUNTIF(X30:X69,"A")</f>
        <v>7</v>
      </c>
      <c r="AO95" s="470">
        <f t="shared" si="20"/>
        <v>25.92592593</v>
      </c>
      <c r="AP95" s="208">
        <f>COUNTIF(X30:X69,"B")</f>
        <v>7</v>
      </c>
      <c r="AQ95" s="471">
        <f t="shared" si="21"/>
        <v>25.92592593</v>
      </c>
      <c r="AR95" s="208">
        <f>COUNTIF(X30:X69,"C")</f>
        <v>7</v>
      </c>
      <c r="AS95" s="471">
        <f t="shared" si="22"/>
        <v>25.92592593</v>
      </c>
      <c r="AT95" s="208">
        <f>COUNTIF(X30:X69,"D")</f>
        <v>3</v>
      </c>
      <c r="AU95" s="471">
        <f t="shared" si="23"/>
        <v>11.11111111</v>
      </c>
      <c r="AV95" s="271"/>
      <c r="AW95" s="272"/>
    </row>
    <row r="96">
      <c r="A96" s="94"/>
      <c r="B96" s="95"/>
      <c r="C96" s="95"/>
      <c r="D96" s="47"/>
      <c r="E96" s="112">
        <v>22.0</v>
      </c>
      <c r="F96" s="113">
        <f>Y70</f>
        <v>5</v>
      </c>
      <c r="G96" s="265">
        <f t="shared" si="19"/>
        <v>18.51851852</v>
      </c>
      <c r="H96" s="266" t="s">
        <v>123</v>
      </c>
      <c r="I96" s="267"/>
      <c r="J96" s="267"/>
      <c r="K96" s="267"/>
      <c r="L96" s="267"/>
      <c r="M96" s="267"/>
      <c r="N96" s="267"/>
      <c r="O96" s="267"/>
      <c r="P96" s="267"/>
      <c r="Q96" s="267"/>
      <c r="R96" s="267"/>
      <c r="S96" s="267"/>
      <c r="T96" s="267"/>
      <c r="U96" s="267"/>
      <c r="V96" s="267"/>
      <c r="W96" s="267"/>
      <c r="X96" s="267"/>
      <c r="Y96" s="267"/>
      <c r="Z96" s="267"/>
      <c r="AA96" s="267"/>
      <c r="AB96" s="267"/>
      <c r="AC96" s="267"/>
      <c r="AD96" s="267"/>
      <c r="AE96" s="267"/>
      <c r="AF96" s="267"/>
      <c r="AG96" s="267"/>
      <c r="AH96" s="267"/>
      <c r="AI96" s="267"/>
      <c r="AJ96" s="268"/>
      <c r="AK96" s="111"/>
      <c r="AM96" s="469">
        <v>22.0</v>
      </c>
      <c r="AN96" s="113">
        <f>COUNTIF(Y30:Y69,"A")</f>
        <v>8</v>
      </c>
      <c r="AO96" s="470">
        <f t="shared" si="20"/>
        <v>29.62962963</v>
      </c>
      <c r="AP96" s="208">
        <f>COUNTIF(Y30:Y69,"B")</f>
        <v>6</v>
      </c>
      <c r="AQ96" s="471">
        <f t="shared" si="21"/>
        <v>22.22222222</v>
      </c>
      <c r="AR96" s="208">
        <f>COUNTIF(Y30:Y69,"C")</f>
        <v>5</v>
      </c>
      <c r="AS96" s="471">
        <f t="shared" si="22"/>
        <v>18.51851852</v>
      </c>
      <c r="AT96" s="208">
        <f>COUNTIF(Y30:Y69,"D")</f>
        <v>6</v>
      </c>
      <c r="AU96" s="471">
        <f t="shared" si="23"/>
        <v>22.22222222</v>
      </c>
      <c r="AV96" s="271"/>
      <c r="AW96" s="272"/>
      <c r="BI96" s="287"/>
    </row>
    <row r="97">
      <c r="A97" s="94"/>
      <c r="B97" s="95"/>
      <c r="C97" s="95"/>
      <c r="D97" s="47"/>
      <c r="E97" s="112">
        <v>23.0</v>
      </c>
      <c r="F97" s="113">
        <f>Z70</f>
        <v>9</v>
      </c>
      <c r="G97" s="265">
        <f t="shared" si="19"/>
        <v>33.33333333</v>
      </c>
      <c r="H97" s="266" t="s">
        <v>133</v>
      </c>
      <c r="I97" s="267"/>
      <c r="J97" s="267"/>
      <c r="K97" s="267"/>
      <c r="L97" s="267"/>
      <c r="M97" s="267"/>
      <c r="N97" s="267"/>
      <c r="O97" s="267"/>
      <c r="P97" s="267"/>
      <c r="Q97" s="267"/>
      <c r="R97" s="267"/>
      <c r="S97" s="267"/>
      <c r="T97" s="267"/>
      <c r="U97" s="267"/>
      <c r="V97" s="267"/>
      <c r="W97" s="267"/>
      <c r="X97" s="267"/>
      <c r="Y97" s="267"/>
      <c r="Z97" s="267"/>
      <c r="AA97" s="267"/>
      <c r="AB97" s="267"/>
      <c r="AC97" s="267"/>
      <c r="AD97" s="267"/>
      <c r="AE97" s="267"/>
      <c r="AF97" s="267"/>
      <c r="AG97" s="267"/>
      <c r="AH97" s="267"/>
      <c r="AI97" s="267"/>
      <c r="AJ97" s="268"/>
      <c r="AK97" s="111"/>
      <c r="AM97" s="469">
        <v>23.0</v>
      </c>
      <c r="AN97" s="113">
        <f>COUNTIF(Z30:Z69,"A")</f>
        <v>9</v>
      </c>
      <c r="AO97" s="470">
        <f t="shared" si="20"/>
        <v>33.33333333</v>
      </c>
      <c r="AP97" s="208">
        <f>COUNTIF(Z30:Z69,"B")</f>
        <v>5</v>
      </c>
      <c r="AQ97" s="471">
        <f t="shared" si="21"/>
        <v>18.51851852</v>
      </c>
      <c r="AR97" s="208">
        <f>COUNTIF(Z30:Z69,"C")</f>
        <v>7</v>
      </c>
      <c r="AS97" s="471">
        <f t="shared" si="22"/>
        <v>25.92592593</v>
      </c>
      <c r="AT97" s="208">
        <f>COUNTIF(Z30:Z69,"D")</f>
        <v>4</v>
      </c>
      <c r="AU97" s="471">
        <f t="shared" si="23"/>
        <v>14.81481481</v>
      </c>
      <c r="AV97" s="271"/>
      <c r="AW97" s="272"/>
    </row>
    <row r="98">
      <c r="A98" s="94"/>
      <c r="B98" s="95"/>
      <c r="C98" s="95"/>
      <c r="D98" s="47"/>
      <c r="E98" s="112">
        <v>24.0</v>
      </c>
      <c r="F98" s="113">
        <f>AA70</f>
        <v>7</v>
      </c>
      <c r="G98" s="265">
        <f t="shared" si="19"/>
        <v>25.92592593</v>
      </c>
      <c r="H98" s="266" t="s">
        <v>123</v>
      </c>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267"/>
      <c r="AH98" s="267"/>
      <c r="AI98" s="267"/>
      <c r="AJ98" s="268"/>
      <c r="AK98" s="111"/>
      <c r="AM98" s="469">
        <v>24.0</v>
      </c>
      <c r="AN98" s="113">
        <f>COUNTIF(AA30:AA69,"A")</f>
        <v>3</v>
      </c>
      <c r="AO98" s="470">
        <f t="shared" si="20"/>
        <v>11.11111111</v>
      </c>
      <c r="AP98" s="208">
        <f>COUNTIF(AA30:AA69,"B")</f>
        <v>10</v>
      </c>
      <c r="AQ98" s="471">
        <f t="shared" si="21"/>
        <v>37.03703704</v>
      </c>
      <c r="AR98" s="208">
        <f>COUNTIF(AA30:AA69,"C")</f>
        <v>5</v>
      </c>
      <c r="AS98" s="471">
        <f t="shared" si="22"/>
        <v>18.51851852</v>
      </c>
      <c r="AT98" s="208">
        <f>COUNTIF(AA30:AA69,"D")</f>
        <v>7</v>
      </c>
      <c r="AU98" s="471">
        <f t="shared" si="23"/>
        <v>25.92592593</v>
      </c>
      <c r="AV98" s="271"/>
      <c r="AW98" s="272"/>
    </row>
    <row r="99">
      <c r="A99" s="94"/>
      <c r="B99" s="95"/>
      <c r="C99" s="95"/>
      <c r="D99" s="117"/>
      <c r="E99" s="118">
        <v>25.0</v>
      </c>
      <c r="F99" s="119">
        <f>AB70</f>
        <v>3</v>
      </c>
      <c r="G99" s="288">
        <f t="shared" si="19"/>
        <v>11.11111111</v>
      </c>
      <c r="H99" s="289" t="s">
        <v>134</v>
      </c>
      <c r="I99" s="290"/>
      <c r="J99" s="290"/>
      <c r="K99" s="290"/>
      <c r="L99" s="290"/>
      <c r="M99" s="290"/>
      <c r="N99" s="290"/>
      <c r="O99" s="290"/>
      <c r="P99" s="290"/>
      <c r="Q99" s="290"/>
      <c r="R99" s="290"/>
      <c r="S99" s="290"/>
      <c r="T99" s="290"/>
      <c r="U99" s="290"/>
      <c r="V99" s="290"/>
      <c r="W99" s="290"/>
      <c r="X99" s="290"/>
      <c r="Y99" s="290"/>
      <c r="Z99" s="290"/>
      <c r="AA99" s="290"/>
      <c r="AB99" s="290"/>
      <c r="AC99" s="290"/>
      <c r="AD99" s="290"/>
      <c r="AE99" s="290"/>
      <c r="AF99" s="290"/>
      <c r="AG99" s="290"/>
      <c r="AH99" s="290"/>
      <c r="AI99" s="290"/>
      <c r="AJ99" s="291"/>
      <c r="AK99" s="111"/>
      <c r="AM99" s="469">
        <v>25.0</v>
      </c>
      <c r="AN99" s="113">
        <f>COUNTIF(AB30:AB69,"A")</f>
        <v>10</v>
      </c>
      <c r="AO99" s="470">
        <f t="shared" si="20"/>
        <v>37.03703704</v>
      </c>
      <c r="AP99" s="208">
        <f>COUNTIF(AB30:AB69,"B")</f>
        <v>7</v>
      </c>
      <c r="AQ99" s="471">
        <f t="shared" si="21"/>
        <v>25.92592593</v>
      </c>
      <c r="AR99" s="208">
        <f>COUNTIF(AB30:AB69,"C")</f>
        <v>3</v>
      </c>
      <c r="AS99" s="471">
        <f t="shared" si="22"/>
        <v>11.11111111</v>
      </c>
      <c r="AT99" s="208">
        <f>COUNTIF(AB30:AB69,"D")</f>
        <v>5</v>
      </c>
      <c r="AU99" s="471">
        <f t="shared" si="23"/>
        <v>18.51851852</v>
      </c>
      <c r="AV99" s="271"/>
      <c r="AW99" s="272"/>
    </row>
    <row r="100">
      <c r="A100" s="94"/>
      <c r="B100" s="95"/>
      <c r="C100" s="95"/>
      <c r="D100" s="124" t="s">
        <v>17</v>
      </c>
      <c r="E100" s="125">
        <v>1.0</v>
      </c>
      <c r="F100" s="106">
        <f>AC70</f>
        <v>14</v>
      </c>
      <c r="G100" s="107">
        <f t="shared" si="19"/>
        <v>51.85185185</v>
      </c>
      <c r="H100" s="292" t="s">
        <v>135</v>
      </c>
      <c r="I100" s="293"/>
      <c r="J100" s="293"/>
      <c r="K100" s="293"/>
      <c r="L100" s="293"/>
      <c r="M100" s="293"/>
      <c r="N100" s="293"/>
      <c r="O100" s="293"/>
      <c r="P100" s="293"/>
      <c r="Q100" s="293"/>
      <c r="R100" s="293"/>
      <c r="S100" s="293"/>
      <c r="T100" s="293"/>
      <c r="U100" s="293"/>
      <c r="V100" s="293"/>
      <c r="W100" s="293"/>
      <c r="X100" s="293"/>
      <c r="Y100" s="293"/>
      <c r="Z100" s="293"/>
      <c r="AA100" s="293"/>
      <c r="AB100" s="293"/>
      <c r="AC100" s="293"/>
      <c r="AD100" s="293"/>
      <c r="AE100" s="293"/>
      <c r="AF100" s="293"/>
      <c r="AG100" s="293"/>
      <c r="AH100" s="293"/>
      <c r="AI100" s="293"/>
      <c r="AJ100" s="294"/>
      <c r="AK100" s="134"/>
      <c r="AL100" s="164" t="s">
        <v>17</v>
      </c>
      <c r="AM100" s="309">
        <v>1.0</v>
      </c>
      <c r="AN100" s="113">
        <f>COUNTIF(AC30:AC69,"A")</f>
        <v>6</v>
      </c>
      <c r="AO100" s="470">
        <f t="shared" si="20"/>
        <v>22.22222222</v>
      </c>
      <c r="AP100" s="208">
        <f>COUNTIF(AC30:AC69,"B")</f>
        <v>2</v>
      </c>
      <c r="AQ100" s="471">
        <f t="shared" si="21"/>
        <v>7.407407407</v>
      </c>
      <c r="AR100" s="208">
        <f>COUNTIF(AC30:AC69,"C")</f>
        <v>14</v>
      </c>
      <c r="AS100" s="471">
        <f t="shared" si="22"/>
        <v>51.85185185</v>
      </c>
      <c r="AT100" s="208">
        <f>COUNTIF(AC30:AC69,"D")</f>
        <v>3</v>
      </c>
      <c r="AU100" s="471">
        <f t="shared" si="23"/>
        <v>11.11111111</v>
      </c>
      <c r="AV100" s="271"/>
      <c r="AW100" s="272"/>
    </row>
    <row r="101">
      <c r="A101" s="94"/>
      <c r="B101" s="95"/>
      <c r="C101" s="95"/>
      <c r="D101" s="47"/>
      <c r="E101" s="130">
        <v>2.0</v>
      </c>
      <c r="F101" s="113">
        <f>AD70</f>
        <v>8</v>
      </c>
      <c r="G101" s="265">
        <f t="shared" si="19"/>
        <v>29.62962963</v>
      </c>
      <c r="H101" s="296" t="s">
        <v>136</v>
      </c>
      <c r="I101" s="298"/>
      <c r="J101" s="298"/>
      <c r="K101" s="298"/>
      <c r="L101" s="298"/>
      <c r="M101" s="298"/>
      <c r="N101" s="298"/>
      <c r="O101" s="298"/>
      <c r="P101" s="298"/>
      <c r="Q101" s="298"/>
      <c r="R101" s="298"/>
      <c r="S101" s="298"/>
      <c r="T101" s="298"/>
      <c r="U101" s="298"/>
      <c r="V101" s="298"/>
      <c r="W101" s="298"/>
      <c r="X101" s="298"/>
      <c r="Y101" s="298"/>
      <c r="Z101" s="298"/>
      <c r="AA101" s="298"/>
      <c r="AB101" s="298"/>
      <c r="AC101" s="298"/>
      <c r="AD101" s="298"/>
      <c r="AE101" s="298"/>
      <c r="AF101" s="298"/>
      <c r="AG101" s="298"/>
      <c r="AH101" s="298"/>
      <c r="AI101" s="298"/>
      <c r="AJ101" s="299"/>
      <c r="AK101" s="300"/>
      <c r="AM101" s="309">
        <v>2.0</v>
      </c>
      <c r="AN101" s="113">
        <f>COUNTIF(AD30:AD69,"A")</f>
        <v>5</v>
      </c>
      <c r="AO101" s="470">
        <f t="shared" si="20"/>
        <v>18.51851852</v>
      </c>
      <c r="AP101" s="208">
        <f>COUNTIF(AD30:AD69,"B")</f>
        <v>8</v>
      </c>
      <c r="AQ101" s="471">
        <f t="shared" si="21"/>
        <v>29.62962963</v>
      </c>
      <c r="AR101" s="208">
        <f>COUNTIF(AD30:AD69,"C")</f>
        <v>8</v>
      </c>
      <c r="AS101" s="471">
        <f t="shared" si="22"/>
        <v>29.62962963</v>
      </c>
      <c r="AT101" s="208">
        <f>COUNTIF(AD30:AD69,"D")</f>
        <v>4</v>
      </c>
      <c r="AU101" s="471">
        <f t="shared" si="23"/>
        <v>14.81481481</v>
      </c>
      <c r="AV101" s="271"/>
      <c r="AW101" s="272"/>
    </row>
    <row r="102">
      <c r="A102" s="94"/>
      <c r="B102" s="95"/>
      <c r="C102" s="95"/>
      <c r="D102" s="47"/>
      <c r="E102" s="130">
        <v>3.0</v>
      </c>
      <c r="F102" s="113">
        <f>AE70</f>
        <v>3</v>
      </c>
      <c r="G102" s="265">
        <f t="shared" si="19"/>
        <v>11.11111111</v>
      </c>
      <c r="H102" s="296" t="s">
        <v>136</v>
      </c>
      <c r="I102" s="301"/>
      <c r="J102" s="301"/>
      <c r="K102" s="301"/>
      <c r="L102" s="301"/>
      <c r="M102" s="301"/>
      <c r="N102" s="301"/>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2"/>
      <c r="AK102" s="129"/>
      <c r="AM102" s="309">
        <v>3.0</v>
      </c>
      <c r="AN102" s="113">
        <f>COUNTIF(AE30:AE69,"A")</f>
        <v>3</v>
      </c>
      <c r="AO102" s="470">
        <f t="shared" si="20"/>
        <v>11.11111111</v>
      </c>
      <c r="AP102" s="208">
        <f>COUNTIF(AE30:AE69,"B")</f>
        <v>6</v>
      </c>
      <c r="AQ102" s="471">
        <f t="shared" si="21"/>
        <v>22.22222222</v>
      </c>
      <c r="AR102" s="208">
        <f>COUNTIF(AE30:AE69,"C")</f>
        <v>6</v>
      </c>
      <c r="AS102" s="471">
        <f t="shared" si="22"/>
        <v>22.22222222</v>
      </c>
      <c r="AT102" s="208">
        <f>COUNTIF(AE30:AE69,"D")</f>
        <v>9</v>
      </c>
      <c r="AU102" s="471">
        <f t="shared" si="23"/>
        <v>33.33333333</v>
      </c>
      <c r="AV102" s="271"/>
      <c r="AW102" s="272"/>
    </row>
    <row r="103">
      <c r="A103" s="94"/>
      <c r="B103" s="95"/>
      <c r="C103" s="95"/>
      <c r="D103" s="47"/>
      <c r="E103" s="130">
        <v>4.0</v>
      </c>
      <c r="F103" s="113">
        <f>AF70</f>
        <v>6</v>
      </c>
      <c r="G103" s="265">
        <f t="shared" si="19"/>
        <v>22.22222222</v>
      </c>
      <c r="H103" s="296" t="s">
        <v>137</v>
      </c>
      <c r="I103" s="303"/>
      <c r="J103" s="303"/>
      <c r="K103" s="303"/>
      <c r="L103" s="303"/>
      <c r="M103" s="303"/>
      <c r="N103" s="303"/>
      <c r="O103" s="303"/>
      <c r="P103" s="303"/>
      <c r="Q103" s="303"/>
      <c r="R103" s="303"/>
      <c r="S103" s="303"/>
      <c r="T103" s="303"/>
      <c r="U103" s="303"/>
      <c r="V103" s="303"/>
      <c r="W103" s="303"/>
      <c r="X103" s="303"/>
      <c r="Y103" s="303"/>
      <c r="Z103" s="303"/>
      <c r="AA103" s="303"/>
      <c r="AB103" s="303"/>
      <c r="AC103" s="303"/>
      <c r="AD103" s="303"/>
      <c r="AE103" s="303"/>
      <c r="AF103" s="303"/>
      <c r="AG103" s="303"/>
      <c r="AH103" s="303"/>
      <c r="AI103" s="303"/>
      <c r="AJ103" s="304"/>
      <c r="AK103" s="134"/>
      <c r="AM103" s="309">
        <v>4.0</v>
      </c>
      <c r="AN103" s="113">
        <f>COUNTIF(AF30:AF69,"A")</f>
        <v>6</v>
      </c>
      <c r="AO103" s="470">
        <f t="shared" si="20"/>
        <v>22.22222222</v>
      </c>
      <c r="AP103" s="208">
        <f>COUNTIF(AF30:AF69,"B")</f>
        <v>6</v>
      </c>
      <c r="AQ103" s="471">
        <f t="shared" si="21"/>
        <v>22.22222222</v>
      </c>
      <c r="AR103" s="208">
        <f>COUNTIF(AF30:AF69,"C")</f>
        <v>5</v>
      </c>
      <c r="AS103" s="471">
        <f t="shared" si="22"/>
        <v>18.51851852</v>
      </c>
      <c r="AT103" s="208">
        <f>COUNTIF(AF30:AF69,"D")</f>
        <v>8</v>
      </c>
      <c r="AU103" s="471">
        <f t="shared" si="23"/>
        <v>29.62962963</v>
      </c>
      <c r="AV103" s="271"/>
      <c r="AW103" s="272"/>
    </row>
    <row r="104">
      <c r="A104" s="94"/>
      <c r="B104" s="95"/>
      <c r="C104" s="95"/>
      <c r="D104" s="47"/>
      <c r="E104" s="130">
        <v>5.0</v>
      </c>
      <c r="F104" s="113">
        <f>AG70</f>
        <v>6</v>
      </c>
      <c r="G104" s="265">
        <f t="shared" si="19"/>
        <v>22.22222222</v>
      </c>
      <c r="H104" s="296" t="s">
        <v>137</v>
      </c>
      <c r="I104" s="303"/>
      <c r="J104" s="303"/>
      <c r="K104" s="303"/>
      <c r="L104" s="303"/>
      <c r="M104" s="303"/>
      <c r="N104" s="303"/>
      <c r="O104" s="303"/>
      <c r="P104" s="303"/>
      <c r="Q104" s="303"/>
      <c r="R104" s="303"/>
      <c r="S104" s="303"/>
      <c r="T104" s="303"/>
      <c r="U104" s="303"/>
      <c r="V104" s="303"/>
      <c r="W104" s="303"/>
      <c r="X104" s="303"/>
      <c r="Y104" s="303"/>
      <c r="Z104" s="303"/>
      <c r="AA104" s="303"/>
      <c r="AB104" s="303"/>
      <c r="AC104" s="303"/>
      <c r="AD104" s="303"/>
      <c r="AE104" s="303"/>
      <c r="AF104" s="303"/>
      <c r="AG104" s="303"/>
      <c r="AH104" s="303"/>
      <c r="AI104" s="303"/>
      <c r="AJ104" s="304"/>
      <c r="AK104" s="134"/>
      <c r="AM104" s="309">
        <v>5.0</v>
      </c>
      <c r="AN104" s="113">
        <f>COUNTIF(AG30:AG69,"A")</f>
        <v>5</v>
      </c>
      <c r="AO104" s="470">
        <f t="shared" si="20"/>
        <v>18.51851852</v>
      </c>
      <c r="AP104" s="208">
        <f>COUNTIF(AG30:AG69,"B")</f>
        <v>8</v>
      </c>
      <c r="AQ104" s="471">
        <f t="shared" si="21"/>
        <v>29.62962963</v>
      </c>
      <c r="AR104" s="208">
        <f>COUNTIF(AG30:AG69,"C")</f>
        <v>6</v>
      </c>
      <c r="AS104" s="471">
        <f t="shared" si="22"/>
        <v>22.22222222</v>
      </c>
      <c r="AT104" s="208">
        <f>COUNTIF(AG30:AG69,"D")</f>
        <v>6</v>
      </c>
      <c r="AU104" s="471">
        <f t="shared" si="23"/>
        <v>22.22222222</v>
      </c>
      <c r="AV104" s="271"/>
      <c r="AW104" s="272"/>
    </row>
    <row r="105">
      <c r="A105" s="94"/>
      <c r="B105" s="95"/>
      <c r="C105" s="95"/>
      <c r="D105" s="47"/>
      <c r="E105" s="130">
        <v>6.0</v>
      </c>
      <c r="F105" s="113">
        <f>AH70</f>
        <v>6</v>
      </c>
      <c r="G105" s="265">
        <f t="shared" si="19"/>
        <v>22.22222222</v>
      </c>
      <c r="H105" s="296" t="s">
        <v>136</v>
      </c>
      <c r="I105" s="303"/>
      <c r="J105" s="303"/>
      <c r="K105" s="303"/>
      <c r="L105" s="303"/>
      <c r="M105" s="303"/>
      <c r="N105" s="303"/>
      <c r="O105" s="303"/>
      <c r="P105" s="303"/>
      <c r="Q105" s="303"/>
      <c r="R105" s="303"/>
      <c r="S105" s="303"/>
      <c r="T105" s="303"/>
      <c r="U105" s="303"/>
      <c r="V105" s="303"/>
      <c r="W105" s="303"/>
      <c r="X105" s="303"/>
      <c r="Y105" s="303"/>
      <c r="Z105" s="303"/>
      <c r="AA105" s="303"/>
      <c r="AB105" s="303"/>
      <c r="AC105" s="303"/>
      <c r="AD105" s="303"/>
      <c r="AE105" s="303"/>
      <c r="AF105" s="303"/>
      <c r="AG105" s="303"/>
      <c r="AH105" s="303"/>
      <c r="AI105" s="303"/>
      <c r="AJ105" s="304"/>
      <c r="AK105" s="134"/>
      <c r="AM105" s="309">
        <v>6.0</v>
      </c>
      <c r="AN105" s="113">
        <f>COUNTIF(AH30:AH69,"A")</f>
        <v>6</v>
      </c>
      <c r="AO105" s="470">
        <f t="shared" si="20"/>
        <v>22.22222222</v>
      </c>
      <c r="AP105" s="208">
        <f>COUNTIF(AH30:AH69,"B")</f>
        <v>11</v>
      </c>
      <c r="AQ105" s="471">
        <f t="shared" si="21"/>
        <v>40.74074074</v>
      </c>
      <c r="AR105" s="208">
        <f>COUNTIF(AH30:AH69,"C")</f>
        <v>3</v>
      </c>
      <c r="AS105" s="471">
        <f t="shared" si="22"/>
        <v>11.11111111</v>
      </c>
      <c r="AT105" s="208">
        <f>COUNTIF(AH30:AH69,"D")</f>
        <v>5</v>
      </c>
      <c r="AU105" s="471">
        <f t="shared" si="23"/>
        <v>18.51851852</v>
      </c>
      <c r="AV105" s="271"/>
      <c r="AW105" s="272"/>
    </row>
    <row r="106">
      <c r="A106" s="94"/>
      <c r="B106" s="95"/>
      <c r="C106" s="95"/>
      <c r="D106" s="47"/>
      <c r="E106" s="130">
        <v>7.0</v>
      </c>
      <c r="F106" s="113">
        <f>AI70</f>
        <v>5</v>
      </c>
      <c r="G106" s="265">
        <f t="shared" si="19"/>
        <v>18.51851852</v>
      </c>
      <c r="H106" s="296" t="s">
        <v>138</v>
      </c>
      <c r="I106" s="303"/>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303"/>
      <c r="AH106" s="303"/>
      <c r="AI106" s="303"/>
      <c r="AJ106" s="304"/>
      <c r="AK106" s="134"/>
      <c r="AM106" s="309">
        <v>7.0</v>
      </c>
      <c r="AN106" s="113">
        <f>COUNTIF(AI30:AI69,"A")</f>
        <v>5</v>
      </c>
      <c r="AO106" s="470">
        <f t="shared" si="20"/>
        <v>18.51851852</v>
      </c>
      <c r="AP106" s="208">
        <f>COUNTIF(AI30:AI69,"B")</f>
        <v>8</v>
      </c>
      <c r="AQ106" s="471">
        <f t="shared" si="21"/>
        <v>29.62962963</v>
      </c>
      <c r="AR106" s="208">
        <f>COUNTIF(AI30:AI69,"C")</f>
        <v>4</v>
      </c>
      <c r="AS106" s="471">
        <f t="shared" si="22"/>
        <v>14.81481481</v>
      </c>
      <c r="AT106" s="208">
        <f>COUNTIF(AI30:AI69,"D")</f>
        <v>8</v>
      </c>
      <c r="AU106" s="471">
        <f t="shared" si="23"/>
        <v>29.62962963</v>
      </c>
      <c r="AV106" s="271"/>
      <c r="AW106" s="272"/>
    </row>
    <row r="107">
      <c r="A107" s="94"/>
      <c r="B107" s="95"/>
      <c r="C107" s="95"/>
      <c r="D107" s="47"/>
      <c r="E107" s="130">
        <v>8.0</v>
      </c>
      <c r="F107" s="113">
        <f>AJ70</f>
        <v>8</v>
      </c>
      <c r="G107" s="265">
        <f t="shared" si="19"/>
        <v>29.62962963</v>
      </c>
      <c r="H107" s="296" t="s">
        <v>138</v>
      </c>
      <c r="I107" s="298"/>
      <c r="J107" s="298"/>
      <c r="K107" s="298"/>
      <c r="L107" s="298"/>
      <c r="M107" s="298"/>
      <c r="N107" s="298"/>
      <c r="O107" s="298"/>
      <c r="P107" s="298"/>
      <c r="Q107" s="298"/>
      <c r="R107" s="298"/>
      <c r="S107" s="298"/>
      <c r="T107" s="298"/>
      <c r="U107" s="298"/>
      <c r="V107" s="298"/>
      <c r="W107" s="298"/>
      <c r="X107" s="298"/>
      <c r="Y107" s="298"/>
      <c r="Z107" s="298"/>
      <c r="AA107" s="298"/>
      <c r="AB107" s="298"/>
      <c r="AC107" s="298"/>
      <c r="AD107" s="298"/>
      <c r="AE107" s="298"/>
      <c r="AF107" s="298"/>
      <c r="AG107" s="298"/>
      <c r="AH107" s="298"/>
      <c r="AI107" s="298"/>
      <c r="AJ107" s="299"/>
      <c r="AK107" s="300"/>
      <c r="AM107" s="309">
        <v>8.0</v>
      </c>
      <c r="AN107" s="113">
        <f>COUNTIF(AJ30:AJ69,"A")</f>
        <v>8</v>
      </c>
      <c r="AO107" s="470">
        <f t="shared" si="20"/>
        <v>29.62962963</v>
      </c>
      <c r="AP107" s="208">
        <f>COUNTIF(AJ30:AJ69,"B")</f>
        <v>5</v>
      </c>
      <c r="AQ107" s="471">
        <f t="shared" si="21"/>
        <v>18.51851852</v>
      </c>
      <c r="AR107" s="208">
        <f>COUNTIF(AJ30:AJ69,"C")</f>
        <v>9</v>
      </c>
      <c r="AS107" s="471">
        <f t="shared" si="22"/>
        <v>33.33333333</v>
      </c>
      <c r="AT107" s="208">
        <f>COUNTIF(AJ30:AJ69,"D")</f>
        <v>3</v>
      </c>
      <c r="AU107" s="471">
        <f t="shared" si="23"/>
        <v>11.11111111</v>
      </c>
      <c r="AV107" s="271"/>
      <c r="AW107" s="272"/>
    </row>
    <row r="108">
      <c r="A108" s="94"/>
      <c r="B108" s="95"/>
      <c r="C108" s="95"/>
      <c r="D108" s="47"/>
      <c r="E108" s="130">
        <v>9.0</v>
      </c>
      <c r="F108" s="113">
        <f>AK70</f>
        <v>5</v>
      </c>
      <c r="G108" s="265">
        <f t="shared" si="19"/>
        <v>18.51851852</v>
      </c>
      <c r="H108" s="305" t="s">
        <v>138</v>
      </c>
      <c r="I108" s="306"/>
      <c r="J108" s="306"/>
      <c r="K108" s="306"/>
      <c r="L108" s="306"/>
      <c r="M108" s="306"/>
      <c r="N108" s="306"/>
      <c r="O108" s="306"/>
      <c r="P108" s="306"/>
      <c r="Q108" s="306"/>
      <c r="R108" s="306"/>
      <c r="S108" s="306"/>
      <c r="T108" s="306"/>
      <c r="U108" s="306"/>
      <c r="V108" s="306"/>
      <c r="W108" s="306"/>
      <c r="X108" s="306"/>
      <c r="Y108" s="306"/>
      <c r="Z108" s="306"/>
      <c r="AA108" s="306"/>
      <c r="AB108" s="306"/>
      <c r="AC108" s="306"/>
      <c r="AD108" s="306"/>
      <c r="AE108" s="306"/>
      <c r="AF108" s="306"/>
      <c r="AG108" s="306"/>
      <c r="AH108" s="306"/>
      <c r="AI108" s="306"/>
      <c r="AJ108" s="307"/>
      <c r="AK108" s="134"/>
      <c r="AM108" s="309">
        <v>9.0</v>
      </c>
      <c r="AN108" s="113">
        <f>COUNTIF(AK30:AK69,"A")</f>
        <v>5</v>
      </c>
      <c r="AO108" s="470">
        <f t="shared" si="20"/>
        <v>18.51851852</v>
      </c>
      <c r="AP108" s="208">
        <f>COUNTIF(AK30:AK69,"B")</f>
        <v>4</v>
      </c>
      <c r="AQ108" s="471">
        <f t="shared" si="21"/>
        <v>14.81481481</v>
      </c>
      <c r="AR108" s="208">
        <f>COUNTIF(AK30:AK69,"C")</f>
        <v>11</v>
      </c>
      <c r="AS108" s="471">
        <f t="shared" si="22"/>
        <v>40.74074074</v>
      </c>
      <c r="AT108" s="208">
        <f>COUNTIF(AK30:AK69,"D")</f>
        <v>4</v>
      </c>
      <c r="AU108" s="471">
        <f t="shared" si="23"/>
        <v>14.81481481</v>
      </c>
      <c r="AV108" s="271"/>
      <c r="AW108" s="272"/>
    </row>
    <row r="109" ht="15.75" customHeight="1">
      <c r="A109" s="94"/>
      <c r="B109" s="95"/>
      <c r="C109" s="95"/>
      <c r="D109" s="47"/>
      <c r="E109" s="130">
        <v>10.0</v>
      </c>
      <c r="F109" s="113">
        <f>AL70</f>
        <v>2</v>
      </c>
      <c r="G109" s="265">
        <f t="shared" si="19"/>
        <v>7.407407407</v>
      </c>
      <c r="H109" s="305" t="s">
        <v>138</v>
      </c>
      <c r="I109" s="306"/>
      <c r="J109" s="306"/>
      <c r="K109" s="306"/>
      <c r="L109" s="306"/>
      <c r="M109" s="306"/>
      <c r="N109" s="306"/>
      <c r="O109" s="306"/>
      <c r="P109" s="306"/>
      <c r="Q109" s="306"/>
      <c r="R109" s="306"/>
      <c r="S109" s="306"/>
      <c r="T109" s="306"/>
      <c r="U109" s="306"/>
      <c r="V109" s="306"/>
      <c r="W109" s="306"/>
      <c r="X109" s="306"/>
      <c r="Y109" s="306"/>
      <c r="Z109" s="306"/>
      <c r="AA109" s="306"/>
      <c r="AB109" s="306"/>
      <c r="AC109" s="306"/>
      <c r="AD109" s="306"/>
      <c r="AE109" s="306"/>
      <c r="AF109" s="306"/>
      <c r="AG109" s="306"/>
      <c r="AH109" s="306"/>
      <c r="AI109" s="306"/>
      <c r="AJ109" s="307"/>
      <c r="AK109" s="134"/>
      <c r="AM109" s="309">
        <v>10.0</v>
      </c>
      <c r="AN109" s="113">
        <f>COUNTIF(AL30:AL69,"A")</f>
        <v>7</v>
      </c>
      <c r="AO109" s="470">
        <f t="shared" si="20"/>
        <v>25.92592593</v>
      </c>
      <c r="AP109" s="208">
        <f>COUNTIF(AL30:AL69,"B")</f>
        <v>9</v>
      </c>
      <c r="AQ109" s="471">
        <f t="shared" si="21"/>
        <v>33.33333333</v>
      </c>
      <c r="AR109" s="208">
        <f>COUNTIF(AL30:AL69,"C")</f>
        <v>7</v>
      </c>
      <c r="AS109" s="471">
        <f t="shared" si="22"/>
        <v>25.92592593</v>
      </c>
      <c r="AT109" s="208">
        <f>COUNTIF(AL30:AL69,"D")</f>
        <v>2</v>
      </c>
      <c r="AU109" s="471">
        <f t="shared" si="23"/>
        <v>7.407407407</v>
      </c>
      <c r="AV109" s="271"/>
      <c r="AW109" s="272"/>
    </row>
    <row r="110">
      <c r="A110" s="94"/>
      <c r="B110" s="95"/>
      <c r="C110" s="95"/>
      <c r="D110" s="47"/>
      <c r="E110" s="130">
        <v>11.0</v>
      </c>
      <c r="F110" s="113">
        <f>AM70</f>
        <v>5</v>
      </c>
      <c r="G110" s="265">
        <f t="shared" si="19"/>
        <v>18.51851852</v>
      </c>
      <c r="H110" s="305" t="s">
        <v>138</v>
      </c>
      <c r="I110" s="306"/>
      <c r="J110" s="306"/>
      <c r="K110" s="306"/>
      <c r="L110" s="306"/>
      <c r="M110" s="306"/>
      <c r="N110" s="306"/>
      <c r="O110" s="306"/>
      <c r="P110" s="306"/>
      <c r="Q110" s="306"/>
      <c r="R110" s="306"/>
      <c r="S110" s="306"/>
      <c r="T110" s="306"/>
      <c r="U110" s="306"/>
      <c r="V110" s="306"/>
      <c r="W110" s="306"/>
      <c r="X110" s="306"/>
      <c r="Y110" s="306"/>
      <c r="Z110" s="306"/>
      <c r="AA110" s="306"/>
      <c r="AB110" s="306"/>
      <c r="AC110" s="306"/>
      <c r="AD110" s="306"/>
      <c r="AE110" s="306"/>
      <c r="AF110" s="306"/>
      <c r="AG110" s="306"/>
      <c r="AH110" s="306"/>
      <c r="AI110" s="306"/>
      <c r="AJ110" s="307"/>
      <c r="AK110" s="134"/>
      <c r="AM110" s="309">
        <v>11.0</v>
      </c>
      <c r="AN110" s="113">
        <f>COUNTIF(AM30:AM69,"A")</f>
        <v>7</v>
      </c>
      <c r="AO110" s="470">
        <f t="shared" si="20"/>
        <v>25.92592593</v>
      </c>
      <c r="AP110" s="208">
        <f>COUNTIF(AM30:AM69,"B")</f>
        <v>5</v>
      </c>
      <c r="AQ110" s="471">
        <f t="shared" si="21"/>
        <v>18.51851852</v>
      </c>
      <c r="AR110" s="208">
        <f>COUNTIF(AM30:AM69,"C")</f>
        <v>8</v>
      </c>
      <c r="AS110" s="471">
        <f t="shared" si="22"/>
        <v>29.62962963</v>
      </c>
      <c r="AT110" s="208">
        <f>COUNTIF(AM30:AM69,"D")</f>
        <v>5</v>
      </c>
      <c r="AU110" s="471">
        <f t="shared" si="23"/>
        <v>18.51851852</v>
      </c>
      <c r="AV110" s="271"/>
      <c r="AW110" s="272"/>
    </row>
    <row r="111">
      <c r="A111" s="94"/>
      <c r="B111" s="95"/>
      <c r="C111" s="95"/>
      <c r="D111" s="47"/>
      <c r="E111" s="130">
        <v>12.0</v>
      </c>
      <c r="F111" s="114">
        <f>AN70</f>
        <v>8</v>
      </c>
      <c r="G111" s="265">
        <f t="shared" si="19"/>
        <v>29.62962963</v>
      </c>
      <c r="H111" s="308" t="s">
        <v>139</v>
      </c>
      <c r="I111" s="472"/>
      <c r="J111" s="301"/>
      <c r="K111" s="301"/>
      <c r="L111" s="301"/>
      <c r="M111" s="301"/>
      <c r="N111" s="301"/>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2"/>
      <c r="AK111" s="129"/>
      <c r="AM111" s="309">
        <v>12.0</v>
      </c>
      <c r="AN111" s="113">
        <f>COUNTIF(AN30:AN69,"A")</f>
        <v>8</v>
      </c>
      <c r="AO111" s="470">
        <f t="shared" si="20"/>
        <v>29.62962963</v>
      </c>
      <c r="AP111" s="208">
        <f>COUNTIF(AN30:AN69,"B")</f>
        <v>5</v>
      </c>
      <c r="AQ111" s="471">
        <f t="shared" si="21"/>
        <v>18.51851852</v>
      </c>
      <c r="AR111" s="208">
        <f>COUNTIF(AN30:AN69,"C")</f>
        <v>5</v>
      </c>
      <c r="AS111" s="471">
        <f t="shared" si="22"/>
        <v>18.51851852</v>
      </c>
      <c r="AT111" s="208">
        <f>COUNTIF(AN30:AN69,"D")</f>
        <v>7</v>
      </c>
      <c r="AU111" s="471">
        <f t="shared" si="23"/>
        <v>25.92592593</v>
      </c>
      <c r="AV111" s="271"/>
      <c r="AW111" s="272"/>
    </row>
    <row r="112">
      <c r="A112" s="94"/>
      <c r="B112" s="95"/>
      <c r="C112" s="95"/>
      <c r="D112" s="47"/>
      <c r="E112" s="130">
        <v>13.0</v>
      </c>
      <c r="F112" s="113">
        <f>AO70</f>
        <v>6</v>
      </c>
      <c r="G112" s="265">
        <f t="shared" si="19"/>
        <v>22.22222222</v>
      </c>
      <c r="H112" s="308" t="s">
        <v>140</v>
      </c>
      <c r="I112" s="472"/>
      <c r="J112" s="298"/>
      <c r="K112" s="298"/>
      <c r="L112" s="298"/>
      <c r="M112" s="298"/>
      <c r="N112" s="298"/>
      <c r="O112" s="298"/>
      <c r="P112" s="298"/>
      <c r="Q112" s="298"/>
      <c r="R112" s="298"/>
      <c r="S112" s="298"/>
      <c r="T112" s="298"/>
      <c r="U112" s="298"/>
      <c r="V112" s="298"/>
      <c r="W112" s="298"/>
      <c r="X112" s="298"/>
      <c r="Y112" s="298"/>
      <c r="Z112" s="298"/>
      <c r="AA112" s="298"/>
      <c r="AB112" s="298"/>
      <c r="AC112" s="298"/>
      <c r="AD112" s="298"/>
      <c r="AE112" s="298"/>
      <c r="AF112" s="298"/>
      <c r="AG112" s="298"/>
      <c r="AH112" s="298"/>
      <c r="AI112" s="298"/>
      <c r="AJ112" s="299"/>
      <c r="AK112" s="300"/>
      <c r="AM112" s="309">
        <v>13.0</v>
      </c>
      <c r="AN112" s="113">
        <f>COUNTIF(AO30:AO69,"A")</f>
        <v>5</v>
      </c>
      <c r="AO112" s="470">
        <f t="shared" si="20"/>
        <v>18.51851852</v>
      </c>
      <c r="AP112" s="208">
        <f>COUNTIF(AO30:AO69,"B")</f>
        <v>9</v>
      </c>
      <c r="AQ112" s="471">
        <f t="shared" si="21"/>
        <v>33.33333333</v>
      </c>
      <c r="AR112" s="208">
        <f>COUNTIF(AO30:AO69,"C")</f>
        <v>5</v>
      </c>
      <c r="AS112" s="471">
        <f t="shared" si="22"/>
        <v>18.51851852</v>
      </c>
      <c r="AT112" s="208">
        <f>COUNTIF(AO30:AO69,"D")</f>
        <v>6</v>
      </c>
      <c r="AU112" s="471">
        <f t="shared" si="23"/>
        <v>22.22222222</v>
      </c>
      <c r="AV112" s="271"/>
      <c r="AW112" s="272"/>
    </row>
    <row r="113">
      <c r="A113" s="94"/>
      <c r="B113" s="95"/>
      <c r="C113" s="95"/>
      <c r="D113" s="47"/>
      <c r="E113" s="130">
        <v>14.0</v>
      </c>
      <c r="F113" s="113">
        <f>AP70</f>
        <v>5</v>
      </c>
      <c r="G113" s="265">
        <f t="shared" si="19"/>
        <v>18.51851852</v>
      </c>
      <c r="H113" s="308" t="s">
        <v>141</v>
      </c>
      <c r="I113" s="472"/>
      <c r="J113" s="306"/>
      <c r="K113" s="306"/>
      <c r="L113" s="306"/>
      <c r="M113" s="306"/>
      <c r="N113" s="306"/>
      <c r="O113" s="306"/>
      <c r="P113" s="306"/>
      <c r="Q113" s="306"/>
      <c r="R113" s="306"/>
      <c r="S113" s="306"/>
      <c r="T113" s="306"/>
      <c r="U113" s="306"/>
      <c r="V113" s="306"/>
      <c r="W113" s="306"/>
      <c r="X113" s="306"/>
      <c r="Y113" s="306"/>
      <c r="Z113" s="306"/>
      <c r="AA113" s="306"/>
      <c r="AB113" s="306"/>
      <c r="AC113" s="306"/>
      <c r="AD113" s="306"/>
      <c r="AE113" s="306"/>
      <c r="AF113" s="306"/>
      <c r="AG113" s="306"/>
      <c r="AH113" s="306"/>
      <c r="AI113" s="306"/>
      <c r="AJ113" s="307"/>
      <c r="AK113" s="134"/>
      <c r="AM113" s="309">
        <v>14.0</v>
      </c>
      <c r="AN113" s="113">
        <f>COUNTIF(AP30:AP69,"A")</f>
        <v>9</v>
      </c>
      <c r="AO113" s="470">
        <f t="shared" si="20"/>
        <v>33.33333333</v>
      </c>
      <c r="AP113" s="208">
        <f>COUNTIF(AP30:AP69,"B")</f>
        <v>5</v>
      </c>
      <c r="AQ113" s="471">
        <f t="shared" si="21"/>
        <v>18.51851852</v>
      </c>
      <c r="AR113" s="208">
        <f>COUNTIF(AP30:AP69,"C")</f>
        <v>9</v>
      </c>
      <c r="AS113" s="471">
        <f t="shared" si="22"/>
        <v>33.33333333</v>
      </c>
      <c r="AT113" s="208">
        <f>COUNTIF(AP30:AP69,"D")</f>
        <v>2</v>
      </c>
      <c r="AU113" s="471">
        <f t="shared" si="23"/>
        <v>7.407407407</v>
      </c>
      <c r="AV113" s="271"/>
      <c r="AW113" s="272"/>
    </row>
    <row r="114">
      <c r="A114" s="94"/>
      <c r="B114" s="95"/>
      <c r="C114" s="95"/>
      <c r="D114" s="47"/>
      <c r="E114" s="130">
        <v>15.0</v>
      </c>
      <c r="F114" s="113">
        <f>AQ70</f>
        <v>4</v>
      </c>
      <c r="G114" s="265">
        <f t="shared" si="19"/>
        <v>14.81481481</v>
      </c>
      <c r="H114" s="308" t="s">
        <v>141</v>
      </c>
      <c r="I114" s="472"/>
      <c r="J114" s="306"/>
      <c r="K114" s="306"/>
      <c r="L114" s="306"/>
      <c r="M114" s="306"/>
      <c r="N114" s="306"/>
      <c r="O114" s="306"/>
      <c r="P114" s="306"/>
      <c r="Q114" s="306"/>
      <c r="R114" s="306"/>
      <c r="S114" s="306"/>
      <c r="T114" s="306"/>
      <c r="U114" s="306"/>
      <c r="V114" s="306"/>
      <c r="W114" s="306"/>
      <c r="X114" s="306"/>
      <c r="Y114" s="306"/>
      <c r="Z114" s="306"/>
      <c r="AA114" s="306"/>
      <c r="AB114" s="306"/>
      <c r="AC114" s="306"/>
      <c r="AD114" s="306"/>
      <c r="AE114" s="306"/>
      <c r="AF114" s="306"/>
      <c r="AG114" s="306"/>
      <c r="AH114" s="306"/>
      <c r="AI114" s="306"/>
      <c r="AJ114" s="307"/>
      <c r="AK114" s="134"/>
      <c r="AM114" s="309">
        <v>15.0</v>
      </c>
      <c r="AN114" s="113">
        <f>COUNTIF(AQ30:AQ69,"A")</f>
        <v>2</v>
      </c>
      <c r="AO114" s="470">
        <f t="shared" si="20"/>
        <v>7.407407407</v>
      </c>
      <c r="AP114" s="208">
        <f>COUNTIF(AQ30:AQ69,"B")</f>
        <v>8</v>
      </c>
      <c r="AQ114" s="471">
        <f t="shared" si="21"/>
        <v>29.62962963</v>
      </c>
      <c r="AR114" s="208">
        <f>COUNTIF(AQ30:AQ69,"C")</f>
        <v>11</v>
      </c>
      <c r="AS114" s="471">
        <f t="shared" si="22"/>
        <v>40.74074074</v>
      </c>
      <c r="AT114" s="208">
        <f>COUNTIF(AQ30:AQ69,"D")</f>
        <v>4</v>
      </c>
      <c r="AU114" s="471">
        <f t="shared" si="23"/>
        <v>14.81481481</v>
      </c>
      <c r="AV114" s="271"/>
      <c r="AW114" s="272"/>
    </row>
    <row r="115">
      <c r="A115" s="94"/>
      <c r="B115" s="95"/>
      <c r="C115" s="95"/>
      <c r="D115" s="47"/>
      <c r="E115" s="130">
        <v>16.0</v>
      </c>
      <c r="F115" s="113">
        <f>AR70</f>
        <v>9</v>
      </c>
      <c r="G115" s="265">
        <f t="shared" si="19"/>
        <v>33.33333333</v>
      </c>
      <c r="H115" s="308" t="s">
        <v>141</v>
      </c>
      <c r="I115" s="472"/>
      <c r="J115" s="301"/>
      <c r="K115" s="301"/>
      <c r="L115" s="301"/>
      <c r="M115" s="301"/>
      <c r="N115" s="301"/>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2"/>
      <c r="AK115" s="129"/>
      <c r="AM115" s="309">
        <v>16.0</v>
      </c>
      <c r="AN115" s="113">
        <f>COUNTIF(AR30:AR69,"A")</f>
        <v>2</v>
      </c>
      <c r="AO115" s="470">
        <f t="shared" si="20"/>
        <v>7.407407407</v>
      </c>
      <c r="AP115" s="208">
        <f>COUNTIF(AR30:AR69,"B")</f>
        <v>10</v>
      </c>
      <c r="AQ115" s="471">
        <f t="shared" si="21"/>
        <v>37.03703704</v>
      </c>
      <c r="AR115" s="208">
        <f>COUNTIF(AR30:AR69,"C")</f>
        <v>9</v>
      </c>
      <c r="AS115" s="471">
        <f t="shared" si="22"/>
        <v>33.33333333</v>
      </c>
      <c r="AT115" s="208">
        <f>COUNTIF(AR30:AR69,"D")</f>
        <v>3</v>
      </c>
      <c r="AU115" s="471">
        <f t="shared" si="23"/>
        <v>11.11111111</v>
      </c>
      <c r="AV115" s="271"/>
      <c r="AW115" s="272"/>
    </row>
    <row r="116" ht="15.75" customHeight="1">
      <c r="A116" s="94"/>
      <c r="B116" s="95"/>
      <c r="C116" s="95"/>
      <c r="D116" s="47"/>
      <c r="E116" s="130">
        <v>17.0</v>
      </c>
      <c r="F116" s="113">
        <f>AS70</f>
        <v>6</v>
      </c>
      <c r="G116" s="265">
        <f t="shared" si="19"/>
        <v>22.22222222</v>
      </c>
      <c r="H116" s="308" t="s">
        <v>142</v>
      </c>
      <c r="I116" s="472"/>
      <c r="J116" s="306"/>
      <c r="K116" s="306"/>
      <c r="L116" s="306"/>
      <c r="M116" s="306"/>
      <c r="N116" s="306"/>
      <c r="O116" s="306"/>
      <c r="P116" s="306"/>
      <c r="Q116" s="306"/>
      <c r="R116" s="306"/>
      <c r="S116" s="306"/>
      <c r="T116" s="306"/>
      <c r="U116" s="306"/>
      <c r="V116" s="306"/>
      <c r="W116" s="306"/>
      <c r="X116" s="306"/>
      <c r="Y116" s="306"/>
      <c r="Z116" s="306"/>
      <c r="AA116" s="306"/>
      <c r="AB116" s="306"/>
      <c r="AC116" s="306"/>
      <c r="AD116" s="306"/>
      <c r="AE116" s="306"/>
      <c r="AF116" s="306"/>
      <c r="AG116" s="306"/>
      <c r="AH116" s="306"/>
      <c r="AI116" s="306"/>
      <c r="AJ116" s="307"/>
      <c r="AK116" s="134"/>
      <c r="AM116" s="309">
        <v>17.0</v>
      </c>
      <c r="AN116" s="113">
        <f>COUNTIF(AS30:AS69,"A")</f>
        <v>6</v>
      </c>
      <c r="AO116" s="470">
        <f t="shared" si="20"/>
        <v>22.22222222</v>
      </c>
      <c r="AP116" s="208">
        <f>COUNTIF(AS30:AS69,"B")</f>
        <v>8</v>
      </c>
      <c r="AQ116" s="471">
        <f t="shared" si="21"/>
        <v>29.62962963</v>
      </c>
      <c r="AR116" s="208">
        <f>COUNTIF(AS30:AS69,"C")</f>
        <v>5</v>
      </c>
      <c r="AS116" s="471">
        <f t="shared" si="22"/>
        <v>18.51851852</v>
      </c>
      <c r="AT116" s="208">
        <f>COUNTIF(AS30:AS69,"D")</f>
        <v>5</v>
      </c>
      <c r="AU116" s="471">
        <f t="shared" si="23"/>
        <v>18.51851852</v>
      </c>
      <c r="AV116" s="271"/>
      <c r="AW116" s="272"/>
    </row>
    <row r="117" ht="15.75" customHeight="1">
      <c r="A117" s="94"/>
      <c r="B117" s="95"/>
      <c r="C117" s="95"/>
      <c r="D117" s="47"/>
      <c r="E117" s="130">
        <v>18.0</v>
      </c>
      <c r="F117" s="113">
        <f>AT70</f>
        <v>6</v>
      </c>
      <c r="G117" s="265">
        <f t="shared" si="19"/>
        <v>22.22222222</v>
      </c>
      <c r="H117" s="308" t="s">
        <v>142</v>
      </c>
      <c r="I117" s="472"/>
      <c r="J117" s="306"/>
      <c r="K117" s="306"/>
      <c r="L117" s="306"/>
      <c r="M117" s="306"/>
      <c r="N117" s="306"/>
      <c r="O117" s="306"/>
      <c r="P117" s="306"/>
      <c r="Q117" s="306"/>
      <c r="R117" s="306"/>
      <c r="S117" s="306"/>
      <c r="T117" s="306"/>
      <c r="U117" s="306"/>
      <c r="V117" s="306"/>
      <c r="W117" s="306"/>
      <c r="X117" s="306"/>
      <c r="Y117" s="306"/>
      <c r="Z117" s="306"/>
      <c r="AA117" s="306"/>
      <c r="AB117" s="306"/>
      <c r="AC117" s="306"/>
      <c r="AD117" s="306"/>
      <c r="AE117" s="306"/>
      <c r="AF117" s="306"/>
      <c r="AG117" s="306"/>
      <c r="AH117" s="306"/>
      <c r="AI117" s="306"/>
      <c r="AJ117" s="307"/>
      <c r="AK117" s="134"/>
      <c r="AM117" s="309">
        <v>18.0</v>
      </c>
      <c r="AN117" s="113">
        <f>COUNTIF(AT30:AT69,"A")</f>
        <v>6</v>
      </c>
      <c r="AO117" s="470">
        <f t="shared" si="20"/>
        <v>22.22222222</v>
      </c>
      <c r="AP117" s="208">
        <f>COUNTIF(AT30:AT69,"B")</f>
        <v>9</v>
      </c>
      <c r="AQ117" s="471">
        <f t="shared" si="21"/>
        <v>33.33333333</v>
      </c>
      <c r="AR117" s="208">
        <f>COUNTIF(AT30:AT69,"C")</f>
        <v>4</v>
      </c>
      <c r="AS117" s="471">
        <f t="shared" si="22"/>
        <v>14.81481481</v>
      </c>
      <c r="AT117" s="208">
        <f>COUNTIF(AT30:AT69,"D")</f>
        <v>6</v>
      </c>
      <c r="AU117" s="471">
        <f t="shared" si="23"/>
        <v>22.22222222</v>
      </c>
      <c r="AV117" s="271"/>
      <c r="AW117" s="272"/>
    </row>
    <row r="118" ht="15.75" customHeight="1">
      <c r="A118" s="94"/>
      <c r="B118" s="95"/>
      <c r="C118" s="95"/>
      <c r="D118" s="47"/>
      <c r="E118" s="130">
        <v>19.0</v>
      </c>
      <c r="F118" s="113">
        <f>AU70</f>
        <v>3</v>
      </c>
      <c r="G118" s="265">
        <f t="shared" si="19"/>
        <v>11.11111111</v>
      </c>
      <c r="H118" s="308" t="s">
        <v>141</v>
      </c>
      <c r="I118" s="472"/>
      <c r="J118" s="306"/>
      <c r="K118" s="306"/>
      <c r="L118" s="306"/>
      <c r="M118" s="306"/>
      <c r="N118" s="306"/>
      <c r="O118" s="306"/>
      <c r="P118" s="306"/>
      <c r="Q118" s="306"/>
      <c r="R118" s="306"/>
      <c r="S118" s="306"/>
      <c r="T118" s="306"/>
      <c r="U118" s="306"/>
      <c r="V118" s="306"/>
      <c r="W118" s="306"/>
      <c r="X118" s="306"/>
      <c r="Y118" s="306"/>
      <c r="Z118" s="306"/>
      <c r="AA118" s="306"/>
      <c r="AB118" s="306"/>
      <c r="AC118" s="306"/>
      <c r="AD118" s="306"/>
      <c r="AE118" s="306"/>
      <c r="AF118" s="306"/>
      <c r="AG118" s="306"/>
      <c r="AH118" s="306"/>
      <c r="AI118" s="306"/>
      <c r="AJ118" s="307"/>
      <c r="AK118" s="134"/>
      <c r="AM118" s="309">
        <v>19.0</v>
      </c>
      <c r="AN118" s="113">
        <f>COUNTIF(AU30:AU69,"A")</f>
        <v>9</v>
      </c>
      <c r="AO118" s="470">
        <f t="shared" si="20"/>
        <v>33.33333333</v>
      </c>
      <c r="AP118" s="208">
        <f>COUNTIF(AU30:AU69,"B")</f>
        <v>7</v>
      </c>
      <c r="AQ118" s="471">
        <f t="shared" si="21"/>
        <v>25.92592593</v>
      </c>
      <c r="AR118" s="208">
        <f>COUNTIF(AU30:AU69,"C")</f>
        <v>6</v>
      </c>
      <c r="AS118" s="471">
        <f t="shared" si="22"/>
        <v>22.22222222</v>
      </c>
      <c r="AT118" s="208">
        <f>COUNTIF(AU30:AU69,"D")</f>
        <v>3</v>
      </c>
      <c r="AU118" s="471">
        <f t="shared" si="23"/>
        <v>11.11111111</v>
      </c>
      <c r="AV118" s="271"/>
      <c r="AW118" s="272"/>
    </row>
    <row r="119" ht="15.75" customHeight="1">
      <c r="A119" s="94"/>
      <c r="B119" s="95"/>
      <c r="C119" s="95"/>
      <c r="D119" s="47"/>
      <c r="E119" s="130">
        <v>20.0</v>
      </c>
      <c r="F119" s="113">
        <f>AV70</f>
        <v>7</v>
      </c>
      <c r="G119" s="265">
        <f t="shared" si="19"/>
        <v>25.92592593</v>
      </c>
      <c r="H119" s="308" t="s">
        <v>141</v>
      </c>
      <c r="I119" s="472"/>
      <c r="J119" s="306"/>
      <c r="K119" s="306"/>
      <c r="L119" s="306"/>
      <c r="M119" s="306"/>
      <c r="N119" s="306"/>
      <c r="O119" s="306"/>
      <c r="P119" s="306"/>
      <c r="Q119" s="306"/>
      <c r="R119" s="306"/>
      <c r="S119" s="306"/>
      <c r="T119" s="306"/>
      <c r="U119" s="306"/>
      <c r="V119" s="306"/>
      <c r="W119" s="306"/>
      <c r="X119" s="306"/>
      <c r="Y119" s="306"/>
      <c r="Z119" s="306"/>
      <c r="AA119" s="306"/>
      <c r="AB119" s="306"/>
      <c r="AC119" s="306"/>
      <c r="AD119" s="306"/>
      <c r="AE119" s="306"/>
      <c r="AF119" s="306"/>
      <c r="AG119" s="306"/>
      <c r="AH119" s="306"/>
      <c r="AI119" s="306"/>
      <c r="AJ119" s="307"/>
      <c r="AK119" s="134"/>
      <c r="AM119" s="309">
        <v>20.0</v>
      </c>
      <c r="AN119" s="113">
        <f>COUNTIF(AV30:AV69,"A")</f>
        <v>4</v>
      </c>
      <c r="AO119" s="470">
        <f t="shared" si="20"/>
        <v>14.81481481</v>
      </c>
      <c r="AP119" s="208">
        <f>COUNTIF(AV30:AV69,"B")</f>
        <v>5</v>
      </c>
      <c r="AQ119" s="471">
        <f t="shared" si="21"/>
        <v>18.51851852</v>
      </c>
      <c r="AR119" s="208">
        <f>COUNTIF(AV30:AV69,"C")</f>
        <v>9</v>
      </c>
      <c r="AS119" s="471">
        <f t="shared" si="22"/>
        <v>33.33333333</v>
      </c>
      <c r="AT119" s="208">
        <f>COUNTIF(AV30:AV69,"D")</f>
        <v>7</v>
      </c>
      <c r="AU119" s="471">
        <f t="shared" si="23"/>
        <v>25.92592593</v>
      </c>
      <c r="AV119" s="271"/>
      <c r="AW119" s="272"/>
    </row>
    <row r="120" ht="15.75" customHeight="1">
      <c r="A120" s="94"/>
      <c r="B120" s="95"/>
      <c r="C120" s="95"/>
      <c r="D120" s="47"/>
      <c r="E120" s="130">
        <v>21.0</v>
      </c>
      <c r="F120" s="113">
        <f>AW70</f>
        <v>7</v>
      </c>
      <c r="G120" s="265">
        <f t="shared" si="19"/>
        <v>25.92592593</v>
      </c>
      <c r="H120" s="305" t="s">
        <v>143</v>
      </c>
      <c r="I120" s="306"/>
      <c r="J120" s="306"/>
      <c r="K120" s="306"/>
      <c r="L120" s="306"/>
      <c r="M120" s="306"/>
      <c r="N120" s="306"/>
      <c r="O120" s="306"/>
      <c r="P120" s="306"/>
      <c r="Q120" s="306"/>
      <c r="R120" s="306"/>
      <c r="S120" s="306"/>
      <c r="T120" s="306"/>
      <c r="U120" s="306"/>
      <c r="V120" s="306"/>
      <c r="W120" s="306"/>
      <c r="X120" s="306"/>
      <c r="Y120" s="306"/>
      <c r="Z120" s="306"/>
      <c r="AA120" s="306"/>
      <c r="AB120" s="306"/>
      <c r="AC120" s="306"/>
      <c r="AD120" s="306"/>
      <c r="AE120" s="306"/>
      <c r="AF120" s="306"/>
      <c r="AG120" s="306"/>
      <c r="AH120" s="306"/>
      <c r="AI120" s="306"/>
      <c r="AJ120" s="307"/>
      <c r="AK120" s="134"/>
      <c r="AM120" s="309">
        <v>21.0</v>
      </c>
      <c r="AN120" s="113">
        <f>COUNTIF(AW30:AW69,"A")</f>
        <v>4</v>
      </c>
      <c r="AO120" s="470">
        <f t="shared" si="20"/>
        <v>14.81481481</v>
      </c>
      <c r="AP120" s="208">
        <f>COUNTIF(AW30:AW69,"B")</f>
        <v>7</v>
      </c>
      <c r="AQ120" s="471">
        <f t="shared" si="21"/>
        <v>25.92592593</v>
      </c>
      <c r="AR120" s="208">
        <f>COUNTIF(AW30:AW69,"C")</f>
        <v>6</v>
      </c>
      <c r="AS120" s="471">
        <f t="shared" si="22"/>
        <v>22.22222222</v>
      </c>
      <c r="AT120" s="208">
        <f>COUNTIF(AW30:AW69,"D")</f>
        <v>8</v>
      </c>
      <c r="AU120" s="471">
        <f t="shared" si="23"/>
        <v>29.62962963</v>
      </c>
      <c r="AV120" s="271"/>
      <c r="AW120" s="272"/>
    </row>
    <row r="121" ht="15.75" customHeight="1">
      <c r="A121" s="94"/>
      <c r="B121" s="95"/>
      <c r="C121" s="95"/>
      <c r="D121" s="47"/>
      <c r="E121" s="130">
        <v>22.0</v>
      </c>
      <c r="F121" s="113">
        <f>AX70</f>
        <v>4</v>
      </c>
      <c r="G121" s="265">
        <f t="shared" si="19"/>
        <v>14.81481481</v>
      </c>
      <c r="H121" s="305" t="s">
        <v>144</v>
      </c>
      <c r="I121" s="306"/>
      <c r="J121" s="306"/>
      <c r="K121" s="306"/>
      <c r="L121" s="306"/>
      <c r="M121" s="306"/>
      <c r="N121" s="306"/>
      <c r="O121" s="306"/>
      <c r="P121" s="306"/>
      <c r="Q121" s="306"/>
      <c r="R121" s="306"/>
      <c r="S121" s="306"/>
      <c r="T121" s="306"/>
      <c r="U121" s="306"/>
      <c r="V121" s="306"/>
      <c r="W121" s="306"/>
      <c r="X121" s="306"/>
      <c r="Y121" s="306"/>
      <c r="Z121" s="306"/>
      <c r="AA121" s="306"/>
      <c r="AB121" s="306"/>
      <c r="AC121" s="306"/>
      <c r="AD121" s="306"/>
      <c r="AE121" s="306"/>
      <c r="AF121" s="306"/>
      <c r="AG121" s="306"/>
      <c r="AH121" s="306"/>
      <c r="AI121" s="306"/>
      <c r="AJ121" s="307"/>
      <c r="AK121" s="134"/>
      <c r="AM121" s="309">
        <v>22.0</v>
      </c>
      <c r="AN121" s="113">
        <f>COUNTIF(AX30:AX69,"A")</f>
        <v>4</v>
      </c>
      <c r="AO121" s="470">
        <f t="shared" si="20"/>
        <v>14.81481481</v>
      </c>
      <c r="AP121" s="208">
        <f>COUNTIF(AX30:AX69,"B")</f>
        <v>11</v>
      </c>
      <c r="AQ121" s="471">
        <f t="shared" si="21"/>
        <v>40.74074074</v>
      </c>
      <c r="AR121" s="208">
        <f>COUNTIF(AX30:AX69,"C")</f>
        <v>5</v>
      </c>
      <c r="AS121" s="471">
        <f t="shared" si="22"/>
        <v>18.51851852</v>
      </c>
      <c r="AT121" s="208">
        <f>COUNTIF(AX30:AX69,"D")</f>
        <v>4</v>
      </c>
      <c r="AU121" s="471">
        <f t="shared" si="23"/>
        <v>14.81481481</v>
      </c>
      <c r="AV121" s="271"/>
      <c r="AW121" s="272"/>
    </row>
    <row r="122" ht="15.75" customHeight="1">
      <c r="A122" s="94"/>
      <c r="B122" s="95"/>
      <c r="C122" s="95"/>
      <c r="D122" s="47"/>
      <c r="E122" s="130">
        <v>23.0</v>
      </c>
      <c r="F122" s="113">
        <f>AY70</f>
        <v>2</v>
      </c>
      <c r="G122" s="265">
        <f t="shared" si="19"/>
        <v>7.407407407</v>
      </c>
      <c r="H122" s="305" t="s">
        <v>144</v>
      </c>
      <c r="I122" s="306"/>
      <c r="J122" s="306"/>
      <c r="K122" s="306"/>
      <c r="L122" s="306"/>
      <c r="M122" s="306"/>
      <c r="N122" s="306"/>
      <c r="O122" s="306"/>
      <c r="P122" s="306"/>
      <c r="Q122" s="306"/>
      <c r="R122" s="306"/>
      <c r="S122" s="306"/>
      <c r="T122" s="306"/>
      <c r="U122" s="306"/>
      <c r="V122" s="306"/>
      <c r="W122" s="306"/>
      <c r="X122" s="306"/>
      <c r="Y122" s="306"/>
      <c r="Z122" s="306"/>
      <c r="AA122" s="306"/>
      <c r="AB122" s="306"/>
      <c r="AC122" s="306"/>
      <c r="AD122" s="306"/>
      <c r="AE122" s="306"/>
      <c r="AF122" s="306"/>
      <c r="AG122" s="306"/>
      <c r="AH122" s="306"/>
      <c r="AI122" s="306"/>
      <c r="AJ122" s="307"/>
      <c r="AK122" s="134"/>
      <c r="AM122" s="309">
        <v>23.0</v>
      </c>
      <c r="AN122" s="113">
        <f>COUNTIF(AY30:AY69,"A")</f>
        <v>9</v>
      </c>
      <c r="AO122" s="470">
        <f t="shared" si="20"/>
        <v>33.33333333</v>
      </c>
      <c r="AP122" s="208">
        <f>COUNTIF(AY30:AY69,"B")</f>
        <v>7</v>
      </c>
      <c r="AQ122" s="471">
        <f t="shared" si="21"/>
        <v>25.92592593</v>
      </c>
      <c r="AR122" s="208">
        <f>COUNTIF(AY30:AY69,"C")</f>
        <v>6</v>
      </c>
      <c r="AS122" s="471">
        <f t="shared" si="22"/>
        <v>22.22222222</v>
      </c>
      <c r="AT122" s="208">
        <f>COUNTIF(AY30:AY69,"D")</f>
        <v>2</v>
      </c>
      <c r="AU122" s="471">
        <f t="shared" si="23"/>
        <v>7.407407407</v>
      </c>
      <c r="AV122" s="271"/>
      <c r="AW122" s="272"/>
    </row>
    <row r="123" ht="15.75" customHeight="1">
      <c r="A123" s="94"/>
      <c r="B123" s="95"/>
      <c r="C123" s="95"/>
      <c r="D123" s="47"/>
      <c r="E123" s="130">
        <v>24.0</v>
      </c>
      <c r="F123" s="113">
        <f>AZ70</f>
        <v>9</v>
      </c>
      <c r="G123" s="265">
        <f t="shared" si="19"/>
        <v>33.33333333</v>
      </c>
      <c r="H123" s="305" t="s">
        <v>144</v>
      </c>
      <c r="I123" s="306"/>
      <c r="J123" s="306"/>
      <c r="K123" s="306"/>
      <c r="L123" s="306"/>
      <c r="M123" s="306"/>
      <c r="N123" s="306"/>
      <c r="O123" s="306"/>
      <c r="P123" s="306"/>
      <c r="Q123" s="306"/>
      <c r="R123" s="306"/>
      <c r="S123" s="306"/>
      <c r="T123" s="306"/>
      <c r="U123" s="306"/>
      <c r="V123" s="306"/>
      <c r="W123" s="306"/>
      <c r="X123" s="306"/>
      <c r="Y123" s="306"/>
      <c r="Z123" s="306"/>
      <c r="AA123" s="306"/>
      <c r="AB123" s="306"/>
      <c r="AC123" s="306"/>
      <c r="AD123" s="306"/>
      <c r="AE123" s="306"/>
      <c r="AF123" s="306"/>
      <c r="AG123" s="306"/>
      <c r="AH123" s="306"/>
      <c r="AI123" s="306"/>
      <c r="AJ123" s="307"/>
      <c r="AK123" s="134"/>
      <c r="AM123" s="309">
        <v>24.0</v>
      </c>
      <c r="AN123" s="113">
        <f>COUNTIF(AZ30:AZ69,"A")</f>
        <v>3</v>
      </c>
      <c r="AO123" s="470">
        <f t="shared" si="20"/>
        <v>11.11111111</v>
      </c>
      <c r="AP123" s="208">
        <f>COUNTIF(AZ30:AZ69,"B")</f>
        <v>0</v>
      </c>
      <c r="AQ123" s="471">
        <f t="shared" si="21"/>
        <v>0</v>
      </c>
      <c r="AR123" s="208">
        <f>COUNTIF(AZ30:AZ69,"C")</f>
        <v>12</v>
      </c>
      <c r="AS123" s="471">
        <f t="shared" si="22"/>
        <v>44.44444444</v>
      </c>
      <c r="AT123" s="208">
        <f>COUNTIF(AZ30:AZ69,"D")</f>
        <v>9</v>
      </c>
      <c r="AU123" s="471">
        <f t="shared" si="23"/>
        <v>33.33333333</v>
      </c>
      <c r="AV123" s="271"/>
      <c r="AW123" s="272"/>
    </row>
    <row r="124" ht="15.75" customHeight="1">
      <c r="A124" s="94"/>
      <c r="B124" s="95"/>
      <c r="C124" s="95"/>
      <c r="D124" s="47"/>
      <c r="E124" s="130">
        <v>25.0</v>
      </c>
      <c r="F124" s="113">
        <f>BA70</f>
        <v>6</v>
      </c>
      <c r="G124" s="265">
        <f t="shared" si="19"/>
        <v>22.22222222</v>
      </c>
      <c r="H124" s="305" t="s">
        <v>144</v>
      </c>
      <c r="I124" s="306"/>
      <c r="J124" s="306"/>
      <c r="K124" s="306"/>
      <c r="L124" s="306"/>
      <c r="M124" s="306"/>
      <c r="N124" s="306"/>
      <c r="O124" s="306"/>
      <c r="P124" s="306"/>
      <c r="Q124" s="306"/>
      <c r="R124" s="306"/>
      <c r="S124" s="306"/>
      <c r="T124" s="306"/>
      <c r="U124" s="306"/>
      <c r="V124" s="306"/>
      <c r="W124" s="306"/>
      <c r="X124" s="306"/>
      <c r="Y124" s="306"/>
      <c r="Z124" s="306"/>
      <c r="AA124" s="306"/>
      <c r="AB124" s="306"/>
      <c r="AC124" s="306"/>
      <c r="AD124" s="306"/>
      <c r="AE124" s="306"/>
      <c r="AF124" s="306"/>
      <c r="AG124" s="306"/>
      <c r="AH124" s="306"/>
      <c r="AI124" s="306"/>
      <c r="AJ124" s="307"/>
      <c r="AK124" s="134"/>
      <c r="AM124" s="309">
        <v>25.0</v>
      </c>
      <c r="AN124" s="113">
        <f>COUNTIF(BA30:BA69,"A")</f>
        <v>6</v>
      </c>
      <c r="AO124" s="470">
        <f t="shared" si="20"/>
        <v>22.22222222</v>
      </c>
      <c r="AP124" s="208">
        <f>COUNTIF(BA30:BA69,"B")</f>
        <v>8</v>
      </c>
      <c r="AQ124" s="471">
        <f t="shared" si="21"/>
        <v>29.62962963</v>
      </c>
      <c r="AR124" s="208">
        <f>COUNTIF(BA30:BA69,"C")</f>
        <v>8</v>
      </c>
      <c r="AS124" s="471">
        <f t="shared" si="22"/>
        <v>29.62962963</v>
      </c>
      <c r="AT124" s="208">
        <f>COUNTIF(BA30:BA69,"D")</f>
        <v>3</v>
      </c>
      <c r="AU124" s="471">
        <f t="shared" si="23"/>
        <v>11.11111111</v>
      </c>
      <c r="AV124" s="271"/>
      <c r="AW124" s="272"/>
    </row>
    <row r="125" ht="15.75" customHeight="1">
      <c r="A125" s="84"/>
      <c r="B125" s="85"/>
      <c r="C125" s="85"/>
      <c r="D125" s="65"/>
      <c r="E125" s="309">
        <v>26.0</v>
      </c>
      <c r="F125" s="113">
        <f>BB70</f>
        <v>7</v>
      </c>
      <c r="G125" s="265">
        <f t="shared" si="19"/>
        <v>25.92592593</v>
      </c>
      <c r="H125" s="305" t="s">
        <v>144</v>
      </c>
      <c r="I125" s="306"/>
      <c r="J125" s="306"/>
      <c r="K125" s="306"/>
      <c r="L125" s="306"/>
      <c r="M125" s="306"/>
      <c r="N125" s="306"/>
      <c r="O125" s="306"/>
      <c r="P125" s="306"/>
      <c r="Q125" s="306"/>
      <c r="R125" s="306"/>
      <c r="S125" s="306"/>
      <c r="T125" s="306"/>
      <c r="U125" s="306"/>
      <c r="V125" s="306"/>
      <c r="W125" s="306"/>
      <c r="X125" s="306"/>
      <c r="Y125" s="306"/>
      <c r="Z125" s="306"/>
      <c r="AA125" s="306"/>
      <c r="AB125" s="306"/>
      <c r="AC125" s="306"/>
      <c r="AD125" s="306"/>
      <c r="AE125" s="306"/>
      <c r="AF125" s="306"/>
      <c r="AG125" s="306"/>
      <c r="AH125" s="306"/>
      <c r="AI125" s="306"/>
      <c r="AJ125" s="307"/>
      <c r="AK125" s="134"/>
      <c r="AM125" s="309">
        <v>26.0</v>
      </c>
      <c r="AN125" s="113">
        <f>COUNTIF(BB30:BB69,"A")</f>
        <v>5</v>
      </c>
      <c r="AO125" s="470">
        <f t="shared" si="20"/>
        <v>18.51851852</v>
      </c>
      <c r="AP125" s="208">
        <f>COUNTIF(BB30:BB60,"B")</f>
        <v>8</v>
      </c>
      <c r="AQ125" s="471">
        <f t="shared" si="21"/>
        <v>29.62962963</v>
      </c>
      <c r="AR125" s="208">
        <f>COUNTIF(BB30:BB69,"C")</f>
        <v>5</v>
      </c>
      <c r="AS125" s="471">
        <f t="shared" si="22"/>
        <v>18.51851852</v>
      </c>
      <c r="AT125" s="208">
        <f>COUNTIF(BB30:BB69,"D")</f>
        <v>7</v>
      </c>
      <c r="AU125" s="471">
        <f t="shared" si="23"/>
        <v>25.92592593</v>
      </c>
      <c r="AV125" s="271"/>
      <c r="AW125" s="272"/>
    </row>
    <row r="126" ht="112.5" customHeight="1"/>
    <row r="127" ht="15.75" customHeight="1">
      <c r="A127" s="89"/>
      <c r="B127" s="90"/>
      <c r="C127" s="91"/>
      <c r="D127" s="473" t="s">
        <v>89</v>
      </c>
      <c r="E127" s="474"/>
      <c r="F127" s="474"/>
      <c r="G127" s="474"/>
      <c r="H127" s="474"/>
      <c r="I127" s="475"/>
      <c r="K127" s="170"/>
      <c r="L127" s="171"/>
      <c r="M127" s="171"/>
      <c r="N127" s="171"/>
      <c r="O127" s="171"/>
      <c r="P127" s="171"/>
      <c r="Q127" s="171"/>
      <c r="R127" s="171"/>
      <c r="S127" s="171"/>
      <c r="T127" s="171"/>
      <c r="U127" s="171"/>
      <c r="V127" s="171"/>
      <c r="W127" s="171"/>
      <c r="X127" s="171"/>
      <c r="Y127" s="171"/>
      <c r="Z127" s="171"/>
      <c r="AA127" s="171"/>
      <c r="AB127" s="171"/>
      <c r="AC127" s="171"/>
      <c r="AD127" s="171"/>
      <c r="AE127" s="171"/>
      <c r="AF127" s="171"/>
      <c r="AG127" s="171"/>
      <c r="AH127" s="171"/>
      <c r="AI127" s="171"/>
      <c r="AJ127" s="171"/>
      <c r="AK127" s="171"/>
      <c r="AL127" s="171"/>
      <c r="AM127" s="171"/>
      <c r="AN127" s="171"/>
      <c r="AO127" s="171"/>
      <c r="AP127" s="171"/>
      <c r="AQ127" s="171"/>
      <c r="AR127" s="171"/>
      <c r="AS127" s="171"/>
      <c r="AT127" s="171"/>
      <c r="AU127" s="171"/>
      <c r="AV127" s="171"/>
      <c r="AW127" s="171"/>
      <c r="AX127" s="171"/>
      <c r="AY127" s="171"/>
      <c r="AZ127" s="171"/>
      <c r="BA127" s="171"/>
      <c r="BB127" s="171"/>
      <c r="BC127" s="171"/>
      <c r="BD127" s="171"/>
      <c r="BE127" s="171"/>
      <c r="BF127" s="171"/>
      <c r="BG127" s="171"/>
      <c r="BH127" s="171"/>
      <c r="BI127" s="171"/>
      <c r="BJ127" s="171"/>
      <c r="BK127" s="171"/>
      <c r="BL127" s="171"/>
      <c r="BM127" s="171"/>
      <c r="BN127" s="171"/>
      <c r="BO127" s="171"/>
      <c r="BP127" s="171"/>
      <c r="BQ127" s="337"/>
    </row>
    <row r="128" ht="15.75" customHeight="1">
      <c r="A128" s="94"/>
      <c r="B128" s="95"/>
      <c r="C128" s="103"/>
      <c r="D128" s="476" t="s">
        <v>10</v>
      </c>
      <c r="E128" s="477" t="s">
        <v>54</v>
      </c>
      <c r="F128" s="478" t="s">
        <v>90</v>
      </c>
      <c r="G128" s="29"/>
      <c r="H128" s="29"/>
      <c r="I128" s="41"/>
      <c r="K128" s="178"/>
      <c r="BQ128" s="338"/>
    </row>
    <row r="129" ht="15.75" customHeight="1">
      <c r="A129" s="94"/>
      <c r="B129" s="95"/>
      <c r="C129" s="103"/>
      <c r="D129" s="189">
        <f>COUNTIF(BJ30:BJ69,"ABAIXO DO BÁSICO")</f>
        <v>6</v>
      </c>
      <c r="E129" s="479">
        <f>SUM(D129/C17*100)</f>
        <v>22.22222222</v>
      </c>
      <c r="F129" s="426" t="s">
        <v>91</v>
      </c>
      <c r="G129" s="480"/>
      <c r="H129" s="480"/>
      <c r="I129" s="481"/>
      <c r="K129" s="178"/>
      <c r="BQ129" s="338"/>
    </row>
    <row r="130" ht="15.75" customHeight="1">
      <c r="A130" s="94"/>
      <c r="B130" s="95"/>
      <c r="C130" s="103"/>
      <c r="D130" s="189">
        <f>COUNTIF(BJ30:BJ69,"BÁSICO")</f>
        <v>10</v>
      </c>
      <c r="E130" s="479">
        <f>SUM(D130/C17*100)</f>
        <v>37.03703704</v>
      </c>
      <c r="F130" s="429" t="s">
        <v>92</v>
      </c>
      <c r="G130" s="480"/>
      <c r="H130" s="480"/>
      <c r="I130" s="481"/>
      <c r="K130" s="178"/>
      <c r="L130" s="192" t="s">
        <v>93</v>
      </c>
      <c r="U130" s="179"/>
      <c r="V130" s="179"/>
      <c r="W130" s="179"/>
      <c r="X130" s="179"/>
      <c r="Y130" s="179"/>
      <c r="Z130" s="179"/>
      <c r="AA130" s="179"/>
      <c r="AB130" s="179"/>
      <c r="AC130" s="179"/>
      <c r="AD130" s="179"/>
      <c r="AE130" s="179"/>
      <c r="AF130" s="179"/>
      <c r="AG130" s="179"/>
      <c r="AH130" s="179"/>
      <c r="AI130" s="179"/>
      <c r="AJ130" s="179"/>
      <c r="AK130" s="179"/>
      <c r="AL130" s="179"/>
      <c r="AM130" s="179"/>
      <c r="AN130" s="179"/>
      <c r="AO130" s="179"/>
      <c r="AP130" s="179"/>
      <c r="AQ130" s="179"/>
      <c r="AR130" s="179"/>
      <c r="AS130" s="179"/>
      <c r="AT130" s="179"/>
      <c r="AU130" s="179"/>
      <c r="AV130" s="179"/>
      <c r="AW130" s="179"/>
      <c r="AX130" s="179"/>
      <c r="AY130" s="179"/>
      <c r="AZ130" s="179"/>
      <c r="BA130" s="179"/>
      <c r="BB130" s="179"/>
      <c r="BC130" s="179"/>
      <c r="BD130" s="179"/>
      <c r="BE130" s="179"/>
      <c r="BF130" s="179"/>
      <c r="BG130" s="179"/>
      <c r="BH130" s="179"/>
      <c r="BI130" s="179"/>
      <c r="BQ130" s="338"/>
    </row>
    <row r="131" ht="15.75" customHeight="1">
      <c r="A131" s="94"/>
      <c r="B131" s="95"/>
      <c r="C131" s="103"/>
      <c r="D131" s="189">
        <f>COUNTIF(BJ30:BJ69,"ADEQUADO")</f>
        <v>11</v>
      </c>
      <c r="E131" s="479">
        <f>SUM(D131/C17*100)</f>
        <v>40.74074074</v>
      </c>
      <c r="F131" s="430" t="s">
        <v>94</v>
      </c>
      <c r="G131" s="480"/>
      <c r="H131" s="480"/>
      <c r="I131" s="481"/>
      <c r="K131" s="178"/>
      <c r="L131" s="179"/>
      <c r="M131" s="179"/>
      <c r="N131" s="179"/>
      <c r="O131" s="179"/>
      <c r="P131" s="179"/>
      <c r="Q131" s="179"/>
      <c r="R131" s="179"/>
      <c r="S131" s="179"/>
      <c r="T131" s="179"/>
      <c r="U131" s="179"/>
      <c r="V131" s="179"/>
      <c r="W131" s="179"/>
      <c r="X131" s="179"/>
      <c r="Y131" s="179"/>
      <c r="Z131" s="179"/>
      <c r="AA131" s="179"/>
      <c r="AB131" s="179"/>
      <c r="AC131" s="179"/>
      <c r="AD131" s="179"/>
      <c r="AE131" s="179"/>
      <c r="AF131" s="179"/>
      <c r="AG131" s="179"/>
      <c r="AH131" s="179"/>
      <c r="AI131" s="179"/>
      <c r="AJ131" s="179"/>
      <c r="AK131" s="179"/>
      <c r="AL131" s="179"/>
      <c r="AM131" s="179"/>
      <c r="AN131" s="179"/>
      <c r="AO131" s="179"/>
      <c r="AP131" s="179"/>
      <c r="AQ131" s="179"/>
      <c r="AR131" s="179"/>
      <c r="AS131" s="179"/>
      <c r="AT131" s="179"/>
      <c r="AU131" s="179"/>
      <c r="AV131" s="179"/>
      <c r="AW131" s="179"/>
      <c r="AX131" s="179"/>
      <c r="AY131" s="179"/>
      <c r="AZ131" s="179"/>
      <c r="BA131" s="179"/>
      <c r="BB131" s="179"/>
      <c r="BC131" s="179"/>
      <c r="BD131" s="179"/>
      <c r="BE131" s="179"/>
      <c r="BF131" s="179"/>
      <c r="BG131" s="179"/>
      <c r="BH131" s="179"/>
      <c r="BI131" s="179"/>
      <c r="BQ131" s="338"/>
    </row>
    <row r="132" ht="15.75" customHeight="1">
      <c r="A132" s="94"/>
      <c r="B132" s="95"/>
      <c r="C132" s="103"/>
      <c r="D132" s="189">
        <f>COUNTIF(BJ30:BJ69,"AVANÇADO")</f>
        <v>0</v>
      </c>
      <c r="E132" s="479">
        <f>SUM(D132/C17*100)</f>
        <v>0</v>
      </c>
      <c r="F132" s="431" t="s">
        <v>95</v>
      </c>
      <c r="G132" s="480"/>
      <c r="H132" s="480"/>
      <c r="I132" s="481"/>
      <c r="K132" s="178"/>
      <c r="L132" s="179" t="s">
        <v>553</v>
      </c>
      <c r="BQ132" s="338"/>
    </row>
    <row r="133" ht="15.75" customHeight="1">
      <c r="A133" s="94"/>
      <c r="B133" s="95"/>
      <c r="C133" s="103"/>
      <c r="D133" s="482"/>
      <c r="E133" s="483"/>
      <c r="F133" s="482"/>
      <c r="G133" s="482"/>
      <c r="H133" s="484"/>
      <c r="I133" s="482"/>
      <c r="K133" s="178"/>
      <c r="L133" s="179" t="s">
        <v>554</v>
      </c>
      <c r="BQ133" s="338"/>
    </row>
    <row r="134" ht="15.75" customHeight="1">
      <c r="A134" s="94"/>
      <c r="B134" s="95"/>
      <c r="C134" s="103"/>
      <c r="D134" s="485" t="s">
        <v>16</v>
      </c>
      <c r="E134" s="486"/>
      <c r="F134" s="200"/>
      <c r="G134" s="200"/>
      <c r="H134" s="200"/>
      <c r="I134" s="487"/>
      <c r="K134" s="178"/>
      <c r="L134" s="179" t="s">
        <v>555</v>
      </c>
      <c r="BQ134" s="338"/>
    </row>
    <row r="135" ht="15.75" customHeight="1">
      <c r="A135" s="94"/>
      <c r="B135" s="95"/>
      <c r="C135" s="103"/>
      <c r="D135" s="476" t="s">
        <v>10</v>
      </c>
      <c r="E135" s="488" t="s">
        <v>54</v>
      </c>
      <c r="F135" s="478" t="s">
        <v>90</v>
      </c>
      <c r="G135" s="29"/>
      <c r="H135" s="29"/>
      <c r="I135" s="41"/>
      <c r="K135" s="178"/>
      <c r="L135" s="179" t="s">
        <v>556</v>
      </c>
      <c r="BQ135" s="338"/>
    </row>
    <row r="136" ht="15.75" customHeight="1">
      <c r="A136" s="94"/>
      <c r="B136" s="95"/>
      <c r="C136" s="103"/>
      <c r="D136" s="189">
        <f>COUNTIF(BN30:BN69,"ABAIXO DO BÁSICO")</f>
        <v>8</v>
      </c>
      <c r="E136" s="479">
        <f>SUM(D136/C17*100)</f>
        <v>29.62962963</v>
      </c>
      <c r="F136" s="426" t="s">
        <v>91</v>
      </c>
      <c r="G136" s="480"/>
      <c r="H136" s="480"/>
      <c r="I136" s="481"/>
      <c r="K136" s="178"/>
      <c r="L136" s="179"/>
      <c r="BQ136" s="338"/>
    </row>
    <row r="137" ht="15.75" customHeight="1">
      <c r="A137" s="94"/>
      <c r="B137" s="95"/>
      <c r="C137" s="103"/>
      <c r="D137" s="189">
        <f>COUNTIF(BN30:BN69,"BÁSICO")</f>
        <v>11</v>
      </c>
      <c r="E137" s="479">
        <f>SUM(D137/C17*100)</f>
        <v>40.74074074</v>
      </c>
      <c r="F137" s="429" t="s">
        <v>92</v>
      </c>
      <c r="G137" s="480"/>
      <c r="H137" s="480"/>
      <c r="I137" s="481"/>
      <c r="K137" s="178"/>
      <c r="L137" s="179" t="s">
        <v>557</v>
      </c>
      <c r="BQ137" s="338"/>
    </row>
    <row r="138" ht="15.75" customHeight="1">
      <c r="A138" s="94"/>
      <c r="B138" s="95"/>
      <c r="C138" s="103"/>
      <c r="D138" s="189">
        <f>COUNTIF(BN30:BN69,"ADEQUADO")</f>
        <v>8</v>
      </c>
      <c r="E138" s="479">
        <f>SUM(D138/C17*100)</f>
        <v>29.62962963</v>
      </c>
      <c r="F138" s="430" t="s">
        <v>94</v>
      </c>
      <c r="G138" s="480"/>
      <c r="H138" s="480"/>
      <c r="I138" s="481"/>
      <c r="K138" s="178"/>
      <c r="L138" s="179" t="s">
        <v>558</v>
      </c>
      <c r="BQ138" s="338"/>
    </row>
    <row r="139" ht="15.75" customHeight="1">
      <c r="A139" s="94"/>
      <c r="B139" s="95"/>
      <c r="C139" s="103"/>
      <c r="D139" s="189">
        <f>COUNTIF(BN30:BN69,"AVANÇADO")</f>
        <v>0</v>
      </c>
      <c r="E139" s="479">
        <f>SUM(D139/C17*100)</f>
        <v>0</v>
      </c>
      <c r="F139" s="431" t="s">
        <v>95</v>
      </c>
      <c r="G139" s="480"/>
      <c r="H139" s="480"/>
      <c r="I139" s="481"/>
      <c r="K139" s="178"/>
      <c r="L139" s="179" t="s">
        <v>559</v>
      </c>
      <c r="BQ139" s="338"/>
    </row>
    <row r="140" ht="15.75" customHeight="1">
      <c r="A140" s="94"/>
      <c r="B140" s="95"/>
      <c r="C140" s="103"/>
      <c r="D140" s="482"/>
      <c r="E140" s="483"/>
      <c r="F140" s="482"/>
      <c r="G140" s="482"/>
      <c r="H140" s="482"/>
      <c r="I140" s="482"/>
      <c r="K140" s="178"/>
      <c r="L140" s="179"/>
      <c r="BQ140" s="338"/>
    </row>
    <row r="141" ht="15.75" customHeight="1">
      <c r="A141" s="94"/>
      <c r="B141" s="95"/>
      <c r="C141" s="103"/>
      <c r="D141" s="489" t="s">
        <v>17</v>
      </c>
      <c r="E141" s="490"/>
      <c r="F141" s="491"/>
      <c r="G141" s="491"/>
      <c r="H141" s="491"/>
      <c r="I141" s="492"/>
      <c r="K141" s="178"/>
      <c r="L141" s="179" t="s">
        <v>560</v>
      </c>
      <c r="BQ141" s="338"/>
    </row>
    <row r="142" ht="15.75" customHeight="1">
      <c r="A142" s="94"/>
      <c r="B142" s="95"/>
      <c r="C142" s="103"/>
      <c r="D142" s="476" t="s">
        <v>10</v>
      </c>
      <c r="E142" s="488" t="s">
        <v>54</v>
      </c>
      <c r="F142" s="478" t="s">
        <v>90</v>
      </c>
      <c r="G142" s="29"/>
      <c r="H142" s="29"/>
      <c r="I142" s="41"/>
      <c r="K142" s="178"/>
      <c r="L142" s="179" t="s">
        <v>561</v>
      </c>
      <c r="BQ142" s="338"/>
    </row>
    <row r="143" ht="15.75" customHeight="1">
      <c r="A143" s="94"/>
      <c r="B143" s="95"/>
      <c r="C143" s="103"/>
      <c r="D143" s="189">
        <f>COUNTIF(BQ30:BQ69,"ABAIXO DO BÁSICO")</f>
        <v>10</v>
      </c>
      <c r="E143" s="479">
        <f>SUM(D143/C17*100)</f>
        <v>37.03703704</v>
      </c>
      <c r="F143" s="426" t="s">
        <v>91</v>
      </c>
      <c r="G143" s="480"/>
      <c r="H143" s="480"/>
      <c r="I143" s="481"/>
      <c r="K143" s="178"/>
      <c r="L143" s="179" t="s">
        <v>562</v>
      </c>
      <c r="BQ143" s="338"/>
    </row>
    <row r="144" ht="15.75" customHeight="1">
      <c r="A144" s="94"/>
      <c r="B144" s="95"/>
      <c r="C144" s="103"/>
      <c r="D144" s="189">
        <f>COUNTIF(BQ30:BQ69,"BÁSICO")</f>
        <v>17</v>
      </c>
      <c r="E144" s="479">
        <f>SUM(D144/C17*100)</f>
        <v>62.96296296</v>
      </c>
      <c r="F144" s="429" t="s">
        <v>92</v>
      </c>
      <c r="G144" s="480"/>
      <c r="H144" s="480"/>
      <c r="I144" s="481"/>
      <c r="K144" s="178"/>
      <c r="BQ144" s="338"/>
    </row>
    <row r="145" ht="15.75" customHeight="1">
      <c r="A145" s="94"/>
      <c r="B145" s="95"/>
      <c r="C145" s="103"/>
      <c r="D145" s="189">
        <f>COUNTIF(BQ30:BQ69,"ADEQUADO")</f>
        <v>0</v>
      </c>
      <c r="E145" s="479">
        <f>SUM(D145/C17*100)</f>
        <v>0</v>
      </c>
      <c r="F145" s="430" t="s">
        <v>94</v>
      </c>
      <c r="G145" s="480"/>
      <c r="H145" s="480"/>
      <c r="I145" s="481"/>
      <c r="K145" s="178"/>
      <c r="BQ145" s="338"/>
    </row>
    <row r="146" ht="15.75" customHeight="1">
      <c r="A146" s="84"/>
      <c r="B146" s="85"/>
      <c r="C146" s="146"/>
      <c r="D146" s="189">
        <f>COUNTIF(BQ30:BQ69,"AVANÇADO")</f>
        <v>0</v>
      </c>
      <c r="E146" s="479">
        <f>SUM(D146/C17*100)</f>
        <v>0</v>
      </c>
      <c r="F146" s="431" t="s">
        <v>95</v>
      </c>
      <c r="G146" s="480"/>
      <c r="H146" s="480"/>
      <c r="I146" s="481"/>
      <c r="K146" s="223"/>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224"/>
      <c r="BL146" s="224"/>
      <c r="BM146" s="224"/>
      <c r="BN146" s="224"/>
      <c r="BO146" s="224"/>
      <c r="BP146" s="224"/>
      <c r="BQ146" s="340"/>
    </row>
    <row r="147" ht="15.75" customHeight="1"/>
    <row r="148" ht="15.75" customHeight="1"/>
    <row r="149" ht="15.75" customHeight="1"/>
    <row r="150" ht="15.75" customHeight="1"/>
    <row r="151" ht="15.75" customHeight="1"/>
    <row r="152" ht="15.75" customHeight="1"/>
    <row r="153" ht="15.75" customHeight="1"/>
    <row r="154" ht="15.75" customHeight="1">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24"/>
      <c r="AO154" s="224"/>
      <c r="AP154" s="224"/>
      <c r="AQ154" s="224"/>
      <c r="AR154" s="224"/>
      <c r="AS154" s="224"/>
      <c r="AT154" s="224"/>
      <c r="AU154" s="224"/>
      <c r="AV154" s="224"/>
      <c r="AW154" s="224"/>
      <c r="AX154" s="224"/>
      <c r="AY154" s="224"/>
      <c r="AZ154" s="224"/>
      <c r="BA154" s="224"/>
      <c r="BB154" s="224"/>
      <c r="BC154" s="224"/>
      <c r="BD154" s="224"/>
      <c r="BE154" s="224"/>
      <c r="BF154" s="224"/>
      <c r="BG154" s="224"/>
      <c r="BH154" s="224"/>
      <c r="BI154" s="224"/>
      <c r="BJ154" s="224"/>
      <c r="BK154" s="224"/>
      <c r="BL154" s="224"/>
      <c r="BM154" s="224"/>
      <c r="BN154" s="224"/>
      <c r="BO154" s="224"/>
      <c r="BP154" s="224"/>
      <c r="BQ154" s="224"/>
    </row>
    <row r="155" ht="15.75" customHeight="1"/>
    <row r="156" ht="15.75" customHeight="1">
      <c r="BH156" s="226" t="s">
        <v>107</v>
      </c>
    </row>
    <row r="157" ht="15.75" customHeight="1">
      <c r="AL157" s="227"/>
      <c r="AM157" s="227"/>
      <c r="AN157" s="227"/>
      <c r="AO157" s="227"/>
      <c r="AP157" s="227"/>
      <c r="AQ157" s="227"/>
      <c r="AR157" s="227"/>
      <c r="AS157" s="227"/>
      <c r="AT157" s="227"/>
      <c r="AU157" s="227"/>
      <c r="AV157" s="227"/>
      <c r="AW157" s="227"/>
      <c r="AX157" s="227"/>
      <c r="BH157" s="227" t="s">
        <v>108</v>
      </c>
    </row>
    <row r="158" ht="15.75" customHeight="1"/>
  </sheetData>
  <mergeCells count="62">
    <mergeCell ref="D25:BJ25"/>
    <mergeCell ref="D26:AB26"/>
    <mergeCell ref="AC26:BB26"/>
    <mergeCell ref="BD26:BJ26"/>
    <mergeCell ref="BO27:BO29"/>
    <mergeCell ref="BP27:BP29"/>
    <mergeCell ref="A19:B19"/>
    <mergeCell ref="A20:B20"/>
    <mergeCell ref="A22:C22"/>
    <mergeCell ref="BL25:BQ25"/>
    <mergeCell ref="A26:A29"/>
    <mergeCell ref="B26:B29"/>
    <mergeCell ref="C26:C29"/>
    <mergeCell ref="BQ27:BQ29"/>
    <mergeCell ref="BD27:BD29"/>
    <mergeCell ref="BE27:BE29"/>
    <mergeCell ref="A70:C70"/>
    <mergeCell ref="D72:AJ72"/>
    <mergeCell ref="AL72:AU73"/>
    <mergeCell ref="D73:E74"/>
    <mergeCell ref="F73:F74"/>
    <mergeCell ref="G73:G74"/>
    <mergeCell ref="H73:AJ74"/>
    <mergeCell ref="D75:D99"/>
    <mergeCell ref="AL75:AL99"/>
    <mergeCell ref="D100:D125"/>
    <mergeCell ref="AL100:AL125"/>
    <mergeCell ref="F128:I128"/>
    <mergeCell ref="L130:T130"/>
    <mergeCell ref="L132:BI132"/>
    <mergeCell ref="L133:BI133"/>
    <mergeCell ref="L134:BI134"/>
    <mergeCell ref="F135:I135"/>
    <mergeCell ref="L135:BI135"/>
    <mergeCell ref="L136:BI136"/>
    <mergeCell ref="L137:BI137"/>
    <mergeCell ref="L138:BI138"/>
    <mergeCell ref="L139:BI139"/>
    <mergeCell ref="L140:BI140"/>
    <mergeCell ref="L141:BI141"/>
    <mergeCell ref="F142:I142"/>
    <mergeCell ref="L142:BI142"/>
    <mergeCell ref="D6:BE8"/>
    <mergeCell ref="D9:BE10"/>
    <mergeCell ref="D12:BE12"/>
    <mergeCell ref="A15:C15"/>
    <mergeCell ref="A16:C16"/>
    <mergeCell ref="A17:B17"/>
    <mergeCell ref="A18:B18"/>
    <mergeCell ref="BL26:BN26"/>
    <mergeCell ref="BO26:BQ26"/>
    <mergeCell ref="BF27:BF29"/>
    <mergeCell ref="BG27:BG29"/>
    <mergeCell ref="BH27:BH29"/>
    <mergeCell ref="BI27:BI29"/>
    <mergeCell ref="BJ27:BJ29"/>
    <mergeCell ref="BL27:BL29"/>
    <mergeCell ref="BM27:BM29"/>
    <mergeCell ref="BN27:BN29"/>
    <mergeCell ref="L143:BI143"/>
    <mergeCell ref="L144:BI144"/>
    <mergeCell ref="L145:BI145"/>
  </mergeCells>
  <conditionalFormatting sqref="C30:C69">
    <cfRule type="containsText" dxfId="6" priority="1" operator="containsText" text="NÃO">
      <formula>NOT(ISERROR(SEARCH(("NÃO"),(C30))))</formula>
    </cfRule>
  </conditionalFormatting>
  <conditionalFormatting sqref="C30:C69">
    <cfRule type="containsText" dxfId="0" priority="2" operator="containsText" text="NÃO">
      <formula>NOT(ISERROR(SEARCH(("NÃO"),(C30))))</formula>
    </cfRule>
  </conditionalFormatting>
  <conditionalFormatting sqref="C30:C69">
    <cfRule type="containsText" dxfId="1" priority="3" operator="containsText" text="SIM">
      <formula>NOT(ISERROR(SEARCH(("SIM"),(C30))))</formula>
    </cfRule>
  </conditionalFormatting>
  <conditionalFormatting sqref="BD30:BD69 BG30:BH69 BE31:BF69">
    <cfRule type="containsText" dxfId="6" priority="4" operator="containsText" text="F">
      <formula>NOT(ISERROR(SEARCH(("F"),(BD30))))</formula>
    </cfRule>
  </conditionalFormatting>
  <conditionalFormatting sqref="D30:BB69">
    <cfRule type="containsText" dxfId="6" priority="5" operator="containsText" text="F">
      <formula>NOT(ISERROR(SEARCH(("F"),(D30))))</formula>
    </cfRule>
  </conditionalFormatting>
  <conditionalFormatting sqref="BD30:BD69">
    <cfRule type="containsText" dxfId="4" priority="6" operator="containsText" text="A">
      <formula>NOT(ISERROR(SEARCH(("A"),(BD30))))</formula>
    </cfRule>
  </conditionalFormatting>
  <conditionalFormatting sqref="BD30:BD69">
    <cfRule type="containsText" dxfId="5" priority="7" operator="containsText" text="B">
      <formula>NOT(ISERROR(SEARCH(("B"),(BD30))))</formula>
    </cfRule>
  </conditionalFormatting>
  <conditionalFormatting sqref="BD30:BD69">
    <cfRule type="containsText" dxfId="5" priority="8" operator="containsText" text="C">
      <formula>NOT(ISERROR(SEARCH(("C"),(BD30))))</formula>
    </cfRule>
  </conditionalFormatting>
  <conditionalFormatting sqref="BD30:BD69">
    <cfRule type="containsText" dxfId="5" priority="9" operator="containsText" text="X">
      <formula>NOT(ISERROR(SEARCH(("X"),(BD30))))</formula>
    </cfRule>
  </conditionalFormatting>
  <conditionalFormatting sqref="BI30:BI69">
    <cfRule type="containsText" dxfId="6" priority="10" operator="containsText" text="F">
      <formula>NOT(ISERROR(SEARCH(("F"),(BI30))))</formula>
    </cfRule>
  </conditionalFormatting>
  <conditionalFormatting sqref="BJ30:BJ69 BN30:BN69 BQ30:BQ69">
    <cfRule type="containsText" dxfId="17" priority="11" operator="containsText" text="Abaixo do Básico">
      <formula>NOT(ISERROR(SEARCH(("Abaixo do Básico"),(BJ30))))</formula>
    </cfRule>
  </conditionalFormatting>
  <conditionalFormatting sqref="BJ30:BJ69 BN30:BN69 BQ30:BQ69">
    <cfRule type="containsText" dxfId="18" priority="12" operator="containsText" text="Básico">
      <formula>NOT(ISERROR(SEARCH(("Básico"),(BJ30))))</formula>
    </cfRule>
  </conditionalFormatting>
  <conditionalFormatting sqref="BJ30:BJ69 BN30:BN69 BQ30:BQ69">
    <cfRule type="containsText" dxfId="19" priority="13" operator="containsText" text="Adequado">
      <formula>NOT(ISERROR(SEARCH(("Adequado"),(BJ30))))</formula>
    </cfRule>
  </conditionalFormatting>
  <conditionalFormatting sqref="BJ30:BJ69 BN30:BN69 BQ30:BQ69">
    <cfRule type="containsText" dxfId="16" priority="14" operator="containsText" text="Avançado">
      <formula>NOT(ISERROR(SEARCH(("Avançado"),(BJ30))))</formula>
    </cfRule>
  </conditionalFormatting>
  <conditionalFormatting sqref="A30:BB70">
    <cfRule type="containsBlanks" dxfId="6" priority="15">
      <formula>LEN(TRIM(A30))=0</formula>
    </cfRule>
  </conditionalFormatting>
  <conditionalFormatting sqref="B30:B69 BL30:BQ69">
    <cfRule type="containsBlanks" dxfId="6" priority="16">
      <formula>LEN(TRIM(B30))=0</formula>
    </cfRule>
  </conditionalFormatting>
  <conditionalFormatting sqref="D30:BB69">
    <cfRule type="containsText" dxfId="5" priority="17" operator="containsText" text="X">
      <formula>NOT(ISERROR(SEARCH(("X"),(D30))))</formula>
    </cfRule>
  </conditionalFormatting>
  <conditionalFormatting sqref="F30:F69">
    <cfRule type="containsText" dxfId="5" priority="18" operator="containsText" text="A">
      <formula>NOT(ISERROR(SEARCH(("A"),(F30))))</formula>
    </cfRule>
  </conditionalFormatting>
  <conditionalFormatting sqref="F30:F69">
    <cfRule type="containsText" dxfId="5" priority="19" operator="containsText" text="B">
      <formula>NOT(ISERROR(SEARCH(("B"),(F30))))</formula>
    </cfRule>
  </conditionalFormatting>
  <conditionalFormatting sqref="F30:F69">
    <cfRule type="containsText" dxfId="12" priority="20" operator="containsText" text="C">
      <formula>NOT(ISERROR(SEARCH(("C"),(F30))))</formula>
    </cfRule>
  </conditionalFormatting>
  <conditionalFormatting sqref="F30:F69">
    <cfRule type="containsText" dxfId="5" priority="21" operator="containsText" text="D">
      <formula>NOT(ISERROR(SEARCH(("D"),(F30))))</formula>
    </cfRule>
  </conditionalFormatting>
  <conditionalFormatting sqref="G30:G69">
    <cfRule type="containsText" dxfId="5" priority="22" operator="containsText" text="A">
      <formula>NOT(ISERROR(SEARCH(("A"),(G30))))</formula>
    </cfRule>
  </conditionalFormatting>
  <conditionalFormatting sqref="G30:G69">
    <cfRule type="containsText" dxfId="4" priority="23" operator="containsText" text="B">
      <formula>NOT(ISERROR(SEARCH(("B"),(G30))))</formula>
    </cfRule>
  </conditionalFormatting>
  <conditionalFormatting sqref="G30:G69">
    <cfRule type="containsText" dxfId="5" priority="24" operator="containsText" text="C">
      <formula>NOT(ISERROR(SEARCH(("C"),(G30))))</formula>
    </cfRule>
  </conditionalFormatting>
  <conditionalFormatting sqref="G30:G69">
    <cfRule type="containsText" dxfId="5" priority="25" operator="containsText" text="D">
      <formula>NOT(ISERROR(SEARCH(("D"),(G30))))</formula>
    </cfRule>
  </conditionalFormatting>
  <conditionalFormatting sqref="H30:H69">
    <cfRule type="containsText" dxfId="5" priority="26" operator="containsText" text="A">
      <formula>NOT(ISERROR(SEARCH(("A"),(H30))))</formula>
    </cfRule>
  </conditionalFormatting>
  <conditionalFormatting sqref="H30:H69">
    <cfRule type="containsText" dxfId="5" priority="27" operator="containsText" text="B">
      <formula>NOT(ISERROR(SEARCH(("B"),(H30))))</formula>
    </cfRule>
  </conditionalFormatting>
  <conditionalFormatting sqref="H30:H69">
    <cfRule type="containsText" dxfId="5" priority="28" operator="containsText" text="C">
      <formula>NOT(ISERROR(SEARCH(("C"),(H30))))</formula>
    </cfRule>
  </conditionalFormatting>
  <conditionalFormatting sqref="H30:H69">
    <cfRule type="containsText" dxfId="4" priority="29" operator="containsText" text="D">
      <formula>NOT(ISERROR(SEARCH(("D"),(H30))))</formula>
    </cfRule>
  </conditionalFormatting>
  <conditionalFormatting sqref="I30:I69">
    <cfRule type="containsText" dxfId="5" priority="30" operator="containsText" text="A">
      <formula>NOT(ISERROR(SEARCH(("A"),(I30))))</formula>
    </cfRule>
  </conditionalFormatting>
  <conditionalFormatting sqref="I30:I69">
    <cfRule type="containsText" dxfId="4" priority="31" operator="containsText" text="B">
      <formula>NOT(ISERROR(SEARCH(("B"),(I30))))</formula>
    </cfRule>
  </conditionalFormatting>
  <conditionalFormatting sqref="I30:I69">
    <cfRule type="containsText" dxfId="5" priority="32" operator="containsText" text="C">
      <formula>NOT(ISERROR(SEARCH(("C"),(I30))))</formula>
    </cfRule>
  </conditionalFormatting>
  <conditionalFormatting sqref="I30:I69">
    <cfRule type="containsText" dxfId="5" priority="33" operator="containsText" text="D">
      <formula>NOT(ISERROR(SEARCH(("D"),(I30))))</formula>
    </cfRule>
  </conditionalFormatting>
  <conditionalFormatting sqref="J30:J69">
    <cfRule type="containsText" dxfId="5" priority="34" operator="containsText" text="A">
      <formula>NOT(ISERROR(SEARCH(("A"),(J30))))</formula>
    </cfRule>
  </conditionalFormatting>
  <conditionalFormatting sqref="J30:J69">
    <cfRule type="containsText" dxfId="5" priority="35" operator="containsText" text="B">
      <formula>NOT(ISERROR(SEARCH(("B"),(J30))))</formula>
    </cfRule>
  </conditionalFormatting>
  <conditionalFormatting sqref="J30:J69">
    <cfRule type="containsText" dxfId="4" priority="36" operator="containsText" text="C">
      <formula>NOT(ISERROR(SEARCH(("C"),(J30))))</formula>
    </cfRule>
  </conditionalFormatting>
  <conditionalFormatting sqref="J30:J69">
    <cfRule type="containsText" dxfId="5" priority="37" operator="containsText" text="D">
      <formula>NOT(ISERROR(SEARCH(("D"),(J30))))</formula>
    </cfRule>
  </conditionalFormatting>
  <conditionalFormatting sqref="L30:L69">
    <cfRule type="containsText" dxfId="5" priority="38" operator="containsText" text="A">
      <formula>NOT(ISERROR(SEARCH(("A"),(L30))))</formula>
    </cfRule>
  </conditionalFormatting>
  <conditionalFormatting sqref="L30:L69">
    <cfRule type="beginsWith" dxfId="5" priority="39" operator="beginsWith" text="B">
      <formula>LEFT((L30),LEN("B"))=("B")</formula>
    </cfRule>
  </conditionalFormatting>
  <conditionalFormatting sqref="L30:L69">
    <cfRule type="containsText" dxfId="5" priority="40" operator="containsText" text="C">
      <formula>NOT(ISERROR(SEARCH(("C"),(L30))))</formula>
    </cfRule>
  </conditionalFormatting>
  <conditionalFormatting sqref="L30:L69">
    <cfRule type="containsText" dxfId="4" priority="41" operator="containsText" text="D">
      <formula>NOT(ISERROR(SEARCH(("D"),(L30))))</formula>
    </cfRule>
  </conditionalFormatting>
  <conditionalFormatting sqref="M30:M69">
    <cfRule type="containsText" dxfId="5" priority="42" operator="containsText" text="A">
      <formula>NOT(ISERROR(SEARCH(("A"),(M30))))</formula>
    </cfRule>
  </conditionalFormatting>
  <conditionalFormatting sqref="M30:M69">
    <cfRule type="containsText" dxfId="4" priority="43" operator="containsText" text="B">
      <formula>NOT(ISERROR(SEARCH(("B"),(M30))))</formula>
    </cfRule>
  </conditionalFormatting>
  <conditionalFormatting sqref="M30:M69">
    <cfRule type="containsText" dxfId="5" priority="44" operator="containsText" text="C">
      <formula>NOT(ISERROR(SEARCH(("C"),(M30))))</formula>
    </cfRule>
  </conditionalFormatting>
  <conditionalFormatting sqref="M30:M69">
    <cfRule type="containsText" dxfId="5" priority="45" operator="containsText" text="D">
      <formula>NOT(ISERROR(SEARCH(("D"),(M30))))</formula>
    </cfRule>
  </conditionalFormatting>
  <conditionalFormatting sqref="N30:N69">
    <cfRule type="containsText" dxfId="4" priority="46" operator="containsText" text="A">
      <formula>NOT(ISERROR(SEARCH(("A"),(N30))))</formula>
    </cfRule>
  </conditionalFormatting>
  <conditionalFormatting sqref="N30:N69">
    <cfRule type="containsText" dxfId="5" priority="47" operator="containsText" text="B">
      <formula>NOT(ISERROR(SEARCH(("B"),(N30))))</formula>
    </cfRule>
  </conditionalFormatting>
  <conditionalFormatting sqref="N30:N69">
    <cfRule type="containsText" dxfId="5" priority="48" operator="containsText" text="C">
      <formula>NOT(ISERROR(SEARCH(("C"),(N30))))</formula>
    </cfRule>
  </conditionalFormatting>
  <conditionalFormatting sqref="N30:N69">
    <cfRule type="containsText" dxfId="5" priority="49" operator="containsText" text="D">
      <formula>NOT(ISERROR(SEARCH(("D"),(N30))))</formula>
    </cfRule>
  </conditionalFormatting>
  <conditionalFormatting sqref="O30:O69">
    <cfRule type="containsText" dxfId="5" priority="50" operator="containsText" text="A">
      <formula>NOT(ISERROR(SEARCH(("A"),(O30))))</formula>
    </cfRule>
  </conditionalFormatting>
  <conditionalFormatting sqref="O30:O69">
    <cfRule type="containsText" dxfId="4" priority="51" operator="containsText" text="B">
      <formula>NOT(ISERROR(SEARCH(("B"),(O30))))</formula>
    </cfRule>
  </conditionalFormatting>
  <conditionalFormatting sqref="O30:O69">
    <cfRule type="containsText" dxfId="5" priority="52" operator="containsText" text="C">
      <formula>NOT(ISERROR(SEARCH(("C"),(O30))))</formula>
    </cfRule>
  </conditionalFormatting>
  <conditionalFormatting sqref="O30:O69">
    <cfRule type="containsText" dxfId="5" priority="53" operator="containsText" text="D">
      <formula>NOT(ISERROR(SEARCH(("D"),(O30))))</formula>
    </cfRule>
  </conditionalFormatting>
  <conditionalFormatting sqref="P30:P69">
    <cfRule type="containsText" dxfId="5" priority="54" operator="containsText" text="A">
      <formula>NOT(ISERROR(SEARCH(("A"),(P30))))</formula>
    </cfRule>
  </conditionalFormatting>
  <conditionalFormatting sqref="P30:P69">
    <cfRule type="containsText" dxfId="4" priority="55" operator="containsText" text="B">
      <formula>NOT(ISERROR(SEARCH(("B"),(P30))))</formula>
    </cfRule>
  </conditionalFormatting>
  <conditionalFormatting sqref="P30:P69">
    <cfRule type="containsText" dxfId="5" priority="56" operator="containsText" text="C">
      <formula>NOT(ISERROR(SEARCH(("C"),(P30))))</formula>
    </cfRule>
  </conditionalFormatting>
  <conditionalFormatting sqref="P30:P69">
    <cfRule type="containsText" dxfId="5" priority="57" operator="containsText" text="D">
      <formula>NOT(ISERROR(SEARCH(("D"),(P30))))</formula>
    </cfRule>
  </conditionalFormatting>
  <conditionalFormatting sqref="Q30:Q69">
    <cfRule type="containsText" dxfId="4" priority="58" operator="containsText" text="A">
      <formula>NOT(ISERROR(SEARCH(("A"),(Q30))))</formula>
    </cfRule>
  </conditionalFormatting>
  <conditionalFormatting sqref="Q30:Q69">
    <cfRule type="containsText" dxfId="5" priority="59" operator="containsText" text="B">
      <formula>NOT(ISERROR(SEARCH(("B"),(Q30))))</formula>
    </cfRule>
  </conditionalFormatting>
  <conditionalFormatting sqref="Q30:Q69">
    <cfRule type="containsText" dxfId="5" priority="60" operator="containsText" text="C">
      <formula>NOT(ISERROR(SEARCH(("C"),(Q30))))</formula>
    </cfRule>
  </conditionalFormatting>
  <conditionalFormatting sqref="Q30:Q69">
    <cfRule type="containsText" dxfId="5" priority="61" operator="containsText" text="D">
      <formula>NOT(ISERROR(SEARCH(("D"),(Q30))))</formula>
    </cfRule>
  </conditionalFormatting>
  <conditionalFormatting sqref="R30:R69">
    <cfRule type="containsText" dxfId="4" priority="62" operator="containsText" text="A">
      <formula>NOT(ISERROR(SEARCH(("A"),(R30))))</formula>
    </cfRule>
  </conditionalFormatting>
  <conditionalFormatting sqref="R30:R69">
    <cfRule type="containsText" dxfId="5" priority="63" operator="containsText" text="B">
      <formula>NOT(ISERROR(SEARCH(("B"),(R30))))</formula>
    </cfRule>
  </conditionalFormatting>
  <conditionalFormatting sqref="R30:R69">
    <cfRule type="containsText" dxfId="5" priority="64" operator="containsText" text="C">
      <formula>NOT(ISERROR(SEARCH(("C"),(R30))))</formula>
    </cfRule>
  </conditionalFormatting>
  <conditionalFormatting sqref="R30:R69">
    <cfRule type="containsText" dxfId="5" priority="65" operator="containsText" text="D">
      <formula>NOT(ISERROR(SEARCH(("D"),(R30))))</formula>
    </cfRule>
  </conditionalFormatting>
  <conditionalFormatting sqref="S30:S69">
    <cfRule type="containsText" dxfId="5" priority="66" operator="containsText" text="A">
      <formula>NOT(ISERROR(SEARCH(("A"),(S30))))</formula>
    </cfRule>
  </conditionalFormatting>
  <conditionalFormatting sqref="S30:S69">
    <cfRule type="containsText" dxfId="5" priority="67" operator="containsText" text="B">
      <formula>NOT(ISERROR(SEARCH(("B"),(S30))))</formula>
    </cfRule>
  </conditionalFormatting>
  <conditionalFormatting sqref="S30:S69">
    <cfRule type="containsText" dxfId="4" priority="68" operator="containsText" text="C">
      <formula>NOT(ISERROR(SEARCH(("C"),(S30))))</formula>
    </cfRule>
  </conditionalFormatting>
  <conditionalFormatting sqref="S30:S69">
    <cfRule type="containsText" dxfId="5" priority="69" operator="containsText" text="D">
      <formula>NOT(ISERROR(SEARCH(("D"),(S30))))</formula>
    </cfRule>
  </conditionalFormatting>
  <conditionalFormatting sqref="T30:T69">
    <cfRule type="containsText" dxfId="5" priority="70" operator="containsText" text="A">
      <formula>NOT(ISERROR(SEARCH(("A"),(T30))))</formula>
    </cfRule>
  </conditionalFormatting>
  <conditionalFormatting sqref="T30:T69">
    <cfRule type="containsText" dxfId="4" priority="71" operator="containsText" text="B">
      <formula>NOT(ISERROR(SEARCH(("B"),(T30))))</formula>
    </cfRule>
  </conditionalFormatting>
  <conditionalFormatting sqref="T30:T69">
    <cfRule type="containsText" dxfId="5" priority="72" operator="containsText" text="C">
      <formula>NOT(ISERROR(SEARCH(("C"),(T30))))</formula>
    </cfRule>
  </conditionalFormatting>
  <conditionalFormatting sqref="T30:T69">
    <cfRule type="containsText" dxfId="5" priority="73" operator="containsText" text="D">
      <formula>NOT(ISERROR(SEARCH(("D"),(T30))))</formula>
    </cfRule>
  </conditionalFormatting>
  <conditionalFormatting sqref="U30:U69">
    <cfRule type="containsText" dxfId="4" priority="74" operator="containsText" text="A">
      <formula>NOT(ISERROR(SEARCH(("A"),(U30))))</formula>
    </cfRule>
  </conditionalFormatting>
  <conditionalFormatting sqref="U30:U69">
    <cfRule type="containsText" dxfId="5" priority="75" operator="containsText" text="B">
      <formula>NOT(ISERROR(SEARCH(("B"),(U30))))</formula>
    </cfRule>
  </conditionalFormatting>
  <conditionalFormatting sqref="U30:U69">
    <cfRule type="containsText" dxfId="5" priority="76" operator="containsText" text="C">
      <formula>NOT(ISERROR(SEARCH(("C"),(U30))))</formula>
    </cfRule>
  </conditionalFormatting>
  <conditionalFormatting sqref="U30:U69">
    <cfRule type="containsText" dxfId="5" priority="77" operator="containsText" text="D">
      <formula>NOT(ISERROR(SEARCH(("D"),(U30))))</formula>
    </cfRule>
  </conditionalFormatting>
  <conditionalFormatting sqref="V30:V69">
    <cfRule type="containsText" dxfId="5" priority="78" operator="containsText" text="A">
      <formula>NOT(ISERROR(SEARCH(("A"),(V30))))</formula>
    </cfRule>
  </conditionalFormatting>
  <conditionalFormatting sqref="V30:V69">
    <cfRule type="containsText" dxfId="4" priority="79" operator="containsText" text="B">
      <formula>NOT(ISERROR(SEARCH(("B"),(V30))))</formula>
    </cfRule>
  </conditionalFormatting>
  <conditionalFormatting sqref="V30:V69">
    <cfRule type="containsText" dxfId="5" priority="80" operator="containsText" text="C">
      <formula>NOT(ISERROR(SEARCH(("C"),(V30))))</formula>
    </cfRule>
  </conditionalFormatting>
  <conditionalFormatting sqref="V30:V69">
    <cfRule type="containsText" dxfId="5" priority="81" operator="containsText" text="D">
      <formula>NOT(ISERROR(SEARCH(("D"),(V30))))</formula>
    </cfRule>
  </conditionalFormatting>
  <conditionalFormatting sqref="W30:W69">
    <cfRule type="containsText" dxfId="5" priority="82" operator="containsText" text="A">
      <formula>NOT(ISERROR(SEARCH(("A"),(W30))))</formula>
    </cfRule>
  </conditionalFormatting>
  <conditionalFormatting sqref="W30:W69">
    <cfRule type="containsText" dxfId="5" priority="83" operator="containsText" text="B">
      <formula>NOT(ISERROR(SEARCH(("B"),(W30))))</formula>
    </cfRule>
  </conditionalFormatting>
  <conditionalFormatting sqref="W30:W69">
    <cfRule type="containsText" dxfId="4" priority="84" operator="containsText" text="C">
      <formula>NOT(ISERROR(SEARCH(("C"),(W30))))</formula>
    </cfRule>
  </conditionalFormatting>
  <conditionalFormatting sqref="W30:W69">
    <cfRule type="containsText" dxfId="5" priority="85" operator="containsText" text="D">
      <formula>NOT(ISERROR(SEARCH(("D"),(W30))))</formula>
    </cfRule>
  </conditionalFormatting>
  <conditionalFormatting sqref="X30:X69">
    <cfRule type="containsText" dxfId="4" priority="86" operator="containsText" text="A">
      <formula>NOT(ISERROR(SEARCH(("A"),(X30))))</formula>
    </cfRule>
  </conditionalFormatting>
  <conditionalFormatting sqref="X30:X69">
    <cfRule type="containsText" dxfId="5" priority="87" operator="containsText" text="B">
      <formula>NOT(ISERROR(SEARCH(("B"),(X30))))</formula>
    </cfRule>
  </conditionalFormatting>
  <conditionalFormatting sqref="X30:X69">
    <cfRule type="containsText" dxfId="5" priority="88" operator="containsText" text="C">
      <formula>NOT(ISERROR(SEARCH(("C"),(X30))))</formula>
    </cfRule>
  </conditionalFormatting>
  <conditionalFormatting sqref="X30:X69">
    <cfRule type="containsText" dxfId="5" priority="89" operator="containsText" text="D">
      <formula>NOT(ISERROR(SEARCH(("D"),(X30))))</formula>
    </cfRule>
  </conditionalFormatting>
  <conditionalFormatting sqref="Y30:Y69">
    <cfRule type="containsText" dxfId="4" priority="90" operator="containsText" text="A">
      <formula>NOT(ISERROR(SEARCH(("A"),(Y30))))</formula>
    </cfRule>
  </conditionalFormatting>
  <conditionalFormatting sqref="Y30:Y69">
    <cfRule type="containsText" dxfId="5" priority="91" operator="containsText" text="B">
      <formula>NOT(ISERROR(SEARCH(("B"),(Y30))))</formula>
    </cfRule>
  </conditionalFormatting>
  <conditionalFormatting sqref="Y30:Y69">
    <cfRule type="containsText" dxfId="5" priority="92" operator="containsText" text="C">
      <formula>NOT(ISERROR(SEARCH(("C"),(Y30))))</formula>
    </cfRule>
  </conditionalFormatting>
  <conditionalFormatting sqref="Y30:Y69">
    <cfRule type="containsText" dxfId="5" priority="93" operator="containsText" text="D">
      <formula>NOT(ISERROR(SEARCH(("D"),(Y30))))</formula>
    </cfRule>
  </conditionalFormatting>
  <conditionalFormatting sqref="Z30:Z69">
    <cfRule type="containsText" dxfId="5" priority="94" operator="containsText" text="A">
      <formula>NOT(ISERROR(SEARCH(("A"),(Z30))))</formula>
    </cfRule>
  </conditionalFormatting>
  <conditionalFormatting sqref="Z30:Z69">
    <cfRule type="containsText" dxfId="4" priority="95" operator="containsText" text="B">
      <formula>NOT(ISERROR(SEARCH(("B"),(Z30))))</formula>
    </cfRule>
  </conditionalFormatting>
  <conditionalFormatting sqref="Z30:Z69">
    <cfRule type="containsText" dxfId="5" priority="96" operator="containsText" text="C">
      <formula>NOT(ISERROR(SEARCH(("C"),(Z30))))</formula>
    </cfRule>
  </conditionalFormatting>
  <conditionalFormatting sqref="Z30:Z69">
    <cfRule type="containsText" dxfId="5" priority="97" operator="containsText" text="D">
      <formula>NOT(ISERROR(SEARCH(("D"),(Z30))))</formula>
    </cfRule>
  </conditionalFormatting>
  <conditionalFormatting sqref="AA30:AA69">
    <cfRule type="containsText" dxfId="5" priority="98" operator="containsText" text="A">
      <formula>NOT(ISERROR(SEARCH(("A"),(AA30))))</formula>
    </cfRule>
  </conditionalFormatting>
  <conditionalFormatting sqref="AA30:AA69">
    <cfRule type="containsText" dxfId="4" priority="99" operator="containsText" text="B">
      <formula>NOT(ISERROR(SEARCH(("B"),(AA30))))</formula>
    </cfRule>
  </conditionalFormatting>
  <conditionalFormatting sqref="AA30:AA69">
    <cfRule type="containsText" dxfId="5" priority="100" operator="containsText" text="C">
      <formula>NOT(ISERROR(SEARCH(("C"),(AA30))))</formula>
    </cfRule>
  </conditionalFormatting>
  <conditionalFormatting sqref="AA30:AA69">
    <cfRule type="containsText" dxfId="5" priority="101" operator="containsText" text="D">
      <formula>NOT(ISERROR(SEARCH(("D"),(AA30))))</formula>
    </cfRule>
  </conditionalFormatting>
  <conditionalFormatting sqref="AB30:AB69">
    <cfRule type="containsText" dxfId="5" priority="102" operator="containsText" text="A">
      <formula>NOT(ISERROR(SEARCH(("A"),(AB30))))</formula>
    </cfRule>
  </conditionalFormatting>
  <conditionalFormatting sqref="AB30:AB69">
    <cfRule type="containsText" dxfId="4" priority="103" operator="containsText" text="B">
      <formula>NOT(ISERROR(SEARCH(("B"),(AB30))))</formula>
    </cfRule>
  </conditionalFormatting>
  <conditionalFormatting sqref="AB30:AB69">
    <cfRule type="containsText" dxfId="5" priority="104" operator="containsText" text="C">
      <formula>NOT(ISERROR(SEARCH(("C"),(AB30))))</formula>
    </cfRule>
  </conditionalFormatting>
  <conditionalFormatting sqref="AB30:AB69">
    <cfRule type="containsText" dxfId="5" priority="105" operator="containsText" text="D">
      <formula>NOT(ISERROR(SEARCH(("D"),(AB30))))</formula>
    </cfRule>
  </conditionalFormatting>
  <conditionalFormatting sqref="AC30:AC69">
    <cfRule type="containsText" dxfId="5" priority="106" operator="containsText" text="A">
      <formula>NOT(ISERROR(SEARCH(("A"),(AC30))))</formula>
    </cfRule>
  </conditionalFormatting>
  <conditionalFormatting sqref="AC30:AC69">
    <cfRule type="containsText" dxfId="5" priority="107" operator="containsText" text="B">
      <formula>NOT(ISERROR(SEARCH(("B"),(AC30))))</formula>
    </cfRule>
  </conditionalFormatting>
  <conditionalFormatting sqref="AC30:AC69">
    <cfRule type="containsText" dxfId="4" priority="108" operator="containsText" text="C">
      <formula>NOT(ISERROR(SEARCH(("C"),(AC30))))</formula>
    </cfRule>
  </conditionalFormatting>
  <conditionalFormatting sqref="AC30:AC69">
    <cfRule type="containsText" dxfId="5" priority="109" operator="containsText" text="D">
      <formula>NOT(ISERROR(SEARCH(("D"),(AC30))))</formula>
    </cfRule>
  </conditionalFormatting>
  <conditionalFormatting sqref="AD30:AD69">
    <cfRule type="containsText" dxfId="5" priority="110" operator="containsText" text="A">
      <formula>NOT(ISERROR(SEARCH(("A"),(AD30))))</formula>
    </cfRule>
  </conditionalFormatting>
  <conditionalFormatting sqref="AD30:AD69">
    <cfRule type="containsText" dxfId="4" priority="111" operator="containsText" text="B">
      <formula>NOT(ISERROR(SEARCH(("B"),(AD30))))</formula>
    </cfRule>
  </conditionalFormatting>
  <conditionalFormatting sqref="AD30:AD69">
    <cfRule type="containsText" dxfId="5" priority="112" operator="containsText" text="C">
      <formula>NOT(ISERROR(SEARCH(("C"),(AD30))))</formula>
    </cfRule>
  </conditionalFormatting>
  <conditionalFormatting sqref="AD30:AD69">
    <cfRule type="containsText" dxfId="5" priority="113" operator="containsText" text="D">
      <formula>NOT(ISERROR(SEARCH(("D"),(AD30))))</formula>
    </cfRule>
  </conditionalFormatting>
  <conditionalFormatting sqref="AE30:AE69">
    <cfRule type="containsText" dxfId="5" priority="114" operator="containsText" text="A">
      <formula>NOT(ISERROR(SEARCH(("A"),(AE30))))</formula>
    </cfRule>
  </conditionalFormatting>
  <conditionalFormatting sqref="AE30:AE69">
    <cfRule type="containsText" dxfId="4" priority="115" operator="containsText" text="B">
      <formula>NOT(ISERROR(SEARCH(("B"),(AE30))))</formula>
    </cfRule>
  </conditionalFormatting>
  <conditionalFormatting sqref="AE30:AE69">
    <cfRule type="containsText" dxfId="5" priority="116" operator="containsText" text="C">
      <formula>NOT(ISERROR(SEARCH(("C"),(AE30))))</formula>
    </cfRule>
  </conditionalFormatting>
  <conditionalFormatting sqref="AE30:AE69">
    <cfRule type="containsText" dxfId="5" priority="117" operator="containsText" text="D">
      <formula>NOT(ISERROR(SEARCH(("D"),(AE30))))</formula>
    </cfRule>
  </conditionalFormatting>
  <conditionalFormatting sqref="AF30:AF69">
    <cfRule type="containsText" dxfId="5" priority="118" operator="containsText" text="A">
      <formula>NOT(ISERROR(SEARCH(("A"),(AF30))))</formula>
    </cfRule>
  </conditionalFormatting>
  <conditionalFormatting sqref="AF30:AF69">
    <cfRule type="containsText" dxfId="5" priority="119" operator="containsText" text="B">
      <formula>NOT(ISERROR(SEARCH(("B"),(AF30))))</formula>
    </cfRule>
  </conditionalFormatting>
  <conditionalFormatting sqref="AF30:AF69">
    <cfRule type="containsText" dxfId="4" priority="120" operator="containsText" text="C">
      <formula>NOT(ISERROR(SEARCH(("C"),(AF30))))</formula>
    </cfRule>
  </conditionalFormatting>
  <conditionalFormatting sqref="AF30:AF69">
    <cfRule type="containsText" dxfId="5" priority="121" operator="containsText" text="D">
      <formula>NOT(ISERROR(SEARCH(("D"),(AF30))))</formula>
    </cfRule>
  </conditionalFormatting>
  <conditionalFormatting sqref="AG30:AG69">
    <cfRule type="containsText" dxfId="5" priority="122" operator="containsText" text="A">
      <formula>NOT(ISERROR(SEARCH(("A"),(AG30))))</formula>
    </cfRule>
  </conditionalFormatting>
  <conditionalFormatting sqref="AG30:AG69">
    <cfRule type="containsText" dxfId="5" priority="123" operator="containsText" text="B">
      <formula>NOT(ISERROR(SEARCH(("B"),(AG30))))</formula>
    </cfRule>
  </conditionalFormatting>
  <conditionalFormatting sqref="AG30:AG69">
    <cfRule type="containsText" dxfId="4" priority="124" operator="containsText" text="C">
      <formula>NOT(ISERROR(SEARCH(("C"),(AG30))))</formula>
    </cfRule>
  </conditionalFormatting>
  <conditionalFormatting sqref="AG30:AG69">
    <cfRule type="containsText" dxfId="5" priority="125" operator="containsText" text="D">
      <formula>NOT(ISERROR(SEARCH(("D"),(AG30))))</formula>
    </cfRule>
  </conditionalFormatting>
  <conditionalFormatting sqref="AH30:AH69">
    <cfRule type="containsText" dxfId="5" priority="126" operator="containsText" text="A">
      <formula>NOT(ISERROR(SEARCH(("A"),(AH30))))</formula>
    </cfRule>
  </conditionalFormatting>
  <conditionalFormatting sqref="AH30:AH69">
    <cfRule type="containsText" dxfId="5" priority="127" operator="containsText" text="B">
      <formula>NOT(ISERROR(SEARCH(("B"),(AH30))))</formula>
    </cfRule>
  </conditionalFormatting>
  <conditionalFormatting sqref="AH30:AH69">
    <cfRule type="containsText" dxfId="4" priority="128" operator="containsText" text="C">
      <formula>NOT(ISERROR(SEARCH(("C"),(AH30))))</formula>
    </cfRule>
  </conditionalFormatting>
  <conditionalFormatting sqref="AH30:AH69">
    <cfRule type="containsText" dxfId="5" priority="129" operator="containsText" text="D">
      <formula>NOT(ISERROR(SEARCH(("D"),(AH30))))</formula>
    </cfRule>
  </conditionalFormatting>
  <conditionalFormatting sqref="AI30:AI69">
    <cfRule type="containsText" dxfId="5" priority="130" operator="containsText" text="A">
      <formula>NOT(ISERROR(SEARCH(("A"),(AI30))))</formula>
    </cfRule>
  </conditionalFormatting>
  <conditionalFormatting sqref="AI30:AI69">
    <cfRule type="containsText" dxfId="5" priority="131" operator="containsText" text="B">
      <formula>NOT(ISERROR(SEARCH(("B"),(AI30))))</formula>
    </cfRule>
  </conditionalFormatting>
  <conditionalFormatting sqref="AI30:AI69">
    <cfRule type="containsText" dxfId="5" priority="132" operator="containsText" text="C">
      <formula>NOT(ISERROR(SEARCH(("C"),(AI30))))</formula>
    </cfRule>
  </conditionalFormatting>
  <conditionalFormatting sqref="AI30:AI69">
    <cfRule type="containsText" dxfId="4" priority="133" operator="containsText" text="D">
      <formula>NOT(ISERROR(SEARCH(("D"),(AI30))))</formula>
    </cfRule>
  </conditionalFormatting>
  <conditionalFormatting sqref="AJ30:AJ69">
    <cfRule type="containsText" dxfId="5" priority="134" operator="containsText" text="A">
      <formula>NOT(ISERROR(SEARCH(("A"),(AJ30))))</formula>
    </cfRule>
  </conditionalFormatting>
  <conditionalFormatting sqref="AJ30:AJ69">
    <cfRule type="containsText" dxfId="4" priority="135" operator="containsText" text="B">
      <formula>NOT(ISERROR(SEARCH(("B"),(AJ30))))</formula>
    </cfRule>
  </conditionalFormatting>
  <conditionalFormatting sqref="AJ30:AJ69">
    <cfRule type="containsText" dxfId="5" priority="136" operator="containsText" text="C">
      <formula>NOT(ISERROR(SEARCH(("C"),(AJ30))))</formula>
    </cfRule>
  </conditionalFormatting>
  <conditionalFormatting sqref="AJ30:AJ69">
    <cfRule type="containsText" dxfId="5" priority="137" operator="containsText" text="D">
      <formula>NOT(ISERROR(SEARCH(("D"),(AJ30))))</formula>
    </cfRule>
  </conditionalFormatting>
  <conditionalFormatting sqref="AK30:AK69">
    <cfRule type="containsText" dxfId="5" priority="138" operator="containsText" text="A">
      <formula>NOT(ISERROR(SEARCH(("A"),(AK30))))</formula>
    </cfRule>
  </conditionalFormatting>
  <conditionalFormatting sqref="AK30:AK69">
    <cfRule type="containsText" dxfId="5" priority="139" operator="containsText" text="B">
      <formula>NOT(ISERROR(SEARCH(("B"),(AK30))))</formula>
    </cfRule>
  </conditionalFormatting>
  <conditionalFormatting sqref="AK30:AK69">
    <cfRule type="containsText" dxfId="5" priority="140" operator="containsText" text="C">
      <formula>NOT(ISERROR(SEARCH(("C"),(AK30))))</formula>
    </cfRule>
  </conditionalFormatting>
  <conditionalFormatting sqref="AK30:AK69">
    <cfRule type="containsText" dxfId="4" priority="141" operator="containsText" text="D">
      <formula>NOT(ISERROR(SEARCH(("D"),(AK30))))</formula>
    </cfRule>
  </conditionalFormatting>
  <conditionalFormatting sqref="AL30:AL69">
    <cfRule type="containsText" dxfId="4" priority="142" operator="containsText" text="A">
      <formula>NOT(ISERROR(SEARCH(("A"),(AL30))))</formula>
    </cfRule>
  </conditionalFormatting>
  <conditionalFormatting sqref="AL30:AL69">
    <cfRule type="containsText" dxfId="5" priority="143" operator="containsText" text="B">
      <formula>NOT(ISERROR(SEARCH(("B"),(AL30))))</formula>
    </cfRule>
  </conditionalFormatting>
  <conditionalFormatting sqref="AL30:AL69">
    <cfRule type="containsText" dxfId="5" priority="144" operator="containsText" text="C">
      <formula>NOT(ISERROR(SEARCH(("C"),(AL30))))</formula>
    </cfRule>
  </conditionalFormatting>
  <conditionalFormatting sqref="AL30:AL69">
    <cfRule type="containsText" dxfId="5" priority="145" operator="containsText" text="D">
      <formula>NOT(ISERROR(SEARCH(("D"),(AL30))))</formula>
    </cfRule>
  </conditionalFormatting>
  <conditionalFormatting sqref="AM30:AM69">
    <cfRule type="containsText" dxfId="5" priority="146" operator="containsText" text="A">
      <formula>NOT(ISERROR(SEARCH(("A"),(AM30))))</formula>
    </cfRule>
  </conditionalFormatting>
  <conditionalFormatting sqref="AM30:AM69">
    <cfRule type="containsText" dxfId="5" priority="147" operator="containsText" text="B">
      <formula>NOT(ISERROR(SEARCH(("B"),(AM30))))</formula>
    </cfRule>
  </conditionalFormatting>
  <conditionalFormatting sqref="AM30:AM69">
    <cfRule type="containsText" dxfId="4" priority="148" operator="containsText" text="C">
      <formula>NOT(ISERROR(SEARCH(("C"),(AM30))))</formula>
    </cfRule>
  </conditionalFormatting>
  <conditionalFormatting sqref="AM30:AM69">
    <cfRule type="containsText" dxfId="5" priority="149" operator="containsText" text="D">
      <formula>NOT(ISERROR(SEARCH(("D"),(AM30))))</formula>
    </cfRule>
  </conditionalFormatting>
  <conditionalFormatting sqref="AN30:AN69">
    <cfRule type="containsText" dxfId="5" priority="150" operator="containsText" text="A">
      <formula>NOT(ISERROR(SEARCH(("A"),(AN30))))</formula>
    </cfRule>
  </conditionalFormatting>
  <conditionalFormatting sqref="AN30:AN69">
    <cfRule type="containsText" dxfId="4" priority="151" operator="containsText" text="B">
      <formula>NOT(ISERROR(SEARCH(("B"),(AN30))))</formula>
    </cfRule>
  </conditionalFormatting>
  <conditionalFormatting sqref="AN30:AN69">
    <cfRule type="containsText" dxfId="5" priority="152" operator="containsText" text="C">
      <formula>NOT(ISERROR(SEARCH(("C"),(AN30))))</formula>
    </cfRule>
  </conditionalFormatting>
  <conditionalFormatting sqref="AN30:AN69">
    <cfRule type="containsText" dxfId="5" priority="153" operator="containsText" text="D">
      <formula>NOT(ISERROR(SEARCH(("D"),(AN30))))</formula>
    </cfRule>
  </conditionalFormatting>
  <conditionalFormatting sqref="AO30:AO69">
    <cfRule type="containsText" dxfId="5" priority="154" operator="containsText" text="A">
      <formula>NOT(ISERROR(SEARCH(("A"),(AO30))))</formula>
    </cfRule>
  </conditionalFormatting>
  <conditionalFormatting sqref="AO30:AO69">
    <cfRule type="containsText" dxfId="5" priority="155" operator="containsText" text="B">
      <formula>NOT(ISERROR(SEARCH(("B"),(AO30))))</formula>
    </cfRule>
  </conditionalFormatting>
  <conditionalFormatting sqref="AO30:AO69">
    <cfRule type="containsText" dxfId="5" priority="156" operator="containsText" text="C">
      <formula>NOT(ISERROR(SEARCH(("C"),(AO30))))</formula>
    </cfRule>
  </conditionalFormatting>
  <conditionalFormatting sqref="AO30:AO69">
    <cfRule type="containsText" dxfId="4" priority="157" operator="containsText" text="D">
      <formula>NOT(ISERROR(SEARCH(("D"),(AO30))))</formula>
    </cfRule>
  </conditionalFormatting>
  <conditionalFormatting sqref="AP30:AP69">
    <cfRule type="containsText" dxfId="5" priority="158" operator="containsText" text="A">
      <formula>NOT(ISERROR(SEARCH(("A"),(AP30))))</formula>
    </cfRule>
  </conditionalFormatting>
  <conditionalFormatting sqref="AP30:AP69">
    <cfRule type="containsText" dxfId="4" priority="159" operator="containsText" text="B">
      <formula>NOT(ISERROR(SEARCH(("B"),(AP30))))</formula>
    </cfRule>
  </conditionalFormatting>
  <conditionalFormatting sqref="AP30:AP69">
    <cfRule type="containsText" dxfId="5" priority="160" operator="containsText" text="C">
      <formula>NOT(ISERROR(SEARCH(("C"),(AP30))))</formula>
    </cfRule>
  </conditionalFormatting>
  <conditionalFormatting sqref="AP30:AP69">
    <cfRule type="containsText" dxfId="5" priority="161" operator="containsText" text="D">
      <formula>NOT(ISERROR(SEARCH(("D"),(AP30))))</formula>
    </cfRule>
  </conditionalFormatting>
  <conditionalFormatting sqref="AQ30:AQ69">
    <cfRule type="containsText" dxfId="5" priority="162" operator="containsText" text="A">
      <formula>NOT(ISERROR(SEARCH(("A"),(AQ30))))</formula>
    </cfRule>
  </conditionalFormatting>
  <conditionalFormatting sqref="AQ30:AQ69">
    <cfRule type="containsText" dxfId="5" priority="163" operator="containsText" text="B">
      <formula>NOT(ISERROR(SEARCH(("B"),(AQ30))))</formula>
    </cfRule>
  </conditionalFormatting>
  <conditionalFormatting sqref="AQ30:AQ69">
    <cfRule type="containsText" dxfId="4" priority="164" operator="containsText" text="C">
      <formula>NOT(ISERROR(SEARCH(("C"),(AQ30))))</formula>
    </cfRule>
  </conditionalFormatting>
  <conditionalFormatting sqref="AQ30:AQ69">
    <cfRule type="containsText" dxfId="5" priority="165" operator="containsText" text="D">
      <formula>NOT(ISERROR(SEARCH(("D"),(AQ30))))</formula>
    </cfRule>
  </conditionalFormatting>
  <conditionalFormatting sqref="AR30:AR69">
    <cfRule type="containsText" dxfId="4" priority="166" operator="containsText" text="A">
      <formula>NOT(ISERROR(SEARCH(("A"),(AR30))))</formula>
    </cfRule>
  </conditionalFormatting>
  <conditionalFormatting sqref="AR30:AR69">
    <cfRule type="containsText" dxfId="5" priority="167" operator="containsText" text="B">
      <formula>NOT(ISERROR(SEARCH(("B"),(AR30))))</formula>
    </cfRule>
  </conditionalFormatting>
  <conditionalFormatting sqref="AR30:AR69">
    <cfRule type="containsText" dxfId="5" priority="168" operator="containsText" text="C">
      <formula>NOT(ISERROR(SEARCH(("C"),(AR30))))</formula>
    </cfRule>
  </conditionalFormatting>
  <conditionalFormatting sqref="AR30:AR69">
    <cfRule type="containsText" dxfId="5" priority="169" operator="containsText" text="D">
      <formula>NOT(ISERROR(SEARCH(("D"),(AR30))))</formula>
    </cfRule>
  </conditionalFormatting>
  <conditionalFormatting sqref="AS30:AS69">
    <cfRule type="containsText" dxfId="5" priority="170" operator="containsText" text="A">
      <formula>NOT(ISERROR(SEARCH(("A"),(AS30))))</formula>
    </cfRule>
  </conditionalFormatting>
  <conditionalFormatting sqref="AS30:AS69">
    <cfRule type="containsText" dxfId="4" priority="171" operator="containsText" text="B">
      <formula>NOT(ISERROR(SEARCH(("B"),(AS30))))</formula>
    </cfRule>
  </conditionalFormatting>
  <conditionalFormatting sqref="AS30:AS69">
    <cfRule type="containsText" dxfId="5" priority="172" operator="containsText" text="C">
      <formula>NOT(ISERROR(SEARCH(("C"),(AS30))))</formula>
    </cfRule>
  </conditionalFormatting>
  <conditionalFormatting sqref="AS30:AS69">
    <cfRule type="containsText" dxfId="5" priority="173" operator="containsText" text="D">
      <formula>NOT(ISERROR(SEARCH(("D"),(AS30))))</formula>
    </cfRule>
  </conditionalFormatting>
  <conditionalFormatting sqref="AT30:AT69">
    <cfRule type="containsText" dxfId="5" priority="174" operator="containsText" text="A">
      <formula>NOT(ISERROR(SEARCH(("A"),(AT30))))</formula>
    </cfRule>
  </conditionalFormatting>
  <conditionalFormatting sqref="AT30:AT69">
    <cfRule type="containsText" dxfId="5" priority="175" operator="containsText" text="B">
      <formula>NOT(ISERROR(SEARCH(("B"),(AT30))))</formula>
    </cfRule>
  </conditionalFormatting>
  <conditionalFormatting sqref="AT30:AT69">
    <cfRule type="containsText" dxfId="4" priority="176" operator="containsText" text="C">
      <formula>NOT(ISERROR(SEARCH(("C"),(AT30))))</formula>
    </cfRule>
  </conditionalFormatting>
  <conditionalFormatting sqref="AT30:AT69">
    <cfRule type="containsText" dxfId="5" priority="177" operator="containsText" text="D">
      <formula>NOT(ISERROR(SEARCH(("D"),(AT30))))</formula>
    </cfRule>
  </conditionalFormatting>
  <conditionalFormatting sqref="AU30:AU69">
    <cfRule type="containsText" dxfId="5" priority="178" operator="containsText" text="A">
      <formula>NOT(ISERROR(SEARCH(("A"),(AU30))))</formula>
    </cfRule>
  </conditionalFormatting>
  <conditionalFormatting sqref="AU30:AU69">
    <cfRule type="containsText" dxfId="5" priority="179" operator="containsText" text="B">
      <formula>NOT(ISERROR(SEARCH(("B"),(AU30))))</formula>
    </cfRule>
  </conditionalFormatting>
  <conditionalFormatting sqref="AU30:AU69">
    <cfRule type="containsText" dxfId="5" priority="180" operator="containsText" text="C">
      <formula>NOT(ISERROR(SEARCH(("C"),(AU30))))</formula>
    </cfRule>
  </conditionalFormatting>
  <conditionalFormatting sqref="AU30:AU69">
    <cfRule type="containsText" dxfId="4" priority="181" operator="containsText" text="D">
      <formula>NOT(ISERROR(SEARCH(("D"),(AU30))))</formula>
    </cfRule>
  </conditionalFormatting>
  <conditionalFormatting sqref="AV30:AV69">
    <cfRule type="containsText" dxfId="5" priority="182" operator="containsText" text="A">
      <formula>NOT(ISERROR(SEARCH(("A"),(AV30))))</formula>
    </cfRule>
  </conditionalFormatting>
  <conditionalFormatting sqref="AV30:AV69">
    <cfRule type="containsText" dxfId="5" priority="183" operator="containsText" text="B">
      <formula>NOT(ISERROR(SEARCH(("B"),(AV30))))</formula>
    </cfRule>
  </conditionalFormatting>
  <conditionalFormatting sqref="AV30:AV69">
    <cfRule type="containsText" dxfId="5" priority="184" operator="containsText" text="C">
      <formula>NOT(ISERROR(SEARCH(("C"),(AV30))))</formula>
    </cfRule>
  </conditionalFormatting>
  <conditionalFormatting sqref="AV30:AV69">
    <cfRule type="containsText" dxfId="4" priority="185" operator="containsText" text="D">
      <formula>NOT(ISERROR(SEARCH(("D"),(AV30))))</formula>
    </cfRule>
  </conditionalFormatting>
  <conditionalFormatting sqref="AW30:AW69">
    <cfRule type="containsText" dxfId="5" priority="186" operator="containsText" text="A">
      <formula>NOT(ISERROR(SEARCH(("A"),(AW30))))</formula>
    </cfRule>
  </conditionalFormatting>
  <conditionalFormatting sqref="AW30:AW69">
    <cfRule type="containsText" dxfId="5" priority="187" operator="containsText" text="B">
      <formula>NOT(ISERROR(SEARCH(("B"),(AW30))))</formula>
    </cfRule>
  </conditionalFormatting>
  <conditionalFormatting sqref="AW30:AW69">
    <cfRule type="containsText" dxfId="4" priority="188" operator="containsText" text="C">
      <formula>NOT(ISERROR(SEARCH(("C"),(AW30))))</formula>
    </cfRule>
  </conditionalFormatting>
  <conditionalFormatting sqref="AW30:AW69">
    <cfRule type="containsText" dxfId="5" priority="189" operator="containsText" text="D">
      <formula>NOT(ISERROR(SEARCH(("D"),(AW30))))</formula>
    </cfRule>
  </conditionalFormatting>
  <conditionalFormatting sqref="AX30:AX69">
    <cfRule type="containsText" dxfId="5" priority="190" operator="containsText" text="A">
      <formula>NOT(ISERROR(SEARCH(("A"),(AX30))))</formula>
    </cfRule>
  </conditionalFormatting>
  <conditionalFormatting sqref="AX30:AX69">
    <cfRule type="containsText" dxfId="4" priority="191" operator="containsText" text="B">
      <formula>NOT(ISERROR(SEARCH(("B"),(AX30))))</formula>
    </cfRule>
  </conditionalFormatting>
  <conditionalFormatting sqref="AX30:AX69">
    <cfRule type="containsText" dxfId="5" priority="192" operator="containsText" text="C">
      <formula>NOT(ISERROR(SEARCH(("C"),(AX30))))</formula>
    </cfRule>
  </conditionalFormatting>
  <conditionalFormatting sqref="AX30:AX69">
    <cfRule type="containsText" dxfId="5" priority="193" operator="containsText" text="D">
      <formula>NOT(ISERROR(SEARCH(("D"),(AX30))))</formula>
    </cfRule>
  </conditionalFormatting>
  <conditionalFormatting sqref="AY30:AY68">
    <cfRule type="containsText" dxfId="5" priority="194" operator="containsText" text="A">
      <formula>NOT(ISERROR(SEARCH(("A"),(AY30))))</formula>
    </cfRule>
  </conditionalFormatting>
  <conditionalFormatting sqref="AY30:AY68">
    <cfRule type="containsText" dxfId="4" priority="195" operator="containsText" text="B">
      <formula>NOT(ISERROR(SEARCH(("B"),(AY30))))</formula>
    </cfRule>
  </conditionalFormatting>
  <conditionalFormatting sqref="AY30:AY68">
    <cfRule type="containsText" dxfId="5" priority="196" operator="containsText" text="C">
      <formula>NOT(ISERROR(SEARCH(("C"),(AY30))))</formula>
    </cfRule>
  </conditionalFormatting>
  <conditionalFormatting sqref="AY30:AY68">
    <cfRule type="containsText" dxfId="5" priority="197" operator="containsText" text="D">
      <formula>NOT(ISERROR(SEARCH(("D"),(AY30))))</formula>
    </cfRule>
  </conditionalFormatting>
  <conditionalFormatting sqref="AZ30:AZ69">
    <cfRule type="containsText" dxfId="5" priority="198" operator="containsText" text="A">
      <formula>NOT(ISERROR(SEARCH(("A"),(AZ30))))</formula>
    </cfRule>
  </conditionalFormatting>
  <conditionalFormatting sqref="AZ30:AZ69">
    <cfRule type="containsText" dxfId="5" priority="199" operator="containsText" text="B">
      <formula>NOT(ISERROR(SEARCH(("B"),(AZ30))))</formula>
    </cfRule>
  </conditionalFormatting>
  <conditionalFormatting sqref="AZ30:AZ69">
    <cfRule type="containsText" dxfId="5" priority="200" operator="containsText" text="C">
      <formula>NOT(ISERROR(SEARCH(("C"),(AZ30))))</formula>
    </cfRule>
  </conditionalFormatting>
  <conditionalFormatting sqref="AZ30:AZ69">
    <cfRule type="containsText" dxfId="4" priority="201" operator="containsText" text="D">
      <formula>NOT(ISERROR(SEARCH(("D"),(AZ30))))</formula>
    </cfRule>
  </conditionalFormatting>
  <conditionalFormatting sqref="BA30:BA69">
    <cfRule type="containsText" dxfId="5" priority="202" operator="containsText" text="A">
      <formula>NOT(ISERROR(SEARCH(("A"),(BA30))))</formula>
    </cfRule>
  </conditionalFormatting>
  <conditionalFormatting sqref="BA30:BA69">
    <cfRule type="containsText" dxfId="5" priority="203" operator="containsText" text="B">
      <formula>NOT(ISERROR(SEARCH(("B"),(BA30))))</formula>
    </cfRule>
  </conditionalFormatting>
  <conditionalFormatting sqref="BA30:BA69">
    <cfRule type="containsText" dxfId="4" priority="204" operator="containsText" text="C">
      <formula>NOT(ISERROR(SEARCH(("C"),(BA30))))</formula>
    </cfRule>
  </conditionalFormatting>
  <conditionalFormatting sqref="BA30:BA69">
    <cfRule type="containsText" dxfId="5" priority="205" operator="containsText" text="D">
      <formula>NOT(ISERROR(SEARCH(("D"),(BA30))))</formula>
    </cfRule>
  </conditionalFormatting>
  <conditionalFormatting sqref="BB30:BB69">
    <cfRule type="containsText" dxfId="5" priority="206" operator="containsText" text="A">
      <formula>NOT(ISERROR(SEARCH(("A"),(BB30))))</formula>
    </cfRule>
  </conditionalFormatting>
  <conditionalFormatting sqref="BB30:BB69">
    <cfRule type="containsText" dxfId="5" priority="207" operator="containsText" text="B">
      <formula>NOT(ISERROR(SEARCH(("B"),(BB30))))</formula>
    </cfRule>
  </conditionalFormatting>
  <conditionalFormatting sqref="BB30:BB69">
    <cfRule type="containsText" dxfId="5" priority="208" operator="containsText" text="C">
      <formula>NOT(ISERROR(SEARCH(("C"),(BB30))))</formula>
    </cfRule>
  </conditionalFormatting>
  <conditionalFormatting sqref="BB30:BB69">
    <cfRule type="containsText" dxfId="4" priority="209" operator="containsText" text="D">
      <formula>NOT(ISERROR(SEARCH(("D"),(BB30))))</formula>
    </cfRule>
  </conditionalFormatting>
  <conditionalFormatting sqref="BD30:BH69">
    <cfRule type="containsBlanks" dxfId="6" priority="210">
      <formula>LEN(TRIM(BD30))=0</formula>
    </cfRule>
  </conditionalFormatting>
  <conditionalFormatting sqref="BJ30:BJ69">
    <cfRule type="containsBlanks" dxfId="6" priority="211">
      <formula>LEN(TRIM(BJ30))=0</formula>
    </cfRule>
  </conditionalFormatting>
  <conditionalFormatting sqref="K30:K69">
    <cfRule type="containsText" dxfId="4" priority="212" operator="containsText" text="A">
      <formula>NOT(ISERROR(SEARCH(("A"),(K30))))</formula>
    </cfRule>
  </conditionalFormatting>
  <conditionalFormatting sqref="K30:K69">
    <cfRule type="containsText" dxfId="5" priority="213" operator="containsText" text="B">
      <formula>NOT(ISERROR(SEARCH(("B"),(K30))))</formula>
    </cfRule>
  </conditionalFormatting>
  <conditionalFormatting sqref="K30:K69">
    <cfRule type="containsText" dxfId="5" priority="214" operator="containsText" text="C">
      <formula>NOT(ISERROR(SEARCH(("C"),(K30))))</formula>
    </cfRule>
  </conditionalFormatting>
  <conditionalFormatting sqref="K30:K69">
    <cfRule type="containsText" dxfId="5" priority="215" operator="containsText" text="D">
      <formula>NOT(ISERROR(SEARCH(("D"),(K30))))</formula>
    </cfRule>
  </conditionalFormatting>
  <conditionalFormatting sqref="D30:D69">
    <cfRule type="containsText" dxfId="4" priority="216" operator="containsText" text="A">
      <formula>NOT(ISERROR(SEARCH(("A"),(D30))))</formula>
    </cfRule>
  </conditionalFormatting>
  <conditionalFormatting sqref="D30:D69">
    <cfRule type="containsText" dxfId="5" priority="217" operator="containsText" text="B">
      <formula>NOT(ISERROR(SEARCH(("B"),(D30))))</formula>
    </cfRule>
  </conditionalFormatting>
  <conditionalFormatting sqref="D30:D69">
    <cfRule type="containsText" dxfId="5" priority="218" operator="containsText" text="C">
      <formula>NOT(ISERROR(SEARCH(("C"),(D30))))</formula>
    </cfRule>
  </conditionalFormatting>
  <conditionalFormatting sqref="D30:D69">
    <cfRule type="containsText" dxfId="5" priority="219" operator="containsText" text="D">
      <formula>NOT(ISERROR(SEARCH(("D"),(D30))))</formula>
    </cfRule>
  </conditionalFormatting>
  <conditionalFormatting sqref="E30:E69">
    <cfRule type="containsText" dxfId="4" priority="220" operator="containsText" text="A">
      <formula>NOT(ISERROR(SEARCH(("A"),(E30))))</formula>
    </cfRule>
  </conditionalFormatting>
  <conditionalFormatting sqref="E30:E69">
    <cfRule type="containsText" dxfId="5" priority="221" operator="containsText" text="B">
      <formula>NOT(ISERROR(SEARCH(("B"),(E30))))</formula>
    </cfRule>
  </conditionalFormatting>
  <conditionalFormatting sqref="E30:E69">
    <cfRule type="containsText" dxfId="5" priority="222" operator="containsText" text="C">
      <formula>NOT(ISERROR(SEARCH(("C"),(E30))))</formula>
    </cfRule>
  </conditionalFormatting>
  <conditionalFormatting sqref="E30:E69">
    <cfRule type="containsText" dxfId="5" priority="223" operator="containsText" text="D">
      <formula>NOT(ISERROR(SEARCH(("D"),(E30))))</formula>
    </cfRule>
  </conditionalFormatting>
  <hyperlinks>
    <hyperlink r:id="rId1" ref="A22"/>
  </hyperlinks>
  <printOptions gridLines="1" horizontalCentered="1"/>
  <pageMargins bottom="0.75" footer="0.0" header="0.0" left="0.7" right="0.7" top="0.75"/>
  <pageSetup fitToHeight="0" paperSize="9" cellComments="atEnd" orientation="portrait" pageOrder="overThenDown"/>
  <drawing r:id="rId2"/>
</worksheet>
</file>